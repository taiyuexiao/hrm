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372" activeTab="4"/>
  </bookViews>
  <sheets>
    <sheet name="报工不规范问题" sheetId="8" r:id="rId1"/>
    <sheet name="行员_总体事项统计" sheetId="6" r:id="rId2"/>
    <sheet name="行员_科室日期人天汇总" sheetId="4" state="hidden" r:id="rId3"/>
    <sheet name="行员_科室事项人天统计" sheetId="5" r:id="rId4"/>
    <sheet name="报工和考勤数据" sheetId="10" r:id="rId5"/>
    <sheet name="厂商_科室事项人天统计" sheetId="2" r:id="rId6"/>
    <sheet name="厂商_科室日期人天汇总" sheetId="1" r:id="rId7"/>
    <sheet name="行员数据-8.5小时" sheetId="9" state="hidden" r:id="rId8"/>
  </sheets>
  <externalReferences>
    <externalReference r:id="rId9"/>
  </externalReferences>
  <definedNames>
    <definedName name="_xlnm._FilterDatabase" localSheetId="2" hidden="1">行员_科室日期人天汇总!$A$1:$Q$25</definedName>
    <definedName name="_xlnm._FilterDatabase" localSheetId="4" hidden="1">报工和考勤数据!$A$1:$G$133</definedName>
    <definedName name="_xlnm._FilterDatabase" localSheetId="7" hidden="1">'行员数据-8.5小时'!$A$1:$F$239</definedName>
  </definedNames>
  <calcPr calcId="144525"/>
</workbook>
</file>

<file path=xl/sharedStrings.xml><?xml version="1.0" encoding="utf-8"?>
<sst xmlns="http://schemas.openxmlformats.org/spreadsheetml/2006/main" count="1072" uniqueCount="307">
  <si>
    <t>缺漏报工（明细见sheet行员考勤数据）</t>
  </si>
  <si>
    <t>部门</t>
  </si>
  <si>
    <t>行员总人数</t>
  </si>
  <si>
    <t>偏差10%</t>
  </si>
  <si>
    <t>偏差10%-30%</t>
  </si>
  <si>
    <t>30%以上</t>
  </si>
  <si>
    <t>数据开发部</t>
  </si>
  <si>
    <t>数据平台部</t>
  </si>
  <si>
    <t>数据测试部</t>
  </si>
  <si>
    <t>智能平台部</t>
  </si>
  <si>
    <t>智能应用一部</t>
  </si>
  <si>
    <t>智能应用二部</t>
  </si>
  <si>
    <t>完全无报工</t>
  </si>
  <si>
    <t>姓名</t>
  </si>
  <si>
    <t>时长（分钟）</t>
  </si>
  <si>
    <t>考勤人天数</t>
  </si>
  <si>
    <t>报工人天</t>
  </si>
  <si>
    <t>报工差异比例</t>
  </si>
  <si>
    <t>贾世林</t>
  </si>
  <si>
    <t>曹宁远</t>
  </si>
  <si>
    <t>张峰</t>
  </si>
  <si>
    <t>事项类型</t>
  </si>
  <si>
    <t>要求</t>
  </si>
  <si>
    <t>用人科室</t>
  </si>
  <si>
    <t>总人天数</t>
  </si>
  <si>
    <t>应关联ADPM人天数</t>
  </si>
  <si>
    <t>关联ADPM需求人天数量</t>
  </si>
  <si>
    <t>比例</t>
  </si>
  <si>
    <t>需求澄清与分析</t>
  </si>
  <si>
    <t>必须有ADPM需求</t>
  </si>
  <si>
    <t>设计（含可行性方案、概设、详设等）</t>
  </si>
  <si>
    <t>开发（含模型、应用、数仓等）</t>
  </si>
  <si>
    <t>评审（含架构评审、代码评审、CAB等）</t>
  </si>
  <si>
    <t>选填（多个需求的挑一个大的）</t>
  </si>
  <si>
    <t>测试（含模型、应用、数仓等）</t>
  </si>
  <si>
    <t>项目管理（含外包管理）</t>
  </si>
  <si>
    <t>运维</t>
  </si>
  <si>
    <t>选填</t>
  </si>
  <si>
    <t>其他</t>
  </si>
  <si>
    <t>数据口径：数据部0312-0325期间行员报工，事项类型的划分</t>
  </si>
  <si>
    <t>人天数</t>
  </si>
  <si>
    <t>占比(%)</t>
  </si>
  <si>
    <t>生产运维</t>
  </si>
  <si>
    <t>空白</t>
  </si>
  <si>
    <t>试运行第一周时存在报工不规范，目前已宣导</t>
  </si>
  <si>
    <t>培训学习</t>
  </si>
  <si>
    <t>数据</t>
  </si>
  <si>
    <t>报工比例</t>
  </si>
  <si>
    <t>报工/人天</t>
  </si>
  <si>
    <t>考勤/人天</t>
  </si>
  <si>
    <t>人均考勤/人天</t>
  </si>
  <si>
    <t>科室总人天数</t>
  </si>
  <si>
    <t>第一周报工是全部报工在需求条目中，该类型无工作细分</t>
  </si>
  <si>
    <t>报工</t>
  </si>
  <si>
    <t>考勤</t>
  </si>
  <si>
    <t>人均考勤</t>
  </si>
  <si>
    <t>综合管理部</t>
  </si>
  <si>
    <t>机构服务团队</t>
  </si>
  <si>
    <t>数据治理部</t>
  </si>
  <si>
    <t>信息管理部</t>
  </si>
  <si>
    <t>信息统计部</t>
  </si>
  <si>
    <t>研发管理部</t>
  </si>
  <si>
    <t>考勤日期数</t>
  </si>
  <si>
    <t>赵家乐</t>
  </si>
  <si>
    <t>于俊杰</t>
  </si>
  <si>
    <t>丁晨</t>
  </si>
  <si>
    <t>黄哲睿</t>
  </si>
  <si>
    <t>刘金良</t>
  </si>
  <si>
    <t>窦博文</t>
  </si>
  <si>
    <t>郭逊</t>
  </si>
  <si>
    <t>安新宜</t>
  </si>
  <si>
    <t>崔建文</t>
  </si>
  <si>
    <t>杨婧</t>
  </si>
  <si>
    <t>任欣宇</t>
  </si>
  <si>
    <t>张镓奇</t>
  </si>
  <si>
    <t>钱磊</t>
  </si>
  <si>
    <t>卫彩萍</t>
  </si>
  <si>
    <t>张雅淇</t>
  </si>
  <si>
    <t>吴小倩</t>
  </si>
  <si>
    <t>连静</t>
  </si>
  <si>
    <t>兰昕蕾</t>
  </si>
  <si>
    <t>王友轩</t>
  </si>
  <si>
    <t>陈科宇</t>
  </si>
  <si>
    <t>吕丽丽</t>
  </si>
  <si>
    <t>黄亦豪</t>
  </si>
  <si>
    <t>祁鑫</t>
  </si>
  <si>
    <t>佟嘉欣</t>
  </si>
  <si>
    <t>刘梦颖</t>
  </si>
  <si>
    <t>王正超</t>
  </si>
  <si>
    <t>王双钰</t>
  </si>
  <si>
    <t>杜乐</t>
  </si>
  <si>
    <t>赵雅婷</t>
  </si>
  <si>
    <t>蒋书润</t>
  </si>
  <si>
    <t>李凯文</t>
  </si>
  <si>
    <t>张子璐</t>
  </si>
  <si>
    <t>康冉</t>
  </si>
  <si>
    <t>郑卞钰</t>
  </si>
  <si>
    <t>陆文捷</t>
  </si>
  <si>
    <t>林幸</t>
  </si>
  <si>
    <t>邹小芳</t>
  </si>
  <si>
    <t>伍恒</t>
  </si>
  <si>
    <t>骆静龙</t>
  </si>
  <si>
    <t>陆凯华</t>
  </si>
  <si>
    <t>徐倩茹</t>
  </si>
  <si>
    <t>陈玉思</t>
  </si>
  <si>
    <t>许天凝</t>
  </si>
  <si>
    <t>梅苏源</t>
  </si>
  <si>
    <t>朱文川</t>
  </si>
  <si>
    <t>廖宇杰</t>
  </si>
  <si>
    <t>诸倩铷</t>
  </si>
  <si>
    <t>梅凯磊</t>
  </si>
  <si>
    <t>田振宇</t>
  </si>
  <si>
    <t>郭子瑞</t>
  </si>
  <si>
    <t>李敏吉</t>
  </si>
  <si>
    <t>刘晓丹</t>
  </si>
  <si>
    <t>李禹凝</t>
  </si>
  <si>
    <t>李天卓</t>
  </si>
  <si>
    <t>钱德鑫</t>
  </si>
  <si>
    <t>于中宝</t>
  </si>
  <si>
    <t>史朋飞</t>
  </si>
  <si>
    <t>曹翔</t>
  </si>
  <si>
    <t>龚毅磊</t>
  </si>
  <si>
    <t>王春雨</t>
  </si>
  <si>
    <t>王曦东</t>
  </si>
  <si>
    <t>马亦沁</t>
  </si>
  <si>
    <t>陈朗</t>
  </si>
  <si>
    <t>陈笑轩</t>
  </si>
  <si>
    <t>刁磊</t>
  </si>
  <si>
    <t>周影</t>
  </si>
  <si>
    <t>高源</t>
  </si>
  <si>
    <t>吕晶</t>
  </si>
  <si>
    <t>万珊红</t>
  </si>
  <si>
    <t>阮靖龙</t>
  </si>
  <si>
    <t>刘惠</t>
  </si>
  <si>
    <t>张顺</t>
  </si>
  <si>
    <t>陈彦百</t>
  </si>
  <si>
    <t>陆凌姣</t>
  </si>
  <si>
    <t>叶胜</t>
  </si>
  <si>
    <t>郭旖霏</t>
  </si>
  <si>
    <t>张放</t>
  </si>
  <si>
    <t>李卓辉</t>
  </si>
  <si>
    <t>沈子新</t>
  </si>
  <si>
    <t>居振宇</t>
  </si>
  <si>
    <t>陈晨</t>
  </si>
  <si>
    <t>陈世辉</t>
  </si>
  <si>
    <t>宛蕾</t>
  </si>
  <si>
    <t>朱笛</t>
  </si>
  <si>
    <t>胡帆</t>
  </si>
  <si>
    <t>景丞</t>
  </si>
  <si>
    <t>袁凯</t>
  </si>
  <si>
    <t>姚志环</t>
  </si>
  <si>
    <t>程润铎</t>
  </si>
  <si>
    <t>蒋捷</t>
  </si>
  <si>
    <t>陈逸枫</t>
  </si>
  <si>
    <t>陈睿菁</t>
  </si>
  <si>
    <t>濮敏</t>
  </si>
  <si>
    <t>沈志贇</t>
  </si>
  <si>
    <t>鞠爱宁</t>
  </si>
  <si>
    <t>冯晓煜</t>
  </si>
  <si>
    <t>张必歌</t>
  </si>
  <si>
    <t>张依然</t>
  </si>
  <si>
    <t>高天宁</t>
  </si>
  <si>
    <t>陈佳宁</t>
  </si>
  <si>
    <t>李响</t>
  </si>
  <si>
    <t>王萌萌</t>
  </si>
  <si>
    <t>潘修滔</t>
  </si>
  <si>
    <t>周龙</t>
  </si>
  <si>
    <t>张倩</t>
  </si>
  <si>
    <t>李莉</t>
  </si>
  <si>
    <t>吴越</t>
  </si>
  <si>
    <t>胡庆</t>
  </si>
  <si>
    <t>胡雯</t>
  </si>
  <si>
    <t>周亦婷</t>
  </si>
  <si>
    <t>曹婕</t>
  </si>
  <si>
    <t>魏佳翔</t>
  </si>
  <si>
    <t>朱嘉玮</t>
  </si>
  <si>
    <t>张雨轩</t>
  </si>
  <si>
    <t>王伟</t>
  </si>
  <si>
    <t>张佳</t>
  </si>
  <si>
    <t>占桐</t>
  </si>
  <si>
    <t>王子枫</t>
  </si>
  <si>
    <t>李维浩</t>
  </si>
  <si>
    <t>王言哲</t>
  </si>
  <si>
    <t>汪子健</t>
  </si>
  <si>
    <t>陆慧</t>
  </si>
  <si>
    <t>冯潇</t>
  </si>
  <si>
    <t>罗仁杰</t>
  </si>
  <si>
    <t>嵇雅娟</t>
  </si>
  <si>
    <t>徐旻涵</t>
  </si>
  <si>
    <t>马富强</t>
  </si>
  <si>
    <t>裴佳翔</t>
  </si>
  <si>
    <t>马方</t>
  </si>
  <si>
    <t>项目需求</t>
  </si>
  <si>
    <t>脚本整理</t>
  </si>
  <si>
    <t>自主研发</t>
  </si>
  <si>
    <t>数据平台相关支撑</t>
  </si>
  <si>
    <t>数据架构、数据模型设计与评审</t>
  </si>
  <si>
    <t>数据需求整理和管理</t>
  </si>
  <si>
    <t>数据管理平台维护和测试</t>
  </si>
  <si>
    <t>行政类工作</t>
  </si>
  <si>
    <t>项目流程质量管理</t>
  </si>
  <si>
    <t>郭骏</t>
  </si>
  <si>
    <t>胡申民</t>
  </si>
  <si>
    <t>范佳</t>
  </si>
  <si>
    <t>乐洋</t>
  </si>
  <si>
    <t>胡承萱</t>
  </si>
  <si>
    <t>马文杰</t>
  </si>
  <si>
    <t>顾恺</t>
  </si>
  <si>
    <t>黄佳佳</t>
  </si>
  <si>
    <t>贺文军</t>
  </si>
  <si>
    <t>赵超</t>
  </si>
  <si>
    <t>杨青</t>
  </si>
  <si>
    <t>张海濛</t>
  </si>
  <si>
    <t>朱宇畅</t>
  </si>
  <si>
    <t>姚蜜</t>
  </si>
  <si>
    <t>胡楚</t>
  </si>
  <si>
    <t>胡超亭</t>
  </si>
  <si>
    <t>王笑丹</t>
  </si>
  <si>
    <t>张梦琦</t>
  </si>
  <si>
    <t>李然</t>
  </si>
  <si>
    <t>米俊文</t>
  </si>
  <si>
    <t>宋子夜</t>
  </si>
  <si>
    <t>白迪</t>
  </si>
  <si>
    <t>许阿云</t>
  </si>
  <si>
    <t>周叶珉</t>
  </si>
  <si>
    <t>李瑞敏</t>
  </si>
  <si>
    <t>陈嘉琳</t>
  </si>
  <si>
    <t>顾小萍</t>
  </si>
  <si>
    <t>庄家宙</t>
  </si>
  <si>
    <t>王书祥</t>
  </si>
  <si>
    <t>董玉兰</t>
  </si>
  <si>
    <t>徐陶然</t>
  </si>
  <si>
    <t>曾敏锐</t>
  </si>
  <si>
    <t>林子琪</t>
  </si>
  <si>
    <t>杨晓彦</t>
  </si>
  <si>
    <t>孟文文</t>
  </si>
  <si>
    <t>赵锦栋</t>
  </si>
  <si>
    <t>罗辰昊</t>
  </si>
  <si>
    <t>蒋嘉石</t>
  </si>
  <si>
    <t>李虎</t>
  </si>
  <si>
    <t>刘召龙</t>
  </si>
  <si>
    <t>魏榕慧</t>
  </si>
  <si>
    <t>张鑫</t>
  </si>
  <si>
    <t>杨萍</t>
  </si>
  <si>
    <t>刘智超</t>
  </si>
  <si>
    <t>张伟亮</t>
  </si>
  <si>
    <t>陈倩</t>
  </si>
  <si>
    <t>向治蓉</t>
  </si>
  <si>
    <t>段少楠</t>
  </si>
  <si>
    <t>路立静</t>
  </si>
  <si>
    <t>李亦佳</t>
  </si>
  <si>
    <t>陆雨欣</t>
  </si>
  <si>
    <t>王枫</t>
  </si>
  <si>
    <t>汪乐乐</t>
  </si>
  <si>
    <t>马胤</t>
  </si>
  <si>
    <t>王晓璇</t>
  </si>
  <si>
    <t>于璐</t>
  </si>
  <si>
    <t>刘异</t>
  </si>
  <si>
    <t>韩统优</t>
  </si>
  <si>
    <t>刘子昕</t>
  </si>
  <si>
    <t>李凯达</t>
  </si>
  <si>
    <t>刘雅昕</t>
  </si>
  <si>
    <t>吴证</t>
  </si>
  <si>
    <t>施怡伶</t>
  </si>
  <si>
    <t>任若琳</t>
  </si>
  <si>
    <t>王宇琦</t>
  </si>
  <si>
    <t>姚陈潇</t>
  </si>
  <si>
    <t>武燕蓉</t>
  </si>
  <si>
    <t>俞振飞</t>
  </si>
  <si>
    <t>刘雅雯</t>
  </si>
  <si>
    <t>杨陆</t>
  </si>
  <si>
    <t>陈晶</t>
  </si>
  <si>
    <t>王玉祥</t>
  </si>
  <si>
    <t>俞筱晨</t>
  </si>
  <si>
    <t>严彬华</t>
  </si>
  <si>
    <t>王璐珊</t>
  </si>
  <si>
    <t>周逸晨</t>
  </si>
  <si>
    <t>曾世杰</t>
  </si>
  <si>
    <t>宋轲</t>
  </si>
  <si>
    <t>曹婉茹</t>
  </si>
  <si>
    <t>王素雅</t>
  </si>
  <si>
    <t>李焕彰</t>
  </si>
  <si>
    <t>陆应佳玥</t>
  </si>
  <si>
    <t>成绘茜</t>
  </si>
  <si>
    <t>刘燕玲</t>
  </si>
  <si>
    <t>张宇桐</t>
  </si>
  <si>
    <t>张文婉</t>
  </si>
  <si>
    <t>刘思言</t>
  </si>
  <si>
    <t>舒宝龙</t>
  </si>
  <si>
    <t>李小萌</t>
  </si>
  <si>
    <t>周静</t>
  </si>
  <si>
    <t>孙菡悦</t>
  </si>
  <si>
    <t>单曙兵</t>
  </si>
  <si>
    <t>王新</t>
  </si>
  <si>
    <t>傅潜林</t>
  </si>
  <si>
    <t>刘欣玥</t>
  </si>
  <si>
    <t>袁毅堂</t>
  </si>
  <si>
    <t>姚天予</t>
  </si>
  <si>
    <t>李佳琪</t>
  </si>
  <si>
    <t>庄逸尘</t>
  </si>
  <si>
    <t>舒越</t>
  </si>
  <si>
    <t>谢丹伶</t>
  </si>
  <si>
    <t>黄可欣</t>
  </si>
  <si>
    <t>赵烨琳</t>
  </si>
  <si>
    <t>李梦霄</t>
  </si>
  <si>
    <t>程然</t>
  </si>
  <si>
    <t>王新蕾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</si>
</sst>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176" formatCode="yyyy\-mm\-dd"/>
    <numFmt numFmtId="44" formatCode="_ &quot;￥&quot;* #,##0.00_ ;_ &quot;￥&quot;* \-#,##0.00_ ;_ &quot;￥&quot;* &quot;-&quot;??_ ;_ @_ "/>
    <numFmt numFmtId="177" formatCode="#,##0.00_ "/>
    <numFmt numFmtId="42" formatCode="_ &quot;￥&quot;* #,##0_ ;_ &quot;￥&quot;* \-#,##0_ ;_ &quot;￥&quot;* &quot;-&quot;_ ;_ @_ "/>
    <numFmt numFmtId="43" formatCode="_ * #,##0.00_ ;_ * \-#,##0.00_ ;_ * &quot;-&quot;??_ ;_ @_ "/>
    <numFmt numFmtId="178" formatCode="0.0%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1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2" borderId="11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15" fillId="25" borderId="12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</cellStyleXfs>
  <cellXfs count="77">
    <xf numFmtId="0" fontId="0" fillId="0" borderId="0" xfId="0"/>
    <xf numFmtId="0" fontId="0" fillId="0" borderId="0" xfId="0" applyFill="1"/>
    <xf numFmtId="177" fontId="0" fillId="0" borderId="0" xfId="0" applyNumberFormat="1"/>
    <xf numFmtId="9" fontId="0" fillId="0" borderId="0" xfId="11" applyAlignment="1"/>
    <xf numFmtId="0" fontId="1" fillId="0" borderId="1" xfId="0" applyFont="1" applyFill="1" applyBorder="1" applyAlignment="1">
      <alignment horizontal="center" vertical="top"/>
    </xf>
    <xf numFmtId="177" fontId="1" fillId="0" borderId="1" xfId="0" applyNumberFormat="1" applyFont="1" applyFill="1" applyBorder="1" applyAlignment="1">
      <alignment horizontal="center" vertical="top"/>
    </xf>
    <xf numFmtId="9" fontId="1" fillId="0" borderId="1" xfId="11" applyFont="1" applyFill="1" applyBorder="1" applyAlignment="1">
      <alignment horizontal="center" vertical="top"/>
    </xf>
    <xf numFmtId="0" fontId="0" fillId="0" borderId="1" xfId="0" applyFont="1" applyFill="1" applyBorder="1" applyAlignment="1"/>
    <xf numFmtId="177" fontId="0" fillId="0" borderId="1" xfId="0" applyNumberFormat="1" applyBorder="1"/>
    <xf numFmtId="9" fontId="0" fillId="0" borderId="1" xfId="11" applyBorder="1" applyAlignment="1"/>
    <xf numFmtId="177" fontId="0" fillId="0" borderId="1" xfId="0" applyNumberFormat="1" applyFill="1" applyBorder="1"/>
    <xf numFmtId="0" fontId="0" fillId="2" borderId="1" xfId="0" applyFont="1" applyFill="1" applyBorder="1" applyAlignment="1"/>
    <xf numFmtId="177" fontId="0" fillId="2" borderId="1" xfId="0" applyNumberFormat="1" applyFill="1" applyBorder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1" xfId="0" applyFill="1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top"/>
    </xf>
    <xf numFmtId="0" fontId="0" fillId="3" borderId="2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3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top"/>
    </xf>
    <xf numFmtId="177" fontId="0" fillId="3" borderId="3" xfId="0" applyNumberFormat="1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top"/>
    </xf>
    <xf numFmtId="177" fontId="0" fillId="0" borderId="1" xfId="0" applyNumberFormat="1" applyFont="1" applyFill="1" applyBorder="1" applyAlignment="1"/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top"/>
    </xf>
    <xf numFmtId="0" fontId="0" fillId="4" borderId="1" xfId="0" applyFont="1" applyFill="1" applyBorder="1" applyAlignment="1"/>
    <xf numFmtId="10" fontId="0" fillId="3" borderId="2" xfId="11" applyNumberFormat="1" applyFont="1" applyFill="1" applyBorder="1" applyAlignment="1">
      <alignment horizontal="center" vertical="center"/>
    </xf>
    <xf numFmtId="10" fontId="0" fillId="0" borderId="4" xfId="11" applyNumberFormat="1" applyFont="1" applyFill="1" applyBorder="1" applyAlignment="1">
      <alignment horizontal="center" vertical="center"/>
    </xf>
    <xf numFmtId="177" fontId="0" fillId="0" borderId="3" xfId="11" applyNumberFormat="1" applyFont="1" applyFill="1" applyBorder="1" applyAlignment="1">
      <alignment horizontal="center" vertical="center"/>
    </xf>
    <xf numFmtId="0" fontId="0" fillId="5" borderId="0" xfId="0" applyFill="1"/>
    <xf numFmtId="0" fontId="0" fillId="2" borderId="0" xfId="0" applyFill="1"/>
    <xf numFmtId="177" fontId="0" fillId="2" borderId="0" xfId="0" applyNumberFormat="1" applyFill="1"/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177" fontId="0" fillId="2" borderId="3" xfId="0" applyNumberFormat="1" applyFont="1" applyFill="1" applyBorder="1" applyAlignment="1">
      <alignment horizontal="center" vertical="center"/>
    </xf>
    <xf numFmtId="177" fontId="0" fillId="5" borderId="1" xfId="0" applyNumberFormat="1" applyFont="1" applyFill="1" applyBorder="1" applyAlignment="1">
      <alignment horizontal="center" vertical="top"/>
    </xf>
    <xf numFmtId="177" fontId="0" fillId="5" borderId="1" xfId="0" applyNumberFormat="1" applyFont="1" applyFill="1" applyBorder="1" applyAlignment="1"/>
    <xf numFmtId="0" fontId="0" fillId="2" borderId="3" xfId="0" applyFont="1" applyFill="1" applyBorder="1" applyAlignment="1">
      <alignment horizontal="center" vertical="center"/>
    </xf>
    <xf numFmtId="177" fontId="0" fillId="2" borderId="1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177" fontId="0" fillId="5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3" borderId="5" xfId="0" applyFill="1" applyBorder="1"/>
    <xf numFmtId="177" fontId="0" fillId="0" borderId="1" xfId="0" applyNumberFormat="1" applyBorder="1"/>
    <xf numFmtId="177" fontId="0" fillId="2" borderId="1" xfId="0" applyNumberFormat="1" applyFont="1" applyFill="1" applyBorder="1" applyAlignment="1"/>
    <xf numFmtId="177" fontId="0" fillId="2" borderId="5" xfId="0" applyNumberFormat="1" applyFont="1" applyFill="1" applyBorder="1" applyAlignment="1"/>
    <xf numFmtId="177" fontId="0" fillId="5" borderId="3" xfId="11" applyNumberFormat="1" applyFont="1" applyFill="1" applyBorder="1" applyAlignment="1">
      <alignment horizontal="center" vertical="center"/>
    </xf>
    <xf numFmtId="177" fontId="0" fillId="2" borderId="3" xfId="1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78" fontId="1" fillId="0" borderId="1" xfId="11" applyNumberFormat="1" applyFont="1" applyFill="1" applyBorder="1" applyAlignment="1">
      <alignment horizontal="center" vertical="top"/>
    </xf>
    <xf numFmtId="0" fontId="0" fillId="0" borderId="1" xfId="0" applyFill="1" applyBorder="1"/>
    <xf numFmtId="178" fontId="0" fillId="0" borderId="1" xfId="11" applyNumberFormat="1" applyFill="1" applyBorder="1" applyAlignment="1"/>
    <xf numFmtId="0" fontId="1" fillId="6" borderId="1" xfId="0" applyFont="1" applyFill="1" applyBorder="1"/>
    <xf numFmtId="177" fontId="1" fillId="6" borderId="1" xfId="0" applyNumberFormat="1" applyFont="1" applyFill="1" applyBorder="1"/>
    <xf numFmtId="0" fontId="0" fillId="0" borderId="1" xfId="0" applyBorder="1" applyAlignment="1">
      <alignment horizontal="left"/>
    </xf>
    <xf numFmtId="177" fontId="0" fillId="0" borderId="1" xfId="11" applyNumberFormat="1" applyFill="1" applyBorder="1" applyAlignment="1"/>
    <xf numFmtId="10" fontId="0" fillId="0" borderId="1" xfId="11" applyNumberFormat="1" applyBorder="1" applyAlignment="1"/>
    <xf numFmtId="0" fontId="0" fillId="0" borderId="1" xfId="0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2788;&#29702;&#21518;&#34892;&#21592;&#32771;&#21220;&#25968;&#25454;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处理后数据"/>
      <sheetName val="科室日期出勤人天统计"/>
    </sheetNames>
    <sheetDataSet>
      <sheetData sheetId="0">
        <row r="1">
          <cell r="A1" t="str">
            <v>时长</v>
          </cell>
          <cell r="B1" t="str">
            <v>(多项)</v>
          </cell>
        </row>
        <row r="3">
          <cell r="A3" t="str">
            <v>姓名</v>
          </cell>
          <cell r="B3" t="str">
            <v>计数项:打卡日期</v>
          </cell>
        </row>
        <row r="4">
          <cell r="A4" t="str">
            <v>安新宜</v>
          </cell>
          <cell r="B4">
            <v>10</v>
          </cell>
        </row>
        <row r="5">
          <cell r="A5" t="str">
            <v>曹婕</v>
          </cell>
          <cell r="B5">
            <v>10</v>
          </cell>
        </row>
        <row r="6">
          <cell r="A6" t="str">
            <v>曹宁远</v>
          </cell>
          <cell r="B6">
            <v>9</v>
          </cell>
        </row>
        <row r="7">
          <cell r="A7" t="str">
            <v>曹婉茹</v>
          </cell>
          <cell r="B7">
            <v>9</v>
          </cell>
        </row>
        <row r="8">
          <cell r="A8" t="str">
            <v>曹翔</v>
          </cell>
          <cell r="B8">
            <v>10</v>
          </cell>
        </row>
        <row r="9">
          <cell r="A9" t="str">
            <v>曾敏锐</v>
          </cell>
          <cell r="B9">
            <v>10</v>
          </cell>
        </row>
        <row r="10">
          <cell r="A10" t="str">
            <v>曾世杰</v>
          </cell>
          <cell r="B10">
            <v>8</v>
          </cell>
        </row>
        <row r="11">
          <cell r="A11" t="str">
            <v>陈晨</v>
          </cell>
          <cell r="B11">
            <v>9</v>
          </cell>
        </row>
        <row r="12">
          <cell r="A12" t="str">
            <v>陈佳宁</v>
          </cell>
          <cell r="B12">
            <v>9</v>
          </cell>
        </row>
        <row r="13">
          <cell r="A13" t="str">
            <v>陈晶</v>
          </cell>
          <cell r="B13">
            <v>9</v>
          </cell>
        </row>
        <row r="14">
          <cell r="A14" t="str">
            <v>陈科宇</v>
          </cell>
          <cell r="B14">
            <v>10</v>
          </cell>
        </row>
        <row r="15">
          <cell r="A15" t="str">
            <v>陈朗</v>
          </cell>
          <cell r="B15">
            <v>10</v>
          </cell>
        </row>
        <row r="16">
          <cell r="A16" t="str">
            <v>陈倩</v>
          </cell>
          <cell r="B16">
            <v>10</v>
          </cell>
        </row>
        <row r="17">
          <cell r="A17" t="str">
            <v>陈睿菁</v>
          </cell>
          <cell r="B17">
            <v>10</v>
          </cell>
        </row>
        <row r="18">
          <cell r="A18" t="str">
            <v>陈世辉</v>
          </cell>
          <cell r="B18">
            <v>9</v>
          </cell>
        </row>
        <row r="19">
          <cell r="A19" t="str">
            <v>陈笑轩</v>
          </cell>
          <cell r="B19">
            <v>10</v>
          </cell>
        </row>
        <row r="20">
          <cell r="A20" t="str">
            <v>陈彦百</v>
          </cell>
          <cell r="B20">
            <v>10</v>
          </cell>
        </row>
        <row r="21">
          <cell r="A21" t="str">
            <v>陈逸枫</v>
          </cell>
          <cell r="B21">
            <v>10</v>
          </cell>
        </row>
        <row r="22">
          <cell r="A22" t="str">
            <v>陈玉思</v>
          </cell>
          <cell r="B22">
            <v>10</v>
          </cell>
        </row>
        <row r="23">
          <cell r="A23" t="str">
            <v>成绘茜</v>
          </cell>
          <cell r="B23">
            <v>10</v>
          </cell>
        </row>
        <row r="24">
          <cell r="A24" t="str">
            <v>程润铎</v>
          </cell>
          <cell r="B24">
            <v>10</v>
          </cell>
        </row>
        <row r="25">
          <cell r="A25" t="str">
            <v>崔建文</v>
          </cell>
          <cell r="B25">
            <v>11</v>
          </cell>
        </row>
        <row r="26">
          <cell r="A26" t="str">
            <v>刁磊</v>
          </cell>
          <cell r="B26">
            <v>10</v>
          </cell>
        </row>
        <row r="27">
          <cell r="A27" t="str">
            <v>丁晨</v>
          </cell>
          <cell r="B27">
            <v>10</v>
          </cell>
        </row>
        <row r="28">
          <cell r="A28" t="str">
            <v>董玉兰</v>
          </cell>
          <cell r="B28">
            <v>10</v>
          </cell>
        </row>
        <row r="29">
          <cell r="A29" t="str">
            <v>窦博文</v>
          </cell>
          <cell r="B29">
            <v>11</v>
          </cell>
        </row>
        <row r="30">
          <cell r="A30" t="str">
            <v>杜乐</v>
          </cell>
          <cell r="B30">
            <v>9</v>
          </cell>
        </row>
        <row r="31">
          <cell r="A31" t="str">
            <v>段少楠</v>
          </cell>
          <cell r="B31">
            <v>10</v>
          </cell>
        </row>
        <row r="32">
          <cell r="A32" t="str">
            <v>范佳</v>
          </cell>
          <cell r="B32">
            <v>10</v>
          </cell>
        </row>
        <row r="33">
          <cell r="A33" t="str">
            <v>冯潇</v>
          </cell>
          <cell r="B33">
            <v>7</v>
          </cell>
        </row>
        <row r="34">
          <cell r="A34" t="str">
            <v>冯晓煜</v>
          </cell>
          <cell r="B34">
            <v>9</v>
          </cell>
        </row>
        <row r="35">
          <cell r="A35" t="str">
            <v>傅潜林</v>
          </cell>
          <cell r="B35">
            <v>5</v>
          </cell>
        </row>
        <row r="36">
          <cell r="A36" t="str">
            <v>高天宁</v>
          </cell>
          <cell r="B36">
            <v>9</v>
          </cell>
        </row>
        <row r="37">
          <cell r="A37" t="str">
            <v>高源</v>
          </cell>
          <cell r="B37">
            <v>10</v>
          </cell>
        </row>
        <row r="38">
          <cell r="A38" t="str">
            <v>龚毅磊</v>
          </cell>
          <cell r="B38">
            <v>10</v>
          </cell>
        </row>
        <row r="39">
          <cell r="A39" t="str">
            <v>顾小萍</v>
          </cell>
          <cell r="B39">
            <v>9</v>
          </cell>
        </row>
        <row r="40">
          <cell r="A40" t="str">
            <v>郭骏</v>
          </cell>
          <cell r="B40">
            <v>12</v>
          </cell>
        </row>
        <row r="41">
          <cell r="A41" t="str">
            <v>郭逊</v>
          </cell>
          <cell r="B41">
            <v>10</v>
          </cell>
        </row>
        <row r="42">
          <cell r="A42" t="str">
            <v>郭旖霏</v>
          </cell>
          <cell r="B42">
            <v>10</v>
          </cell>
        </row>
        <row r="43">
          <cell r="A43" t="str">
            <v>郭子瑞</v>
          </cell>
          <cell r="B43">
            <v>10</v>
          </cell>
        </row>
        <row r="44">
          <cell r="A44" t="str">
            <v>韩统优</v>
          </cell>
          <cell r="B44">
            <v>9</v>
          </cell>
        </row>
        <row r="45">
          <cell r="A45" t="str">
            <v>胡超亭</v>
          </cell>
          <cell r="B45">
            <v>10</v>
          </cell>
        </row>
        <row r="46">
          <cell r="A46" t="str">
            <v>胡承萱</v>
          </cell>
          <cell r="B46">
            <v>10</v>
          </cell>
        </row>
        <row r="47">
          <cell r="A47" t="str">
            <v>胡楚</v>
          </cell>
          <cell r="B47">
            <v>10</v>
          </cell>
        </row>
        <row r="48">
          <cell r="A48" t="str">
            <v>胡帆</v>
          </cell>
          <cell r="B48">
            <v>9</v>
          </cell>
        </row>
        <row r="49">
          <cell r="A49" t="str">
            <v>胡庆</v>
          </cell>
          <cell r="B49">
            <v>8</v>
          </cell>
        </row>
        <row r="50">
          <cell r="A50" t="str">
            <v>胡雯</v>
          </cell>
          <cell r="B50">
            <v>8</v>
          </cell>
        </row>
        <row r="51">
          <cell r="A51" t="str">
            <v>黄佳佳</v>
          </cell>
          <cell r="B51">
            <v>10</v>
          </cell>
        </row>
        <row r="52">
          <cell r="A52" t="str">
            <v>黄可欣</v>
          </cell>
          <cell r="B52">
            <v>1</v>
          </cell>
        </row>
        <row r="53">
          <cell r="A53" t="str">
            <v>黄亦豪</v>
          </cell>
          <cell r="B53">
            <v>9</v>
          </cell>
        </row>
        <row r="54">
          <cell r="A54" t="str">
            <v>黄哲睿</v>
          </cell>
          <cell r="B54">
            <v>10</v>
          </cell>
        </row>
        <row r="55">
          <cell r="A55" t="str">
            <v>嵇雅娟</v>
          </cell>
          <cell r="B55">
            <v>8</v>
          </cell>
        </row>
        <row r="56">
          <cell r="A56" t="str">
            <v>贾世林</v>
          </cell>
          <cell r="B56">
            <v>10</v>
          </cell>
        </row>
        <row r="57">
          <cell r="A57" t="str">
            <v>蒋嘉石</v>
          </cell>
          <cell r="B57">
            <v>10</v>
          </cell>
        </row>
        <row r="58">
          <cell r="A58" t="str">
            <v>蒋捷</v>
          </cell>
          <cell r="B58">
            <v>10</v>
          </cell>
        </row>
        <row r="59">
          <cell r="A59" t="str">
            <v>蒋书润</v>
          </cell>
          <cell r="B59">
            <v>10</v>
          </cell>
        </row>
        <row r="60">
          <cell r="A60" t="str">
            <v>景丞</v>
          </cell>
          <cell r="B60">
            <v>10</v>
          </cell>
        </row>
        <row r="61">
          <cell r="A61" t="str">
            <v>居振宇</v>
          </cell>
          <cell r="B61">
            <v>10</v>
          </cell>
        </row>
        <row r="62">
          <cell r="A62" t="str">
            <v>鞠爱宁</v>
          </cell>
          <cell r="B62">
            <v>9</v>
          </cell>
        </row>
        <row r="63">
          <cell r="A63" t="str">
            <v>康冉</v>
          </cell>
          <cell r="B63">
            <v>10</v>
          </cell>
        </row>
        <row r="64">
          <cell r="A64" t="str">
            <v>兰昕蕾</v>
          </cell>
          <cell r="B64">
            <v>10</v>
          </cell>
        </row>
        <row r="65">
          <cell r="A65" t="str">
            <v>李虎</v>
          </cell>
          <cell r="B65">
            <v>10</v>
          </cell>
        </row>
        <row r="66">
          <cell r="A66" t="str">
            <v>李佳琪</v>
          </cell>
          <cell r="B66">
            <v>3</v>
          </cell>
        </row>
        <row r="67">
          <cell r="A67" t="str">
            <v>李凯达</v>
          </cell>
          <cell r="B67">
            <v>9</v>
          </cell>
        </row>
        <row r="68">
          <cell r="A68" t="str">
            <v>李凯文</v>
          </cell>
          <cell r="B68">
            <v>10</v>
          </cell>
        </row>
        <row r="69">
          <cell r="A69" t="str">
            <v>李莉</v>
          </cell>
          <cell r="B69">
            <v>10</v>
          </cell>
        </row>
        <row r="70">
          <cell r="A70" t="str">
            <v>李敏吉</v>
          </cell>
          <cell r="B70">
            <v>9</v>
          </cell>
        </row>
        <row r="71">
          <cell r="A71" t="str">
            <v>李然</v>
          </cell>
          <cell r="B71">
            <v>10</v>
          </cell>
        </row>
        <row r="72">
          <cell r="A72" t="str">
            <v>李瑞敏</v>
          </cell>
          <cell r="B72">
            <v>12</v>
          </cell>
        </row>
        <row r="73">
          <cell r="A73" t="str">
            <v>李天卓</v>
          </cell>
          <cell r="B73">
            <v>9</v>
          </cell>
        </row>
        <row r="74">
          <cell r="A74" t="str">
            <v>李维浩</v>
          </cell>
          <cell r="B74">
            <v>9</v>
          </cell>
        </row>
        <row r="75">
          <cell r="A75" t="str">
            <v>李响</v>
          </cell>
          <cell r="B75">
            <v>9</v>
          </cell>
        </row>
        <row r="76">
          <cell r="A76" t="str">
            <v>李小萌</v>
          </cell>
          <cell r="B76">
            <v>7</v>
          </cell>
        </row>
        <row r="77">
          <cell r="A77" t="str">
            <v>李亦佳</v>
          </cell>
          <cell r="B77">
            <v>10</v>
          </cell>
        </row>
        <row r="78">
          <cell r="A78" t="str">
            <v>李禹凝</v>
          </cell>
          <cell r="B78">
            <v>10</v>
          </cell>
        </row>
        <row r="79">
          <cell r="A79" t="str">
            <v>李卓辉</v>
          </cell>
          <cell r="B79">
            <v>9</v>
          </cell>
        </row>
        <row r="80">
          <cell r="A80" t="str">
            <v>连静</v>
          </cell>
          <cell r="B80">
            <v>10</v>
          </cell>
        </row>
        <row r="81">
          <cell r="A81" t="str">
            <v>廖宇杰</v>
          </cell>
          <cell r="B81">
            <v>10</v>
          </cell>
        </row>
        <row r="82">
          <cell r="A82" t="str">
            <v>林幸</v>
          </cell>
          <cell r="B82">
            <v>10</v>
          </cell>
        </row>
        <row r="83">
          <cell r="A83" t="str">
            <v>林子琪</v>
          </cell>
          <cell r="B83">
            <v>10</v>
          </cell>
        </row>
        <row r="84">
          <cell r="A84" t="str">
            <v>刘惠</v>
          </cell>
          <cell r="B84">
            <v>9</v>
          </cell>
        </row>
        <row r="85">
          <cell r="A85" t="str">
            <v>刘金良</v>
          </cell>
          <cell r="B85">
            <v>10</v>
          </cell>
        </row>
        <row r="86">
          <cell r="A86" t="str">
            <v>刘梦颖</v>
          </cell>
          <cell r="B86">
            <v>10</v>
          </cell>
        </row>
        <row r="87">
          <cell r="A87" t="str">
            <v>刘思言</v>
          </cell>
          <cell r="B87">
            <v>8</v>
          </cell>
        </row>
        <row r="88">
          <cell r="A88" t="str">
            <v>刘晓丹</v>
          </cell>
          <cell r="B88">
            <v>10</v>
          </cell>
        </row>
        <row r="89">
          <cell r="A89" t="str">
            <v>刘欣玥</v>
          </cell>
          <cell r="B89">
            <v>3</v>
          </cell>
        </row>
        <row r="90">
          <cell r="A90" t="str">
            <v>刘雅雯</v>
          </cell>
          <cell r="B90">
            <v>10</v>
          </cell>
        </row>
        <row r="91">
          <cell r="A91" t="str">
            <v>刘雅昕</v>
          </cell>
          <cell r="B91">
            <v>10</v>
          </cell>
        </row>
        <row r="92">
          <cell r="A92" t="str">
            <v>刘燕玲</v>
          </cell>
          <cell r="B92">
            <v>8</v>
          </cell>
        </row>
        <row r="93">
          <cell r="A93" t="str">
            <v>刘召龙</v>
          </cell>
          <cell r="B93">
            <v>9</v>
          </cell>
        </row>
        <row r="94">
          <cell r="A94" t="str">
            <v>刘智超</v>
          </cell>
          <cell r="B94">
            <v>10</v>
          </cell>
        </row>
        <row r="95">
          <cell r="A95" t="str">
            <v>刘子昕</v>
          </cell>
          <cell r="B95">
            <v>10</v>
          </cell>
        </row>
        <row r="96">
          <cell r="A96" t="str">
            <v>陆慧</v>
          </cell>
          <cell r="B96">
            <v>7</v>
          </cell>
        </row>
        <row r="97">
          <cell r="A97" t="str">
            <v>陆凯华</v>
          </cell>
          <cell r="B97">
            <v>8</v>
          </cell>
        </row>
        <row r="98">
          <cell r="A98" t="str">
            <v>陆凌姣</v>
          </cell>
          <cell r="B98">
            <v>10</v>
          </cell>
        </row>
        <row r="99">
          <cell r="A99" t="str">
            <v>陆文捷</v>
          </cell>
          <cell r="B99">
            <v>9</v>
          </cell>
        </row>
        <row r="100">
          <cell r="A100" t="str">
            <v>陆应佳玥</v>
          </cell>
          <cell r="B100">
            <v>8</v>
          </cell>
        </row>
        <row r="101">
          <cell r="A101" t="str">
            <v>陆雨欣</v>
          </cell>
          <cell r="B101">
            <v>10</v>
          </cell>
        </row>
        <row r="102">
          <cell r="A102" t="str">
            <v>路立静</v>
          </cell>
          <cell r="B102">
            <v>10</v>
          </cell>
        </row>
        <row r="103">
          <cell r="A103" t="str">
            <v>罗辰昊</v>
          </cell>
          <cell r="B103">
            <v>10</v>
          </cell>
        </row>
        <row r="104">
          <cell r="A104" t="str">
            <v>罗仁杰</v>
          </cell>
          <cell r="B104">
            <v>7</v>
          </cell>
        </row>
        <row r="105">
          <cell r="A105" t="str">
            <v>骆静龙</v>
          </cell>
          <cell r="B105">
            <v>10</v>
          </cell>
        </row>
        <row r="106">
          <cell r="A106" t="str">
            <v>吕晶</v>
          </cell>
          <cell r="B106">
            <v>10</v>
          </cell>
        </row>
        <row r="107">
          <cell r="A107" t="str">
            <v>吕丽丽</v>
          </cell>
          <cell r="B107">
            <v>11</v>
          </cell>
        </row>
        <row r="108">
          <cell r="A108" t="str">
            <v>马方</v>
          </cell>
          <cell r="B108">
            <v>2</v>
          </cell>
        </row>
        <row r="109">
          <cell r="A109" t="str">
            <v>马富强</v>
          </cell>
          <cell r="B109">
            <v>6</v>
          </cell>
        </row>
        <row r="110">
          <cell r="A110" t="str">
            <v>马文杰</v>
          </cell>
          <cell r="B110">
            <v>11</v>
          </cell>
        </row>
        <row r="111">
          <cell r="A111" t="str">
            <v>马亦沁</v>
          </cell>
          <cell r="B111">
            <v>10</v>
          </cell>
        </row>
        <row r="112">
          <cell r="A112" t="str">
            <v>梅凯磊</v>
          </cell>
          <cell r="B112">
            <v>10</v>
          </cell>
        </row>
        <row r="113">
          <cell r="A113" t="str">
            <v>梅苏源</v>
          </cell>
          <cell r="B113">
            <v>10</v>
          </cell>
        </row>
        <row r="114">
          <cell r="A114" t="str">
            <v>孟文文</v>
          </cell>
          <cell r="B114">
            <v>10</v>
          </cell>
        </row>
        <row r="115">
          <cell r="A115" t="str">
            <v>米俊文</v>
          </cell>
          <cell r="B115">
            <v>10</v>
          </cell>
        </row>
        <row r="116">
          <cell r="A116" t="str">
            <v>潘修滔</v>
          </cell>
          <cell r="B116">
            <v>9</v>
          </cell>
        </row>
        <row r="117">
          <cell r="A117" t="str">
            <v>裴佳翔</v>
          </cell>
          <cell r="B117">
            <v>7</v>
          </cell>
        </row>
        <row r="118">
          <cell r="A118" t="str">
            <v>濮敏</v>
          </cell>
          <cell r="B118">
            <v>10</v>
          </cell>
        </row>
        <row r="119">
          <cell r="A119" t="str">
            <v>祁鑫</v>
          </cell>
          <cell r="B119">
            <v>10</v>
          </cell>
        </row>
        <row r="120">
          <cell r="A120" t="str">
            <v>钱德鑫</v>
          </cell>
          <cell r="B120">
            <v>10</v>
          </cell>
        </row>
        <row r="121">
          <cell r="A121" t="str">
            <v>钱磊</v>
          </cell>
          <cell r="B121">
            <v>10</v>
          </cell>
        </row>
        <row r="122">
          <cell r="A122" t="str">
            <v>任若琳</v>
          </cell>
          <cell r="B122">
            <v>10</v>
          </cell>
        </row>
        <row r="123">
          <cell r="A123" t="str">
            <v>任欣宇</v>
          </cell>
          <cell r="B123">
            <v>10</v>
          </cell>
        </row>
        <row r="124">
          <cell r="A124" t="str">
            <v>阮靖龙</v>
          </cell>
          <cell r="B124">
            <v>10</v>
          </cell>
        </row>
        <row r="125">
          <cell r="A125" t="str">
            <v>沈志贇</v>
          </cell>
          <cell r="B125">
            <v>10</v>
          </cell>
        </row>
        <row r="126">
          <cell r="A126" t="str">
            <v>沈子新</v>
          </cell>
          <cell r="B126">
            <v>10</v>
          </cell>
        </row>
        <row r="127">
          <cell r="A127" t="str">
            <v>施怡伶</v>
          </cell>
          <cell r="B127">
            <v>10</v>
          </cell>
        </row>
        <row r="128">
          <cell r="A128" t="str">
            <v>史朋飞</v>
          </cell>
          <cell r="B128">
            <v>9</v>
          </cell>
        </row>
        <row r="129">
          <cell r="A129" t="str">
            <v>舒宝龙</v>
          </cell>
          <cell r="B129">
            <v>7</v>
          </cell>
        </row>
        <row r="130">
          <cell r="A130" t="str">
            <v>舒越</v>
          </cell>
          <cell r="B130">
            <v>2</v>
          </cell>
        </row>
        <row r="131">
          <cell r="A131" t="str">
            <v>宋轲</v>
          </cell>
          <cell r="B131">
            <v>9</v>
          </cell>
        </row>
        <row r="132">
          <cell r="A132" t="str">
            <v>宋子夜</v>
          </cell>
          <cell r="B132">
            <v>9</v>
          </cell>
        </row>
        <row r="133">
          <cell r="A133" t="str">
            <v>孙菡悦</v>
          </cell>
          <cell r="B133">
            <v>6</v>
          </cell>
        </row>
        <row r="134">
          <cell r="A134" t="str">
            <v>田振宇</v>
          </cell>
          <cell r="B134">
            <v>10</v>
          </cell>
        </row>
        <row r="135">
          <cell r="A135" t="str">
            <v>佟嘉欣</v>
          </cell>
          <cell r="B135">
            <v>10</v>
          </cell>
        </row>
        <row r="136">
          <cell r="A136" t="str">
            <v>宛蕾</v>
          </cell>
          <cell r="B136">
            <v>10</v>
          </cell>
        </row>
        <row r="137">
          <cell r="A137" t="str">
            <v>万珊红</v>
          </cell>
          <cell r="B137">
            <v>9</v>
          </cell>
        </row>
        <row r="138">
          <cell r="A138" t="str">
            <v>汪乐乐</v>
          </cell>
          <cell r="B138">
            <v>9</v>
          </cell>
        </row>
        <row r="139">
          <cell r="A139" t="str">
            <v>汪子健</v>
          </cell>
          <cell r="B139">
            <v>8</v>
          </cell>
        </row>
        <row r="140">
          <cell r="A140" t="str">
            <v>王春雨</v>
          </cell>
          <cell r="B140">
            <v>10</v>
          </cell>
        </row>
        <row r="141">
          <cell r="A141" t="str">
            <v>王枫</v>
          </cell>
          <cell r="B141">
            <v>10</v>
          </cell>
        </row>
        <row r="142">
          <cell r="A142" t="str">
            <v>王璐珊</v>
          </cell>
          <cell r="B142">
            <v>9</v>
          </cell>
        </row>
        <row r="143">
          <cell r="A143" t="str">
            <v>王萌萌</v>
          </cell>
          <cell r="B143">
            <v>9</v>
          </cell>
        </row>
        <row r="144">
          <cell r="A144" t="str">
            <v>王书祥</v>
          </cell>
          <cell r="B144">
            <v>9</v>
          </cell>
        </row>
        <row r="145">
          <cell r="A145" t="str">
            <v>王双钰</v>
          </cell>
          <cell r="B145">
            <v>11</v>
          </cell>
        </row>
        <row r="146">
          <cell r="A146" t="str">
            <v>王素雅</v>
          </cell>
          <cell r="B146">
            <v>8</v>
          </cell>
        </row>
        <row r="147">
          <cell r="A147" t="str">
            <v>王伟</v>
          </cell>
          <cell r="B147">
            <v>10</v>
          </cell>
        </row>
        <row r="148">
          <cell r="A148" t="str">
            <v>王曦东</v>
          </cell>
          <cell r="B148">
            <v>9</v>
          </cell>
        </row>
        <row r="149">
          <cell r="A149" t="str">
            <v>王晓璇</v>
          </cell>
          <cell r="B149">
            <v>8</v>
          </cell>
        </row>
        <row r="150">
          <cell r="A150" t="str">
            <v>王笑丹</v>
          </cell>
          <cell r="B150">
            <v>10</v>
          </cell>
        </row>
        <row r="151">
          <cell r="A151" t="str">
            <v>王新</v>
          </cell>
          <cell r="B151">
            <v>4</v>
          </cell>
        </row>
        <row r="152">
          <cell r="A152" t="str">
            <v>王言哲</v>
          </cell>
          <cell r="B152">
            <v>8</v>
          </cell>
        </row>
        <row r="153">
          <cell r="A153" t="str">
            <v>王友轩</v>
          </cell>
          <cell r="B153">
            <v>10</v>
          </cell>
        </row>
        <row r="154">
          <cell r="A154" t="str">
            <v>王宇琦</v>
          </cell>
          <cell r="B154">
            <v>10</v>
          </cell>
        </row>
        <row r="155">
          <cell r="A155" t="str">
            <v>王玉祥</v>
          </cell>
          <cell r="B155">
            <v>10</v>
          </cell>
        </row>
        <row r="156">
          <cell r="A156" t="str">
            <v>王正超</v>
          </cell>
          <cell r="B156">
            <v>10</v>
          </cell>
        </row>
        <row r="157">
          <cell r="A157" t="str">
            <v>王子枫</v>
          </cell>
          <cell r="B157">
            <v>7</v>
          </cell>
        </row>
        <row r="158">
          <cell r="A158" t="str">
            <v>卫彩萍</v>
          </cell>
          <cell r="B158">
            <v>10</v>
          </cell>
        </row>
        <row r="159">
          <cell r="A159" t="str">
            <v>魏佳翔</v>
          </cell>
          <cell r="B159">
            <v>9</v>
          </cell>
        </row>
        <row r="160">
          <cell r="A160" t="str">
            <v>魏榕慧</v>
          </cell>
          <cell r="B160">
            <v>10</v>
          </cell>
        </row>
        <row r="161">
          <cell r="A161" t="str">
            <v>吴小倩</v>
          </cell>
          <cell r="B161">
            <v>11</v>
          </cell>
        </row>
        <row r="162">
          <cell r="A162" t="str">
            <v>吴越</v>
          </cell>
          <cell r="B162">
            <v>8</v>
          </cell>
        </row>
        <row r="163">
          <cell r="A163" t="str">
            <v>伍恒</v>
          </cell>
          <cell r="B163">
            <v>10</v>
          </cell>
        </row>
        <row r="164">
          <cell r="A164" t="str">
            <v>武燕蓉</v>
          </cell>
          <cell r="B164">
            <v>10</v>
          </cell>
        </row>
        <row r="165">
          <cell r="A165" t="str">
            <v>向治蓉</v>
          </cell>
          <cell r="B165">
            <v>9</v>
          </cell>
        </row>
        <row r="166">
          <cell r="A166" t="str">
            <v>谢丹伶</v>
          </cell>
          <cell r="B166">
            <v>1</v>
          </cell>
        </row>
        <row r="167">
          <cell r="A167" t="str">
            <v>徐旻涵</v>
          </cell>
          <cell r="B167">
            <v>7</v>
          </cell>
        </row>
        <row r="168">
          <cell r="A168" t="str">
            <v>徐倩茹</v>
          </cell>
          <cell r="B168">
            <v>10</v>
          </cell>
        </row>
        <row r="169">
          <cell r="A169" t="str">
            <v>徐陶然</v>
          </cell>
          <cell r="B169">
            <v>10</v>
          </cell>
        </row>
        <row r="170">
          <cell r="A170" t="str">
            <v>许阿云</v>
          </cell>
          <cell r="B170">
            <v>9</v>
          </cell>
        </row>
        <row r="171">
          <cell r="A171" t="str">
            <v>许天凝</v>
          </cell>
          <cell r="B171">
            <v>10</v>
          </cell>
        </row>
        <row r="172">
          <cell r="A172" t="str">
            <v>严彬华</v>
          </cell>
          <cell r="B172">
            <v>8</v>
          </cell>
        </row>
        <row r="173">
          <cell r="A173" t="str">
            <v>杨婧</v>
          </cell>
          <cell r="B173">
            <v>10</v>
          </cell>
        </row>
        <row r="174">
          <cell r="A174" t="str">
            <v>杨陆</v>
          </cell>
          <cell r="B174">
            <v>9</v>
          </cell>
        </row>
        <row r="175">
          <cell r="A175" t="str">
            <v>姚陈潇</v>
          </cell>
          <cell r="B175">
            <v>10</v>
          </cell>
        </row>
        <row r="176">
          <cell r="A176" t="str">
            <v>姚蜜</v>
          </cell>
          <cell r="B176">
            <v>10</v>
          </cell>
        </row>
        <row r="177">
          <cell r="A177" t="str">
            <v>姚天予</v>
          </cell>
          <cell r="B177">
            <v>3</v>
          </cell>
        </row>
        <row r="178">
          <cell r="A178" t="str">
            <v>姚志环</v>
          </cell>
          <cell r="B178">
            <v>9</v>
          </cell>
        </row>
        <row r="179">
          <cell r="A179" t="str">
            <v>叶胜</v>
          </cell>
          <cell r="B179">
            <v>9</v>
          </cell>
        </row>
        <row r="180">
          <cell r="A180" t="str">
            <v>于俊杰</v>
          </cell>
          <cell r="B180">
            <v>12</v>
          </cell>
        </row>
        <row r="181">
          <cell r="A181" t="str">
            <v>于璐</v>
          </cell>
          <cell r="B181">
            <v>10</v>
          </cell>
        </row>
        <row r="182">
          <cell r="A182" t="str">
            <v>于中宝</v>
          </cell>
          <cell r="B182">
            <v>10</v>
          </cell>
        </row>
        <row r="183">
          <cell r="A183" t="str">
            <v>俞筱晨</v>
          </cell>
          <cell r="B183">
            <v>9</v>
          </cell>
        </row>
        <row r="184">
          <cell r="A184" t="str">
            <v>俞振飞</v>
          </cell>
          <cell r="B184">
            <v>9</v>
          </cell>
        </row>
        <row r="185">
          <cell r="A185" t="str">
            <v>袁凯</v>
          </cell>
          <cell r="B185">
            <v>8</v>
          </cell>
        </row>
        <row r="186">
          <cell r="A186" t="str">
            <v>袁毅堂</v>
          </cell>
          <cell r="B186">
            <v>3</v>
          </cell>
        </row>
        <row r="187">
          <cell r="A187" t="str">
            <v>占桐</v>
          </cell>
          <cell r="B187">
            <v>10</v>
          </cell>
        </row>
        <row r="188">
          <cell r="A188" t="str">
            <v>张必歌</v>
          </cell>
          <cell r="B188">
            <v>10</v>
          </cell>
        </row>
        <row r="189">
          <cell r="A189" t="str">
            <v>张放</v>
          </cell>
          <cell r="B189">
            <v>9</v>
          </cell>
        </row>
        <row r="190">
          <cell r="A190" t="str">
            <v>张峰</v>
          </cell>
          <cell r="B190">
            <v>7</v>
          </cell>
        </row>
        <row r="191">
          <cell r="A191" t="str">
            <v>张海濛</v>
          </cell>
          <cell r="B191">
            <v>10</v>
          </cell>
        </row>
        <row r="192">
          <cell r="A192" t="str">
            <v>张佳</v>
          </cell>
          <cell r="B192">
            <v>8</v>
          </cell>
        </row>
        <row r="193">
          <cell r="A193" t="str">
            <v>张镓奇</v>
          </cell>
          <cell r="B193">
            <v>10</v>
          </cell>
        </row>
        <row r="194">
          <cell r="A194" t="str">
            <v>张梦琦</v>
          </cell>
          <cell r="B194">
            <v>10</v>
          </cell>
        </row>
        <row r="195">
          <cell r="A195" t="str">
            <v>张倩</v>
          </cell>
          <cell r="B195">
            <v>9</v>
          </cell>
        </row>
        <row r="196">
          <cell r="A196" t="str">
            <v>张顺</v>
          </cell>
          <cell r="B196">
            <v>10</v>
          </cell>
        </row>
        <row r="197">
          <cell r="A197" t="str">
            <v>张伟亮</v>
          </cell>
          <cell r="B197">
            <v>9</v>
          </cell>
        </row>
        <row r="198">
          <cell r="A198" t="str">
            <v>张文婉</v>
          </cell>
          <cell r="B198">
            <v>10</v>
          </cell>
        </row>
        <row r="199">
          <cell r="A199" t="str">
            <v>张鑫</v>
          </cell>
          <cell r="B199">
            <v>10</v>
          </cell>
        </row>
        <row r="200">
          <cell r="A200" t="str">
            <v>张雅淇</v>
          </cell>
          <cell r="B200">
            <v>9</v>
          </cell>
        </row>
        <row r="201">
          <cell r="A201" t="str">
            <v>张依然</v>
          </cell>
          <cell r="B201">
            <v>10</v>
          </cell>
        </row>
        <row r="202">
          <cell r="A202" t="str">
            <v>张宇桐</v>
          </cell>
          <cell r="B202">
            <v>9</v>
          </cell>
        </row>
        <row r="203">
          <cell r="A203" t="str">
            <v>张雨轩</v>
          </cell>
          <cell r="B203">
            <v>10</v>
          </cell>
        </row>
        <row r="204">
          <cell r="A204" t="str">
            <v>张子璐</v>
          </cell>
          <cell r="B204">
            <v>10</v>
          </cell>
        </row>
        <row r="205">
          <cell r="A205" t="str">
            <v>赵超</v>
          </cell>
          <cell r="B205">
            <v>10</v>
          </cell>
        </row>
        <row r="206">
          <cell r="A206" t="str">
            <v>赵家乐</v>
          </cell>
          <cell r="B206">
            <v>13</v>
          </cell>
        </row>
        <row r="207">
          <cell r="A207" t="str">
            <v>赵锦栋</v>
          </cell>
          <cell r="B207">
            <v>10</v>
          </cell>
        </row>
        <row r="208">
          <cell r="A208" t="str">
            <v>赵雅婷</v>
          </cell>
          <cell r="B208">
            <v>10</v>
          </cell>
        </row>
        <row r="209">
          <cell r="A209" t="str">
            <v>郑卞钰</v>
          </cell>
          <cell r="B209">
            <v>10</v>
          </cell>
        </row>
        <row r="210">
          <cell r="A210" t="str">
            <v>周静</v>
          </cell>
          <cell r="B210">
            <v>6</v>
          </cell>
        </row>
        <row r="211">
          <cell r="A211" t="str">
            <v>周龙</v>
          </cell>
          <cell r="B211">
            <v>9</v>
          </cell>
        </row>
        <row r="212">
          <cell r="A212" t="str">
            <v>周叶珉</v>
          </cell>
          <cell r="B212">
            <v>10</v>
          </cell>
        </row>
        <row r="213">
          <cell r="A213" t="str">
            <v>周亦婷</v>
          </cell>
          <cell r="B213">
            <v>9</v>
          </cell>
        </row>
        <row r="214">
          <cell r="A214" t="str">
            <v>周逸晨</v>
          </cell>
          <cell r="B214">
            <v>9</v>
          </cell>
        </row>
        <row r="215">
          <cell r="A215" t="str">
            <v>周影</v>
          </cell>
          <cell r="B215">
            <v>10</v>
          </cell>
        </row>
        <row r="216">
          <cell r="A216" t="str">
            <v>朱笛</v>
          </cell>
          <cell r="B216">
            <v>11</v>
          </cell>
        </row>
        <row r="217">
          <cell r="A217" t="str">
            <v>朱嘉玮</v>
          </cell>
          <cell r="B217">
            <v>9</v>
          </cell>
        </row>
        <row r="218">
          <cell r="A218" t="str">
            <v>朱文川</v>
          </cell>
          <cell r="B218">
            <v>11</v>
          </cell>
        </row>
        <row r="219">
          <cell r="A219" t="str">
            <v>朱宇畅</v>
          </cell>
          <cell r="B219">
            <v>10</v>
          </cell>
        </row>
        <row r="220">
          <cell r="A220" t="str">
            <v>诸倩铷</v>
          </cell>
          <cell r="B220">
            <v>10</v>
          </cell>
        </row>
        <row r="221">
          <cell r="A221" t="str">
            <v>庄家宙</v>
          </cell>
          <cell r="B221">
            <v>10</v>
          </cell>
        </row>
        <row r="222">
          <cell r="A222" t="str">
            <v>庄逸尘</v>
          </cell>
          <cell r="B222">
            <v>2</v>
          </cell>
        </row>
        <row r="223">
          <cell r="A223" t="str">
            <v>邹小芳</v>
          </cell>
          <cell r="B223">
            <v>10</v>
          </cell>
        </row>
        <row r="224">
          <cell r="A224" t="str">
            <v>总计</v>
          </cell>
          <cell r="B224">
            <v>2015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24"/>
  <sheetViews>
    <sheetView zoomScale="115" zoomScaleNormal="115" workbookViewId="0">
      <selection activeCell="A19" sqref="A19"/>
    </sheetView>
  </sheetViews>
  <sheetFormatPr defaultColWidth="8.88888888888889" defaultRowHeight="14.4" outlineLevelCol="7"/>
  <cols>
    <col min="1" max="1" width="35.2222222222222" customWidth="1"/>
    <col min="2" max="2" width="29.6666666666667" customWidth="1"/>
    <col min="3" max="3" width="16.4444444444444" customWidth="1"/>
    <col min="4" max="4" width="14.7777777777778" customWidth="1"/>
    <col min="5" max="5" width="9.66666666666667"/>
    <col min="6" max="6" width="14.8888888888889" customWidth="1"/>
    <col min="7" max="7" width="19.8888888888889" customWidth="1"/>
    <col min="8" max="8" width="24.6666666666667" customWidth="1"/>
  </cols>
  <sheetData>
    <row r="1" spans="1:5">
      <c r="A1" s="64" t="s">
        <v>0</v>
      </c>
      <c r="B1" s="64"/>
      <c r="C1" s="64"/>
      <c r="D1" s="64"/>
      <c r="E1" s="64"/>
    </row>
    <row r="2" spans="1:5">
      <c r="A2" s="65" t="s">
        <v>1</v>
      </c>
      <c r="B2" s="65" t="s">
        <v>2</v>
      </c>
      <c r="C2" s="65" t="s">
        <v>3</v>
      </c>
      <c r="D2" s="65" t="s">
        <v>4</v>
      </c>
      <c r="E2" s="65" t="s">
        <v>5</v>
      </c>
    </row>
    <row r="3" spans="1:5">
      <c r="A3" s="15" t="s">
        <v>6</v>
      </c>
      <c r="B3" s="15">
        <v>49</v>
      </c>
      <c r="C3" s="15">
        <v>6</v>
      </c>
      <c r="D3" s="15">
        <v>26</v>
      </c>
      <c r="E3" s="15">
        <v>17</v>
      </c>
    </row>
    <row r="4" spans="1:5">
      <c r="A4" s="15" t="s">
        <v>7</v>
      </c>
      <c r="B4" s="15">
        <v>29</v>
      </c>
      <c r="C4" s="15">
        <v>3</v>
      </c>
      <c r="D4" s="15">
        <v>16</v>
      </c>
      <c r="E4" s="15">
        <v>10</v>
      </c>
    </row>
    <row r="5" spans="1:5">
      <c r="A5" s="15" t="s">
        <v>8</v>
      </c>
      <c r="B5" s="15">
        <v>4</v>
      </c>
      <c r="C5" s="15">
        <v>1</v>
      </c>
      <c r="D5" s="15">
        <v>3</v>
      </c>
      <c r="E5" s="15"/>
    </row>
    <row r="6" spans="1:5">
      <c r="A6" s="15" t="s">
        <v>9</v>
      </c>
      <c r="B6" s="15">
        <v>8</v>
      </c>
      <c r="C6" s="15"/>
      <c r="D6" s="15">
        <v>2</v>
      </c>
      <c r="E6" s="15">
        <v>6</v>
      </c>
    </row>
    <row r="7" spans="1:5">
      <c r="A7" s="15" t="s">
        <v>10</v>
      </c>
      <c r="B7" s="15">
        <v>17</v>
      </c>
      <c r="C7" s="15">
        <v>3</v>
      </c>
      <c r="D7" s="15">
        <v>7</v>
      </c>
      <c r="E7" s="15">
        <v>7</v>
      </c>
    </row>
    <row r="8" spans="1:5">
      <c r="A8" s="15" t="s">
        <v>11</v>
      </c>
      <c r="B8" s="15">
        <v>25</v>
      </c>
      <c r="C8" s="15">
        <v>4</v>
      </c>
      <c r="D8" s="15">
        <v>14</v>
      </c>
      <c r="E8" s="15">
        <v>7</v>
      </c>
    </row>
    <row r="10" spans="1:2">
      <c r="A10" s="66" t="s">
        <v>12</v>
      </c>
      <c r="B10" s="67"/>
    </row>
    <row r="11" spans="1:6">
      <c r="A11" s="4" t="s">
        <v>13</v>
      </c>
      <c r="B11" s="4" t="s">
        <v>1</v>
      </c>
      <c r="C11" s="4" t="s">
        <v>14</v>
      </c>
      <c r="D11" s="4" t="s">
        <v>15</v>
      </c>
      <c r="E11" s="4" t="s">
        <v>16</v>
      </c>
      <c r="F11" s="68" t="s">
        <v>17</v>
      </c>
    </row>
    <row r="12" spans="1:6">
      <c r="A12" s="7" t="s">
        <v>18</v>
      </c>
      <c r="B12" s="7" t="s">
        <v>9</v>
      </c>
      <c r="C12" s="7">
        <v>7561.52</v>
      </c>
      <c r="D12" s="7">
        <v>14.83</v>
      </c>
      <c r="E12" s="69"/>
      <c r="F12" s="70"/>
    </row>
    <row r="13" spans="1:6">
      <c r="A13" s="7" t="s">
        <v>19</v>
      </c>
      <c r="B13" s="7" t="s">
        <v>7</v>
      </c>
      <c r="C13" s="7">
        <v>5913.35</v>
      </c>
      <c r="D13" s="7">
        <v>11.59</v>
      </c>
      <c r="E13" s="69"/>
      <c r="F13" s="70"/>
    </row>
    <row r="14" spans="1:6">
      <c r="A14" s="7" t="s">
        <v>20</v>
      </c>
      <c r="B14" s="7" t="s">
        <v>9</v>
      </c>
      <c r="C14" s="7">
        <v>3918.62</v>
      </c>
      <c r="D14" s="7">
        <v>7.68</v>
      </c>
      <c r="E14" s="69"/>
      <c r="F14" s="70"/>
    </row>
    <row r="16" spans="1:8">
      <c r="A16" s="65" t="s">
        <v>21</v>
      </c>
      <c r="B16" s="65" t="s">
        <v>22</v>
      </c>
      <c r="D16" s="71" t="s">
        <v>23</v>
      </c>
      <c r="E16" s="72" t="s">
        <v>24</v>
      </c>
      <c r="F16" s="72" t="s">
        <v>25</v>
      </c>
      <c r="G16" s="72" t="s">
        <v>26</v>
      </c>
      <c r="H16" s="71" t="s">
        <v>27</v>
      </c>
    </row>
    <row r="17" spans="1:8">
      <c r="A17" s="73" t="s">
        <v>28</v>
      </c>
      <c r="B17" s="15" t="s">
        <v>29</v>
      </c>
      <c r="D17" s="15" t="s">
        <v>8</v>
      </c>
      <c r="E17" s="10">
        <v>39.87</v>
      </c>
      <c r="F17" s="74">
        <v>32.7588117647059</v>
      </c>
      <c r="G17" s="8">
        <v>0</v>
      </c>
      <c r="H17" s="75">
        <v>0</v>
      </c>
    </row>
    <row r="18" spans="1:8">
      <c r="A18" s="73" t="s">
        <v>30</v>
      </c>
      <c r="B18" s="15" t="s">
        <v>29</v>
      </c>
      <c r="D18" s="15" t="s">
        <v>6</v>
      </c>
      <c r="E18" s="10">
        <v>410.24</v>
      </c>
      <c r="F18" s="74">
        <v>220.972494117648</v>
      </c>
      <c r="G18" s="8">
        <v>35.3823529411765</v>
      </c>
      <c r="H18" s="75">
        <v>0.160121073360101</v>
      </c>
    </row>
    <row r="19" spans="1:8">
      <c r="A19" s="73" t="s">
        <v>31</v>
      </c>
      <c r="B19" s="15" t="s">
        <v>29</v>
      </c>
      <c r="D19" s="15" t="s">
        <v>7</v>
      </c>
      <c r="E19" s="10">
        <v>241.66</v>
      </c>
      <c r="F19" s="74">
        <v>144.156835294118</v>
      </c>
      <c r="G19" s="8">
        <v>41.0745058823529</v>
      </c>
      <c r="H19" s="75">
        <v>0.284929298000682</v>
      </c>
    </row>
    <row r="20" spans="1:8">
      <c r="A20" s="73" t="s">
        <v>32</v>
      </c>
      <c r="B20" s="15" t="s">
        <v>33</v>
      </c>
      <c r="D20" s="15" t="s">
        <v>9</v>
      </c>
      <c r="E20" s="10">
        <v>37</v>
      </c>
      <c r="F20" s="74">
        <v>18.9039411764706</v>
      </c>
      <c r="G20" s="8">
        <v>0</v>
      </c>
      <c r="H20" s="75">
        <v>0</v>
      </c>
    </row>
    <row r="21" spans="1:8">
      <c r="A21" s="76" t="s">
        <v>34</v>
      </c>
      <c r="B21" s="15" t="s">
        <v>29</v>
      </c>
      <c r="D21" s="15" t="s">
        <v>10</v>
      </c>
      <c r="E21" s="10">
        <v>141.41</v>
      </c>
      <c r="F21" s="74">
        <v>101.258788235294</v>
      </c>
      <c r="G21" s="8">
        <v>9</v>
      </c>
      <c r="H21" s="75">
        <v>0.0888811742353343</v>
      </c>
    </row>
    <row r="22" spans="1:8">
      <c r="A22" s="15" t="s">
        <v>35</v>
      </c>
      <c r="B22" s="15" t="s">
        <v>29</v>
      </c>
      <c r="D22" s="15" t="s">
        <v>11</v>
      </c>
      <c r="E22" s="10">
        <v>201.5</v>
      </c>
      <c r="F22" s="74">
        <v>108.166647058824</v>
      </c>
      <c r="G22" s="8">
        <v>9</v>
      </c>
      <c r="H22" s="75">
        <v>0.083204945745481</v>
      </c>
    </row>
    <row r="23" spans="1:2">
      <c r="A23" s="15" t="s">
        <v>36</v>
      </c>
      <c r="B23" s="15" t="s">
        <v>37</v>
      </c>
    </row>
    <row r="24" spans="1:2">
      <c r="A24" s="15" t="s">
        <v>38</v>
      </c>
      <c r="B24" s="15" t="s">
        <v>37</v>
      </c>
    </row>
  </sheetData>
  <mergeCells count="2">
    <mergeCell ref="A1:E1"/>
    <mergeCell ref="A10:B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93"/>
  <sheetViews>
    <sheetView topLeftCell="A7" workbookViewId="0">
      <selection activeCell="B19" sqref="$A19:$XFD19"/>
    </sheetView>
  </sheetViews>
  <sheetFormatPr defaultColWidth="9" defaultRowHeight="14.4"/>
  <cols>
    <col min="1" max="1" width="28.8888888888889" customWidth="1"/>
    <col min="2" max="2" width="18.1111111111111" customWidth="1"/>
    <col min="3" max="3" width="13.1111111111111" customWidth="1"/>
    <col min="4" max="4" width="20.7777777777778" style="48" customWidth="1"/>
    <col min="5" max="6" width="13.1111111111111" customWidth="1"/>
    <col min="7" max="7" width="17.1111111111111" customWidth="1"/>
    <col min="8" max="11" width="13.1111111111111" customWidth="1"/>
    <col min="12" max="13" width="13.1111111111111" hidden="1" customWidth="1"/>
    <col min="14" max="16" width="13.1111111111111" customWidth="1"/>
    <col min="17" max="17" width="9.77777777777778" customWidth="1"/>
  </cols>
  <sheetData>
    <row r="1" spans="1:3">
      <c r="A1" s="49" t="s">
        <v>39</v>
      </c>
      <c r="B1" s="49"/>
      <c r="C1" s="49"/>
    </row>
    <row r="2" spans="1:3">
      <c r="A2" s="49"/>
      <c r="B2" s="49"/>
      <c r="C2" s="49"/>
    </row>
    <row r="3" spans="1:3">
      <c r="A3" s="13" t="s">
        <v>21</v>
      </c>
      <c r="B3" s="13" t="s">
        <v>40</v>
      </c>
      <c r="C3" s="13" t="s">
        <v>41</v>
      </c>
    </row>
    <row r="4" spans="1:3">
      <c r="A4" s="15" t="s">
        <v>31</v>
      </c>
      <c r="B4" s="15">
        <v>325.24</v>
      </c>
      <c r="C4" s="15">
        <v>30.35</v>
      </c>
    </row>
    <row r="5" spans="1:3">
      <c r="A5" s="15" t="s">
        <v>42</v>
      </c>
      <c r="B5" s="15">
        <v>220.13</v>
      </c>
      <c r="C5" s="15">
        <v>20.54</v>
      </c>
    </row>
    <row r="6" spans="1:3">
      <c r="A6" s="15" t="s">
        <v>35</v>
      </c>
      <c r="B6" s="15">
        <v>149.2</v>
      </c>
      <c r="C6" s="15">
        <v>13.92</v>
      </c>
    </row>
    <row r="7" ht="28.8" spans="1:4">
      <c r="A7" s="15" t="s">
        <v>43</v>
      </c>
      <c r="B7" s="15">
        <v>111.57</v>
      </c>
      <c r="C7" s="15">
        <v>10.41</v>
      </c>
      <c r="D7" s="48" t="s">
        <v>44</v>
      </c>
    </row>
    <row r="8" spans="1:3">
      <c r="A8" s="15" t="s">
        <v>30</v>
      </c>
      <c r="B8" s="15">
        <v>55.32</v>
      </c>
      <c r="C8" s="15">
        <v>5.16</v>
      </c>
    </row>
    <row r="9" spans="1:3">
      <c r="A9" s="15" t="s">
        <v>32</v>
      </c>
      <c r="B9" s="15">
        <v>53.28</v>
      </c>
      <c r="C9" s="15">
        <v>4.97</v>
      </c>
    </row>
    <row r="10" spans="1:3">
      <c r="A10" s="15" t="s">
        <v>38</v>
      </c>
      <c r="B10" s="15">
        <v>51.91</v>
      </c>
      <c r="C10" s="15">
        <v>4.84</v>
      </c>
    </row>
    <row r="11" spans="1:3">
      <c r="A11" s="15" t="s">
        <v>34</v>
      </c>
      <c r="B11" s="15">
        <v>48.51</v>
      </c>
      <c r="C11" s="15">
        <v>4.53</v>
      </c>
    </row>
    <row r="12" spans="1:3">
      <c r="A12" s="15" t="s">
        <v>28</v>
      </c>
      <c r="B12" s="15">
        <v>47.95</v>
      </c>
      <c r="C12" s="15">
        <v>4.47</v>
      </c>
    </row>
    <row r="13" spans="1:3">
      <c r="A13" s="15" t="s">
        <v>45</v>
      </c>
      <c r="B13" s="15">
        <v>8.57</v>
      </c>
      <c r="C13" s="15">
        <v>0.8</v>
      </c>
    </row>
    <row r="16" spans="1:18">
      <c r="A16" s="25" t="s">
        <v>23</v>
      </c>
      <c r="B16" s="4" t="s">
        <v>46</v>
      </c>
      <c r="C16" s="26">
        <v>46093</v>
      </c>
      <c r="D16" s="26">
        <v>46094</v>
      </c>
      <c r="E16" s="26">
        <v>46095</v>
      </c>
      <c r="F16" s="26">
        <v>46096</v>
      </c>
      <c r="G16" s="26">
        <v>46097</v>
      </c>
      <c r="H16" s="26">
        <v>46098</v>
      </c>
      <c r="I16" s="26">
        <v>46099</v>
      </c>
      <c r="J16" s="26">
        <v>46100</v>
      </c>
      <c r="K16" s="26">
        <v>46101</v>
      </c>
      <c r="L16" s="26">
        <v>46102</v>
      </c>
      <c r="M16" s="26">
        <v>46103</v>
      </c>
      <c r="N16" s="26">
        <v>46104</v>
      </c>
      <c r="O16" s="26">
        <v>46105</v>
      </c>
      <c r="P16" s="26">
        <v>46106</v>
      </c>
      <c r="Q16" s="4" t="s">
        <v>24</v>
      </c>
      <c r="R16" s="25" t="s">
        <v>47</v>
      </c>
    </row>
    <row r="17" spans="1:18">
      <c r="A17" s="27" t="s">
        <v>8</v>
      </c>
      <c r="B17" s="28" t="s">
        <v>48</v>
      </c>
      <c r="C17" s="29">
        <v>4.12</v>
      </c>
      <c r="D17" s="29">
        <v>4</v>
      </c>
      <c r="E17" s="29">
        <v>0</v>
      </c>
      <c r="F17" s="29">
        <v>0</v>
      </c>
      <c r="G17" s="29">
        <v>4.12</v>
      </c>
      <c r="H17" s="29">
        <v>4</v>
      </c>
      <c r="I17" s="29">
        <v>4</v>
      </c>
      <c r="J17" s="29">
        <v>4</v>
      </c>
      <c r="K17" s="29">
        <v>3.51</v>
      </c>
      <c r="L17" s="29">
        <v>0</v>
      </c>
      <c r="M17" s="29">
        <v>0</v>
      </c>
      <c r="N17" s="29">
        <v>4</v>
      </c>
      <c r="O17" s="29">
        <v>4</v>
      </c>
      <c r="P17" s="29">
        <v>4.12</v>
      </c>
      <c r="Q17" s="29">
        <v>39.87</v>
      </c>
      <c r="R17" s="42">
        <f>Q17/Q18</f>
        <v>0.682822401096078</v>
      </c>
    </row>
    <row r="18" spans="1:18">
      <c r="A18" s="30"/>
      <c r="B18" s="31" t="s">
        <v>49</v>
      </c>
      <c r="C18" s="2">
        <v>4.54107843137255</v>
      </c>
      <c r="D18" s="2">
        <v>4.99849673202614</v>
      </c>
      <c r="E18" s="2">
        <v>0</v>
      </c>
      <c r="F18" s="2">
        <v>0</v>
      </c>
      <c r="G18" s="2">
        <v>5.15392156862745</v>
      </c>
      <c r="H18" s="2">
        <v>4.49117647058824</v>
      </c>
      <c r="I18" s="2">
        <v>4.76911764705882</v>
      </c>
      <c r="J18" s="2">
        <v>4.86725490196079</v>
      </c>
      <c r="K18" s="2">
        <v>3.51490196078431</v>
      </c>
      <c r="L18" s="2">
        <v>0</v>
      </c>
      <c r="M18" s="2">
        <v>0</v>
      </c>
      <c r="N18" s="2">
        <v>5.02055555555555</v>
      </c>
      <c r="O18" s="2">
        <v>4.88522875816994</v>
      </c>
      <c r="P18" s="2">
        <v>4.864477124183</v>
      </c>
      <c r="Q18" s="7">
        <v>58.39</v>
      </c>
      <c r="R18" s="43"/>
    </row>
    <row r="19" s="45" customFormat="1" spans="1:18">
      <c r="A19" s="50"/>
      <c r="B19" s="51" t="s">
        <v>50</v>
      </c>
      <c r="C19" s="52">
        <f t="shared" ref="C19:Q19" si="0">C18/4</f>
        <v>1.13526960784314</v>
      </c>
      <c r="D19" s="52">
        <f t="shared" si="0"/>
        <v>1.24962418300653</v>
      </c>
      <c r="E19" s="52">
        <f t="shared" si="0"/>
        <v>0</v>
      </c>
      <c r="F19" s="52">
        <f t="shared" si="0"/>
        <v>0</v>
      </c>
      <c r="G19" s="52">
        <f t="shared" si="0"/>
        <v>1.28848039215686</v>
      </c>
      <c r="H19" s="52">
        <f t="shared" si="0"/>
        <v>1.12279411764706</v>
      </c>
      <c r="I19" s="52">
        <f t="shared" si="0"/>
        <v>1.19227941176471</v>
      </c>
      <c r="J19" s="52">
        <f t="shared" si="0"/>
        <v>1.2168137254902</v>
      </c>
      <c r="K19" s="52">
        <f t="shared" si="0"/>
        <v>0.878725490196078</v>
      </c>
      <c r="L19" s="52">
        <f t="shared" si="0"/>
        <v>0</v>
      </c>
      <c r="M19" s="52">
        <f t="shared" si="0"/>
        <v>0</v>
      </c>
      <c r="N19" s="52">
        <f t="shared" si="0"/>
        <v>1.25513888888889</v>
      </c>
      <c r="O19" s="52">
        <f t="shared" si="0"/>
        <v>1.22130718954249</v>
      </c>
      <c r="P19" s="52">
        <f t="shared" si="0"/>
        <v>1.21611928104575</v>
      </c>
      <c r="Q19" s="52">
        <f t="shared" si="0"/>
        <v>14.5975</v>
      </c>
      <c r="R19" s="62">
        <f>Q19/10</f>
        <v>1.45975</v>
      </c>
    </row>
    <row r="20" spans="1:18">
      <c r="A20" s="35" t="s">
        <v>6</v>
      </c>
      <c r="B20" s="28" t="s">
        <v>48</v>
      </c>
      <c r="C20" s="29">
        <v>44.9</v>
      </c>
      <c r="D20" s="29">
        <v>47.35</v>
      </c>
      <c r="E20" s="29">
        <v>0</v>
      </c>
      <c r="F20" s="29">
        <v>0.59</v>
      </c>
      <c r="G20" s="29">
        <v>44.94</v>
      </c>
      <c r="H20" s="29">
        <v>44.75</v>
      </c>
      <c r="I20" s="29">
        <v>45.57</v>
      </c>
      <c r="J20" s="29">
        <v>42.27</v>
      </c>
      <c r="K20" s="29">
        <v>39.11</v>
      </c>
      <c r="L20" s="29">
        <v>0</v>
      </c>
      <c r="M20" s="29">
        <v>0</v>
      </c>
      <c r="N20" s="29">
        <v>30.77</v>
      </c>
      <c r="O20" s="29">
        <v>35.29</v>
      </c>
      <c r="P20" s="29">
        <v>34.7</v>
      </c>
      <c r="Q20" s="29">
        <v>410.24</v>
      </c>
      <c r="R20" s="42">
        <f>Q20/Q21</f>
        <v>0.696018051950255</v>
      </c>
    </row>
    <row r="21" spans="1:18">
      <c r="A21" s="36"/>
      <c r="B21" s="31" t="s">
        <v>49</v>
      </c>
      <c r="C21" s="2">
        <v>59.0355882352941</v>
      </c>
      <c r="D21" s="2">
        <v>65.3032352941177</v>
      </c>
      <c r="E21" s="2">
        <v>0</v>
      </c>
      <c r="F21" s="2">
        <v>0.760555555555555</v>
      </c>
      <c r="G21" s="2">
        <v>57.5910130718955</v>
      </c>
      <c r="H21" s="2">
        <v>61.1785294117647</v>
      </c>
      <c r="I21" s="2">
        <v>62.5461764705882</v>
      </c>
      <c r="J21" s="2">
        <v>58.3296405228759</v>
      </c>
      <c r="K21" s="2">
        <v>55.5034967320261</v>
      </c>
      <c r="L21" s="2">
        <v>0.938333333333333</v>
      </c>
      <c r="M21" s="2">
        <v>0.934575163398694</v>
      </c>
      <c r="N21" s="2">
        <v>50.4060457516339</v>
      </c>
      <c r="O21" s="2">
        <v>58.8869607843137</v>
      </c>
      <c r="P21" s="2">
        <v>57.9938888888888</v>
      </c>
      <c r="Q21" s="7">
        <v>589.41</v>
      </c>
      <c r="R21" s="43"/>
    </row>
    <row r="22" s="46" customFormat="1" spans="1:18">
      <c r="A22" s="53"/>
      <c r="B22" s="51" t="s">
        <v>50</v>
      </c>
      <c r="C22" s="54">
        <f t="shared" ref="C22:Q22" si="1">C21/49</f>
        <v>1.20480792316927</v>
      </c>
      <c r="D22" s="54">
        <f t="shared" si="1"/>
        <v>1.33271908763505</v>
      </c>
      <c r="E22" s="54">
        <f t="shared" si="1"/>
        <v>0</v>
      </c>
      <c r="F22" s="54">
        <f t="shared" si="1"/>
        <v>0.0155215419501134</v>
      </c>
      <c r="G22" s="54">
        <f t="shared" si="1"/>
        <v>1.17532679738562</v>
      </c>
      <c r="H22" s="54">
        <f t="shared" si="1"/>
        <v>1.24854141656663</v>
      </c>
      <c r="I22" s="54">
        <f t="shared" si="1"/>
        <v>1.27645258103241</v>
      </c>
      <c r="J22" s="54">
        <f t="shared" si="1"/>
        <v>1.19040082699747</v>
      </c>
      <c r="K22" s="54">
        <f t="shared" si="1"/>
        <v>1.13272442310257</v>
      </c>
      <c r="L22" s="54">
        <f t="shared" si="1"/>
        <v>0.0191496598639456</v>
      </c>
      <c r="M22" s="54">
        <f t="shared" si="1"/>
        <v>0.0190729625183407</v>
      </c>
      <c r="N22" s="54">
        <f t="shared" si="1"/>
        <v>1.02869481125784</v>
      </c>
      <c r="O22" s="54">
        <f t="shared" si="1"/>
        <v>1.20177470988395</v>
      </c>
      <c r="P22" s="54">
        <f t="shared" si="1"/>
        <v>1.18354875283447</v>
      </c>
      <c r="Q22" s="54">
        <f t="shared" si="1"/>
        <v>12.0287755102041</v>
      </c>
      <c r="R22" s="63">
        <f>Q22/10</f>
        <v>1.20287755102041</v>
      </c>
    </row>
    <row r="23" spans="1:18">
      <c r="A23" s="27" t="s">
        <v>7</v>
      </c>
      <c r="B23" s="28" t="s">
        <v>48</v>
      </c>
      <c r="C23" s="29">
        <v>25.19</v>
      </c>
      <c r="D23" s="29">
        <v>23.7</v>
      </c>
      <c r="E23" s="29">
        <v>0</v>
      </c>
      <c r="F23" s="29">
        <v>0.47</v>
      </c>
      <c r="G23" s="29">
        <v>24.66</v>
      </c>
      <c r="H23" s="29">
        <v>26.02</v>
      </c>
      <c r="I23" s="29">
        <v>27.37</v>
      </c>
      <c r="J23" s="29">
        <v>25.16</v>
      </c>
      <c r="K23" s="29">
        <v>25.1</v>
      </c>
      <c r="L23" s="29">
        <v>1</v>
      </c>
      <c r="M23" s="29">
        <v>1</v>
      </c>
      <c r="N23" s="29">
        <v>21.53</v>
      </c>
      <c r="O23" s="29">
        <v>21.28</v>
      </c>
      <c r="P23" s="29">
        <v>19.18</v>
      </c>
      <c r="Q23" s="29">
        <v>241.66</v>
      </c>
      <c r="R23" s="42">
        <f>Q23/Q24</f>
        <v>0.665345117149858</v>
      </c>
    </row>
    <row r="24" spans="1:18">
      <c r="A24" s="30"/>
      <c r="B24" s="31" t="s">
        <v>49</v>
      </c>
      <c r="C24" s="2">
        <v>34.1507843137255</v>
      </c>
      <c r="D24" s="2">
        <v>38.2493790849673</v>
      </c>
      <c r="E24" s="2">
        <v>0.0199019607843137</v>
      </c>
      <c r="F24" s="2">
        <v>1.30447712418301</v>
      </c>
      <c r="G24" s="2">
        <v>36.9483006535947</v>
      </c>
      <c r="H24" s="2">
        <v>34.9287254901961</v>
      </c>
      <c r="I24" s="2">
        <v>38.5549673202614</v>
      </c>
      <c r="J24" s="2">
        <v>35.9606862745098</v>
      </c>
      <c r="K24" s="2">
        <v>34.7116993464053</v>
      </c>
      <c r="L24" s="2">
        <v>0</v>
      </c>
      <c r="M24" s="2">
        <v>0.0396405228758171</v>
      </c>
      <c r="N24" s="2">
        <v>32.301339869281</v>
      </c>
      <c r="O24" s="2">
        <v>37.7396405228759</v>
      </c>
      <c r="P24" s="2">
        <v>38.3121241830065</v>
      </c>
      <c r="Q24" s="7">
        <v>363.21</v>
      </c>
      <c r="R24" s="43"/>
    </row>
    <row r="25" s="45" customFormat="1" spans="1:18">
      <c r="A25" s="53"/>
      <c r="B25" s="51" t="s">
        <v>50</v>
      </c>
      <c r="C25" s="52">
        <f t="shared" ref="C25:Q25" si="2">C24/29</f>
        <v>1.17761325219743</v>
      </c>
      <c r="D25" s="52">
        <f t="shared" si="2"/>
        <v>1.31894410637818</v>
      </c>
      <c r="E25" s="52">
        <f t="shared" si="2"/>
        <v>0.000686274509803922</v>
      </c>
      <c r="F25" s="52">
        <f t="shared" si="2"/>
        <v>0.044981969799414</v>
      </c>
      <c r="G25" s="52">
        <f t="shared" si="2"/>
        <v>1.27407933288258</v>
      </c>
      <c r="H25" s="52">
        <f t="shared" si="2"/>
        <v>1.20443881000676</v>
      </c>
      <c r="I25" s="52">
        <f t="shared" si="2"/>
        <v>1.32948163173315</v>
      </c>
      <c r="J25" s="52">
        <f t="shared" si="2"/>
        <v>1.24002366463827</v>
      </c>
      <c r="K25" s="52">
        <f t="shared" si="2"/>
        <v>1.19695514987604</v>
      </c>
      <c r="L25" s="52">
        <f t="shared" si="2"/>
        <v>0</v>
      </c>
      <c r="M25" s="52">
        <f t="shared" si="2"/>
        <v>0.00136691458192473</v>
      </c>
      <c r="N25" s="52">
        <f t="shared" si="2"/>
        <v>1.11383930583728</v>
      </c>
      <c r="O25" s="52">
        <f t="shared" si="2"/>
        <v>1.30136691458193</v>
      </c>
      <c r="P25" s="52">
        <f t="shared" si="2"/>
        <v>1.3211077304485</v>
      </c>
      <c r="Q25" s="52">
        <f t="shared" si="2"/>
        <v>12.5244827586207</v>
      </c>
      <c r="R25" s="62">
        <f>Q25/10</f>
        <v>1.25244827586207</v>
      </c>
    </row>
    <row r="26" spans="1:18">
      <c r="A26" s="35" t="s">
        <v>9</v>
      </c>
      <c r="B26" s="28" t="s">
        <v>48</v>
      </c>
      <c r="C26" s="29">
        <v>3</v>
      </c>
      <c r="D26" s="29">
        <v>4</v>
      </c>
      <c r="E26" s="29">
        <v>1</v>
      </c>
      <c r="F26" s="29">
        <v>0</v>
      </c>
      <c r="G26" s="29">
        <v>4</v>
      </c>
      <c r="H26" s="29">
        <v>3</v>
      </c>
      <c r="I26" s="29">
        <v>4</v>
      </c>
      <c r="J26" s="29">
        <v>4</v>
      </c>
      <c r="K26" s="29">
        <v>3</v>
      </c>
      <c r="L26" s="29">
        <v>1</v>
      </c>
      <c r="M26" s="29">
        <v>1</v>
      </c>
      <c r="N26" s="29">
        <v>3</v>
      </c>
      <c r="O26" s="29">
        <v>3</v>
      </c>
      <c r="P26" s="29">
        <v>3</v>
      </c>
      <c r="Q26" s="29">
        <v>37</v>
      </c>
      <c r="R26" s="42">
        <f>Q26/Q27</f>
        <v>0.326336214499912</v>
      </c>
    </row>
    <row r="27" spans="1:18">
      <c r="A27" s="36"/>
      <c r="B27" s="31" t="s">
        <v>49</v>
      </c>
      <c r="C27" s="2">
        <v>10.5781045751634</v>
      </c>
      <c r="D27" s="2">
        <v>12.1337581699346</v>
      </c>
      <c r="E27" s="2">
        <v>0.473496732026143</v>
      </c>
      <c r="F27" s="2">
        <v>0</v>
      </c>
      <c r="G27" s="2">
        <v>12.8908823529412</v>
      </c>
      <c r="H27" s="2">
        <v>11.8679411764706</v>
      </c>
      <c r="I27" s="2">
        <v>12.3946078431373</v>
      </c>
      <c r="J27" s="2">
        <v>9.62454248366014</v>
      </c>
      <c r="K27" s="2">
        <v>8.91911764705882</v>
      </c>
      <c r="L27" s="2">
        <v>0.533464052287582</v>
      </c>
      <c r="M27" s="2">
        <v>0.505555555555555</v>
      </c>
      <c r="N27" s="2">
        <v>11.3073529411765</v>
      </c>
      <c r="O27" s="2">
        <v>12.4728431372549</v>
      </c>
      <c r="P27" s="2">
        <v>9.69133986928104</v>
      </c>
      <c r="Q27" s="7">
        <v>113.38</v>
      </c>
      <c r="R27" s="43"/>
    </row>
    <row r="28" s="46" customFormat="1" spans="1:18">
      <c r="A28" s="53"/>
      <c r="B28" s="51" t="s">
        <v>50</v>
      </c>
      <c r="C28" s="54">
        <f>C27/8</f>
        <v>1.32226307189542</v>
      </c>
      <c r="D28" s="54">
        <f t="shared" ref="C28:Q28" si="3">D27/8</f>
        <v>1.51671977124183</v>
      </c>
      <c r="E28" s="54">
        <f t="shared" si="3"/>
        <v>0.0591870915032679</v>
      </c>
      <c r="F28" s="54">
        <f t="shared" si="3"/>
        <v>0</v>
      </c>
      <c r="G28" s="54">
        <f t="shared" si="3"/>
        <v>1.61136029411764</v>
      </c>
      <c r="H28" s="54">
        <f t="shared" si="3"/>
        <v>1.48349264705882</v>
      </c>
      <c r="I28" s="54">
        <f t="shared" si="3"/>
        <v>1.54932598039216</v>
      </c>
      <c r="J28" s="54">
        <f t="shared" si="3"/>
        <v>1.20306781045752</v>
      </c>
      <c r="K28" s="54">
        <f t="shared" si="3"/>
        <v>1.11488970588235</v>
      </c>
      <c r="L28" s="54">
        <f t="shared" si="3"/>
        <v>0.0666830065359478</v>
      </c>
      <c r="M28" s="54">
        <f t="shared" si="3"/>
        <v>0.0631944444444444</v>
      </c>
      <c r="N28" s="54">
        <f t="shared" si="3"/>
        <v>1.41341911764706</v>
      </c>
      <c r="O28" s="54">
        <f t="shared" si="3"/>
        <v>1.55910539215686</v>
      </c>
      <c r="P28" s="54">
        <f t="shared" si="3"/>
        <v>1.21141748366013</v>
      </c>
      <c r="Q28" s="54">
        <f t="shared" si="3"/>
        <v>14.1725</v>
      </c>
      <c r="R28" s="63">
        <f>Q28/10</f>
        <v>1.41725</v>
      </c>
    </row>
    <row r="29" spans="1:18">
      <c r="A29" s="27" t="s">
        <v>10</v>
      </c>
      <c r="B29" s="28" t="s">
        <v>48</v>
      </c>
      <c r="C29" s="29">
        <v>13.88</v>
      </c>
      <c r="D29" s="29">
        <v>15.24</v>
      </c>
      <c r="E29" s="29">
        <v>0</v>
      </c>
      <c r="F29" s="29">
        <v>0</v>
      </c>
      <c r="G29" s="29">
        <v>15</v>
      </c>
      <c r="H29" s="29">
        <v>13</v>
      </c>
      <c r="I29" s="29">
        <v>13.47</v>
      </c>
      <c r="J29" s="29">
        <v>15.94</v>
      </c>
      <c r="K29" s="29">
        <v>14</v>
      </c>
      <c r="L29" s="29">
        <v>0</v>
      </c>
      <c r="M29" s="29">
        <v>0</v>
      </c>
      <c r="N29" s="29">
        <v>15</v>
      </c>
      <c r="O29" s="29">
        <v>13.94</v>
      </c>
      <c r="P29" s="29">
        <v>11.94</v>
      </c>
      <c r="Q29" s="29">
        <v>141.41</v>
      </c>
      <c r="R29" s="42">
        <f>Q29/Q30</f>
        <v>0.643123521921048</v>
      </c>
    </row>
    <row r="30" spans="1:18">
      <c r="A30" s="30"/>
      <c r="B30" s="31" t="s">
        <v>49</v>
      </c>
      <c r="C30" s="2">
        <v>19.7607189542484</v>
      </c>
      <c r="D30" s="2">
        <v>20.0807843137255</v>
      </c>
      <c r="E30" s="2">
        <v>0.621405228758171</v>
      </c>
      <c r="F30" s="2">
        <v>0.981405228758171</v>
      </c>
      <c r="G30" s="2">
        <v>21.1787908496731</v>
      </c>
      <c r="H30" s="2">
        <v>22.2030392156863</v>
      </c>
      <c r="I30" s="2">
        <v>20.5503921568627</v>
      </c>
      <c r="J30" s="2">
        <v>22.7053921568627</v>
      </c>
      <c r="K30" s="2">
        <v>22.3720261437908</v>
      </c>
      <c r="L30" s="2">
        <v>0.528594771241829</v>
      </c>
      <c r="M30" s="2">
        <v>0</v>
      </c>
      <c r="N30" s="2">
        <v>22.423137254902</v>
      </c>
      <c r="O30" s="2">
        <v>22.9438888888888</v>
      </c>
      <c r="P30" s="2">
        <v>23.5386274509804</v>
      </c>
      <c r="Q30" s="7">
        <v>219.88</v>
      </c>
      <c r="R30" s="43"/>
    </row>
    <row r="31" s="45" customFormat="1" spans="1:18">
      <c r="A31" s="55"/>
      <c r="B31" s="51" t="s">
        <v>50</v>
      </c>
      <c r="C31" s="56">
        <f t="shared" ref="C31:Q31" si="4">C30/17</f>
        <v>1.16239523260285</v>
      </c>
      <c r="D31" s="56">
        <f t="shared" si="4"/>
        <v>1.18122260668973</v>
      </c>
      <c r="E31" s="56">
        <f t="shared" si="4"/>
        <v>0.0365532487504806</v>
      </c>
      <c r="F31" s="56">
        <f t="shared" si="4"/>
        <v>0.0577297193387159</v>
      </c>
      <c r="G31" s="56">
        <f t="shared" si="4"/>
        <v>1.24581122645136</v>
      </c>
      <c r="H31" s="56">
        <f t="shared" si="4"/>
        <v>1.30606113033449</v>
      </c>
      <c r="I31" s="56">
        <f t="shared" si="4"/>
        <v>1.20884659746251</v>
      </c>
      <c r="J31" s="56">
        <f t="shared" si="4"/>
        <v>1.33561130334487</v>
      </c>
      <c r="K31" s="56">
        <f t="shared" si="4"/>
        <v>1.31600153787005</v>
      </c>
      <c r="L31" s="56">
        <f t="shared" si="4"/>
        <v>0.0310938100730488</v>
      </c>
      <c r="M31" s="56">
        <f t="shared" si="4"/>
        <v>0</v>
      </c>
      <c r="N31" s="56">
        <f t="shared" si="4"/>
        <v>1.31900807381776</v>
      </c>
      <c r="O31" s="56">
        <f t="shared" si="4"/>
        <v>1.34964052287581</v>
      </c>
      <c r="P31" s="56">
        <f t="shared" si="4"/>
        <v>1.38462514417532</v>
      </c>
      <c r="Q31" s="56">
        <f t="shared" si="4"/>
        <v>12.9341176470588</v>
      </c>
      <c r="R31" s="62">
        <f>Q31/10</f>
        <v>1.29341176470588</v>
      </c>
    </row>
    <row r="32" spans="1:18">
      <c r="A32" s="57" t="s">
        <v>11</v>
      </c>
      <c r="B32" s="28" t="s">
        <v>48</v>
      </c>
      <c r="C32" s="29">
        <v>21.5</v>
      </c>
      <c r="D32" s="58">
        <v>22.5</v>
      </c>
      <c r="E32" s="29">
        <v>0</v>
      </c>
      <c r="F32" s="29">
        <v>0</v>
      </c>
      <c r="G32" s="29">
        <v>21</v>
      </c>
      <c r="H32" s="29">
        <v>21</v>
      </c>
      <c r="I32" s="29">
        <v>17.5</v>
      </c>
      <c r="J32" s="29">
        <v>21</v>
      </c>
      <c r="K32" s="29">
        <v>20</v>
      </c>
      <c r="L32" s="29">
        <v>0</v>
      </c>
      <c r="M32" s="29">
        <v>0</v>
      </c>
      <c r="N32" s="29">
        <v>16</v>
      </c>
      <c r="O32" s="29">
        <v>21</v>
      </c>
      <c r="P32" s="29">
        <v>20</v>
      </c>
      <c r="Q32" s="29">
        <v>201.5</v>
      </c>
      <c r="R32" s="42">
        <f>Q32/Q33</f>
        <v>0.725838406397464</v>
      </c>
    </row>
    <row r="33" spans="1:18">
      <c r="A33" s="57"/>
      <c r="B33" s="31" t="s">
        <v>49</v>
      </c>
      <c r="C33" s="59">
        <v>28.4561111111112</v>
      </c>
      <c r="D33" s="2">
        <v>28.2898692810457</v>
      </c>
      <c r="E33" s="2">
        <v>0</v>
      </c>
      <c r="F33" s="2">
        <v>0</v>
      </c>
      <c r="G33" s="2">
        <v>30.5148366013073</v>
      </c>
      <c r="H33" s="2">
        <v>27.7642156862745</v>
      </c>
      <c r="I33" s="2">
        <v>28.1149346405229</v>
      </c>
      <c r="J33" s="2">
        <v>28.4899346405229</v>
      </c>
      <c r="K33" s="2">
        <v>28.6064379084967</v>
      </c>
      <c r="L33" s="2">
        <v>0.000588235294117647</v>
      </c>
      <c r="M33" s="2">
        <v>0</v>
      </c>
      <c r="N33" s="2">
        <v>24.3423202614378</v>
      </c>
      <c r="O33" s="2">
        <v>26.4256209150327</v>
      </c>
      <c r="P33" s="2">
        <v>26.6136928104575</v>
      </c>
      <c r="Q33" s="7">
        <v>277.61</v>
      </c>
      <c r="R33" s="43"/>
    </row>
    <row r="34" s="47" customFormat="1" spans="1:18">
      <c r="A34" s="54"/>
      <c r="B34" s="51" t="s">
        <v>50</v>
      </c>
      <c r="C34" s="60">
        <f t="shared" ref="C34:Q34" si="5">C33/25</f>
        <v>1.13824444444445</v>
      </c>
      <c r="D34" s="61">
        <f t="shared" si="5"/>
        <v>1.13159477124183</v>
      </c>
      <c r="E34" s="60">
        <f t="shared" si="5"/>
        <v>0</v>
      </c>
      <c r="F34" s="60">
        <f t="shared" si="5"/>
        <v>0</v>
      </c>
      <c r="G34" s="60">
        <f t="shared" si="5"/>
        <v>1.22059346405229</v>
      </c>
      <c r="H34" s="60">
        <f t="shared" si="5"/>
        <v>1.11056862745098</v>
      </c>
      <c r="I34" s="60">
        <f t="shared" si="5"/>
        <v>1.12459738562092</v>
      </c>
      <c r="J34" s="60">
        <f t="shared" si="5"/>
        <v>1.13959738562092</v>
      </c>
      <c r="K34" s="60">
        <f t="shared" si="5"/>
        <v>1.14425751633987</v>
      </c>
      <c r="L34" s="60">
        <f t="shared" si="5"/>
        <v>2.35294117647059e-5</v>
      </c>
      <c r="M34" s="60">
        <f t="shared" si="5"/>
        <v>0</v>
      </c>
      <c r="N34" s="60">
        <f t="shared" si="5"/>
        <v>0.973692810457514</v>
      </c>
      <c r="O34" s="60">
        <f t="shared" si="5"/>
        <v>1.05702483660131</v>
      </c>
      <c r="P34" s="60">
        <f t="shared" si="5"/>
        <v>1.0645477124183</v>
      </c>
      <c r="Q34" s="60">
        <f t="shared" si="5"/>
        <v>11.1044</v>
      </c>
      <c r="R34" s="63">
        <f>Q34/10</f>
        <v>1.11044</v>
      </c>
    </row>
    <row r="37" spans="1:5">
      <c r="A37" s="17" t="s">
        <v>23</v>
      </c>
      <c r="B37" s="13" t="s">
        <v>21</v>
      </c>
      <c r="C37" s="13" t="s">
        <v>40</v>
      </c>
      <c r="D37" s="13" t="s">
        <v>51</v>
      </c>
      <c r="E37" s="13" t="s">
        <v>41</v>
      </c>
    </row>
    <row r="38" spans="1:5">
      <c r="A38" s="19" t="s">
        <v>7</v>
      </c>
      <c r="B38" s="20" t="s">
        <v>31</v>
      </c>
      <c r="C38" s="20">
        <v>92.44</v>
      </c>
      <c r="D38" s="20">
        <v>241.66</v>
      </c>
      <c r="E38" s="20">
        <v>38.25</v>
      </c>
    </row>
    <row r="39" spans="1:5">
      <c r="A39" s="21"/>
      <c r="B39" s="20" t="s">
        <v>42</v>
      </c>
      <c r="C39" s="20">
        <v>76.71</v>
      </c>
      <c r="D39" s="20">
        <v>241.66</v>
      </c>
      <c r="E39" s="20">
        <v>31.74</v>
      </c>
    </row>
    <row r="40" spans="1:5">
      <c r="A40" s="21"/>
      <c r="B40" s="15" t="s">
        <v>35</v>
      </c>
      <c r="C40" s="15">
        <v>25.3</v>
      </c>
      <c r="D40" s="15">
        <v>241.66</v>
      </c>
      <c r="E40" s="15">
        <v>10.47</v>
      </c>
    </row>
    <row r="41" spans="1:5">
      <c r="A41" s="21"/>
      <c r="B41" s="15" t="s">
        <v>38</v>
      </c>
      <c r="C41" s="15">
        <v>12.96</v>
      </c>
      <c r="D41" s="15">
        <v>241.66</v>
      </c>
      <c r="E41" s="15">
        <v>5.36</v>
      </c>
    </row>
    <row r="42" spans="1:5">
      <c r="A42" s="21"/>
      <c r="B42" s="15" t="s">
        <v>30</v>
      </c>
      <c r="C42" s="15">
        <v>11.3</v>
      </c>
      <c r="D42" s="15">
        <v>241.66</v>
      </c>
      <c r="E42" s="15">
        <v>4.68</v>
      </c>
    </row>
    <row r="43" spans="1:5">
      <c r="A43" s="21"/>
      <c r="B43" s="15" t="s">
        <v>28</v>
      </c>
      <c r="C43" s="15">
        <v>9.33</v>
      </c>
      <c r="D43" s="15">
        <v>241.66</v>
      </c>
      <c r="E43" s="15">
        <v>3.86</v>
      </c>
    </row>
    <row r="44" spans="1:5">
      <c r="A44" s="21"/>
      <c r="B44" s="15" t="s">
        <v>32</v>
      </c>
      <c r="C44" s="15">
        <v>7.1</v>
      </c>
      <c r="D44" s="15">
        <v>241.66</v>
      </c>
      <c r="E44" s="15">
        <v>2.94</v>
      </c>
    </row>
    <row r="45" spans="1:5">
      <c r="A45" s="21"/>
      <c r="B45" s="15" t="s">
        <v>34</v>
      </c>
      <c r="C45" s="15">
        <v>5.78</v>
      </c>
      <c r="D45" s="15">
        <v>241.66</v>
      </c>
      <c r="E45" s="15">
        <v>2.39</v>
      </c>
    </row>
    <row r="46" spans="1:5">
      <c r="A46" s="21"/>
      <c r="B46" s="15" t="s">
        <v>43</v>
      </c>
      <c r="C46" s="15">
        <v>0.49</v>
      </c>
      <c r="D46" s="15">
        <v>241.66</v>
      </c>
      <c r="E46" s="15">
        <v>0.2</v>
      </c>
    </row>
    <row r="47" spans="1:5">
      <c r="A47" s="22"/>
      <c r="B47" s="15" t="s">
        <v>45</v>
      </c>
      <c r="C47" s="15">
        <v>0.25</v>
      </c>
      <c r="D47" s="15">
        <v>241.66</v>
      </c>
      <c r="E47" s="15">
        <v>0.1</v>
      </c>
    </row>
    <row r="48" spans="1:5">
      <c r="A48" s="19" t="s">
        <v>6</v>
      </c>
      <c r="B48" s="20" t="s">
        <v>42</v>
      </c>
      <c r="C48" s="20">
        <v>122.66</v>
      </c>
      <c r="D48" s="20">
        <v>410.25</v>
      </c>
      <c r="E48" s="20">
        <v>29.9</v>
      </c>
    </row>
    <row r="49" spans="1:5">
      <c r="A49" s="21"/>
      <c r="B49" s="20" t="s">
        <v>31</v>
      </c>
      <c r="C49" s="20">
        <v>118.73</v>
      </c>
      <c r="D49" s="20">
        <v>410.25</v>
      </c>
      <c r="E49" s="20">
        <v>28.94</v>
      </c>
    </row>
    <row r="50" spans="1:5">
      <c r="A50" s="21"/>
      <c r="B50" s="15" t="s">
        <v>35</v>
      </c>
      <c r="C50" s="15">
        <v>41.39</v>
      </c>
      <c r="D50" s="15">
        <v>410.25</v>
      </c>
      <c r="E50" s="15">
        <v>10.09</v>
      </c>
    </row>
    <row r="51" spans="1:5">
      <c r="A51" s="21"/>
      <c r="B51" s="15" t="s">
        <v>28</v>
      </c>
      <c r="C51" s="15">
        <v>31.52</v>
      </c>
      <c r="D51" s="15">
        <v>410.25</v>
      </c>
      <c r="E51" s="15">
        <v>7.68</v>
      </c>
    </row>
    <row r="52" spans="1:5">
      <c r="A52" s="21"/>
      <c r="B52" s="15" t="s">
        <v>32</v>
      </c>
      <c r="C52" s="15">
        <v>23.77</v>
      </c>
      <c r="D52" s="15">
        <v>410.25</v>
      </c>
      <c r="E52" s="15">
        <v>5.79</v>
      </c>
    </row>
    <row r="53" spans="1:5">
      <c r="A53" s="21"/>
      <c r="B53" s="15" t="s">
        <v>38</v>
      </c>
      <c r="C53" s="15">
        <v>20.24</v>
      </c>
      <c r="D53" s="15">
        <v>410.25</v>
      </c>
      <c r="E53" s="15">
        <v>4.93</v>
      </c>
    </row>
    <row r="54" spans="1:5">
      <c r="A54" s="21"/>
      <c r="B54" s="15" t="s">
        <v>43</v>
      </c>
      <c r="C54" s="15">
        <v>19.58</v>
      </c>
      <c r="D54" s="15">
        <v>410.25</v>
      </c>
      <c r="E54" s="15">
        <v>4.77</v>
      </c>
    </row>
    <row r="55" spans="1:5">
      <c r="A55" s="21"/>
      <c r="B55" s="15" t="s">
        <v>30</v>
      </c>
      <c r="C55" s="15">
        <v>16.51</v>
      </c>
      <c r="D55" s="15">
        <v>410.25</v>
      </c>
      <c r="E55" s="15">
        <v>4.02</v>
      </c>
    </row>
    <row r="56" spans="1:5">
      <c r="A56" s="21"/>
      <c r="B56" s="15" t="s">
        <v>34</v>
      </c>
      <c r="C56" s="15">
        <v>12.83</v>
      </c>
      <c r="D56" s="15">
        <v>410.25</v>
      </c>
      <c r="E56" s="15">
        <v>3.13</v>
      </c>
    </row>
    <row r="57" spans="1:5">
      <c r="A57" s="22"/>
      <c r="B57" s="15" t="s">
        <v>45</v>
      </c>
      <c r="C57" s="15">
        <v>3.02</v>
      </c>
      <c r="D57" s="15">
        <v>410.25</v>
      </c>
      <c r="E57" s="15">
        <v>0.74</v>
      </c>
    </row>
    <row r="58" spans="1:5">
      <c r="A58" s="19" t="s">
        <v>8</v>
      </c>
      <c r="B58" s="20" t="s">
        <v>34</v>
      </c>
      <c r="C58" s="20">
        <v>27.2</v>
      </c>
      <c r="D58" s="20">
        <v>39.86</v>
      </c>
      <c r="E58" s="20">
        <v>68.24</v>
      </c>
    </row>
    <row r="59" spans="1:5">
      <c r="A59" s="21"/>
      <c r="B59" s="15" t="s">
        <v>38</v>
      </c>
      <c r="C59" s="15">
        <v>3.78</v>
      </c>
      <c r="D59" s="15">
        <v>39.86</v>
      </c>
      <c r="E59" s="15">
        <v>9.48</v>
      </c>
    </row>
    <row r="60" spans="1:5">
      <c r="A60" s="21"/>
      <c r="B60" s="15" t="s">
        <v>31</v>
      </c>
      <c r="C60" s="15">
        <v>2.91</v>
      </c>
      <c r="D60" s="15">
        <v>39.86</v>
      </c>
      <c r="E60" s="15">
        <v>7.3</v>
      </c>
    </row>
    <row r="61" spans="1:5">
      <c r="A61" s="21"/>
      <c r="B61" s="15" t="s">
        <v>35</v>
      </c>
      <c r="C61" s="15">
        <v>2.2</v>
      </c>
      <c r="D61" s="15">
        <v>39.86</v>
      </c>
      <c r="E61" s="15">
        <v>5.52</v>
      </c>
    </row>
    <row r="62" spans="1:5">
      <c r="A62" s="21"/>
      <c r="B62" s="15" t="s">
        <v>32</v>
      </c>
      <c r="C62" s="15">
        <v>1.99</v>
      </c>
      <c r="D62" s="15">
        <v>39.86</v>
      </c>
      <c r="E62" s="15">
        <v>4.99</v>
      </c>
    </row>
    <row r="63" spans="1:5">
      <c r="A63" s="21"/>
      <c r="B63" s="15" t="s">
        <v>42</v>
      </c>
      <c r="C63" s="15">
        <v>1.33</v>
      </c>
      <c r="D63" s="15">
        <v>39.86</v>
      </c>
      <c r="E63" s="15">
        <v>3.34</v>
      </c>
    </row>
    <row r="64" spans="1:5">
      <c r="A64" s="21"/>
      <c r="B64" s="15" t="s">
        <v>28</v>
      </c>
      <c r="C64" s="15">
        <v>0.25</v>
      </c>
      <c r="D64" s="15">
        <v>39.86</v>
      </c>
      <c r="E64" s="15">
        <v>0.63</v>
      </c>
    </row>
    <row r="65" spans="1:5">
      <c r="A65" s="22"/>
      <c r="B65" s="15" t="s">
        <v>30</v>
      </c>
      <c r="C65" s="15">
        <v>0.2</v>
      </c>
      <c r="D65" s="15">
        <v>39.86</v>
      </c>
      <c r="E65" s="15">
        <v>0.5</v>
      </c>
    </row>
    <row r="66" spans="1:5">
      <c r="A66" s="19" t="s">
        <v>9</v>
      </c>
      <c r="B66" s="20" t="s">
        <v>35</v>
      </c>
      <c r="C66" s="20">
        <v>13.5</v>
      </c>
      <c r="D66" s="20">
        <v>37</v>
      </c>
      <c r="E66" s="20">
        <v>36.49</v>
      </c>
    </row>
    <row r="67" spans="1:5">
      <c r="A67" s="21"/>
      <c r="B67" s="15" t="s">
        <v>42</v>
      </c>
      <c r="C67" s="15">
        <v>9.15</v>
      </c>
      <c r="D67" s="15">
        <v>37</v>
      </c>
      <c r="E67" s="15">
        <v>24.73</v>
      </c>
    </row>
    <row r="68" spans="1:5">
      <c r="A68" s="21"/>
      <c r="B68" s="15" t="s">
        <v>32</v>
      </c>
      <c r="C68" s="15">
        <v>6.88</v>
      </c>
      <c r="D68" s="15">
        <v>37</v>
      </c>
      <c r="E68" s="15">
        <v>18.59</v>
      </c>
    </row>
    <row r="69" spans="1:5">
      <c r="A69" s="21"/>
      <c r="B69" s="15" t="s">
        <v>30</v>
      </c>
      <c r="C69" s="15">
        <v>2.35</v>
      </c>
      <c r="D69" s="15">
        <v>37</v>
      </c>
      <c r="E69" s="15">
        <v>6.35</v>
      </c>
    </row>
    <row r="70" spans="1:5">
      <c r="A70" s="21"/>
      <c r="B70" s="15" t="s">
        <v>28</v>
      </c>
      <c r="C70" s="15">
        <v>1.85</v>
      </c>
      <c r="D70" s="15">
        <v>37</v>
      </c>
      <c r="E70" s="15">
        <v>5</v>
      </c>
    </row>
    <row r="71" spans="1:5">
      <c r="A71" s="21"/>
      <c r="B71" s="15" t="s">
        <v>31</v>
      </c>
      <c r="C71" s="15">
        <v>1</v>
      </c>
      <c r="D71" s="15">
        <v>37</v>
      </c>
      <c r="E71" s="15">
        <v>2.7</v>
      </c>
    </row>
    <row r="72" spans="1:5">
      <c r="A72" s="21"/>
      <c r="B72" s="15" t="s">
        <v>43</v>
      </c>
      <c r="C72" s="15">
        <v>1</v>
      </c>
      <c r="D72" s="15">
        <v>37</v>
      </c>
      <c r="E72" s="15">
        <v>2.7</v>
      </c>
    </row>
    <row r="73" spans="1:5">
      <c r="A73" s="21"/>
      <c r="B73" s="15" t="s">
        <v>38</v>
      </c>
      <c r="C73" s="15">
        <v>0.7</v>
      </c>
      <c r="D73" s="15">
        <v>37</v>
      </c>
      <c r="E73" s="15">
        <v>1.89</v>
      </c>
    </row>
    <row r="74" spans="1:5">
      <c r="A74" s="21"/>
      <c r="B74" s="15" t="s">
        <v>45</v>
      </c>
      <c r="C74" s="15">
        <v>0.37</v>
      </c>
      <c r="D74" s="15">
        <v>37</v>
      </c>
      <c r="E74" s="15">
        <v>1</v>
      </c>
    </row>
    <row r="75" spans="1:5">
      <c r="A75" s="22"/>
      <c r="B75" s="15" t="s">
        <v>34</v>
      </c>
      <c r="C75" s="15">
        <v>0.2</v>
      </c>
      <c r="D75" s="15">
        <v>37</v>
      </c>
      <c r="E75" s="15">
        <v>0.54</v>
      </c>
    </row>
    <row r="76" spans="1:5">
      <c r="A76" s="19" t="s">
        <v>10</v>
      </c>
      <c r="B76" s="20" t="s">
        <v>35</v>
      </c>
      <c r="C76" s="20">
        <v>60.82</v>
      </c>
      <c r="D76" s="20">
        <v>141.4</v>
      </c>
      <c r="E76" s="20">
        <v>43.01</v>
      </c>
    </row>
    <row r="77" spans="1:5">
      <c r="A77" s="21"/>
      <c r="B77" s="15" t="s">
        <v>30</v>
      </c>
      <c r="C77" s="15">
        <v>22.12</v>
      </c>
      <c r="D77" s="15">
        <v>141.4</v>
      </c>
      <c r="E77" s="15">
        <v>15.64</v>
      </c>
    </row>
    <row r="78" spans="1:5">
      <c r="A78" s="21"/>
      <c r="B78" s="15" t="s">
        <v>31</v>
      </c>
      <c r="C78" s="15">
        <v>14.32</v>
      </c>
      <c r="D78" s="15">
        <v>141.4</v>
      </c>
      <c r="E78" s="15">
        <v>10.13</v>
      </c>
    </row>
    <row r="79" spans="1:5">
      <c r="A79" s="21"/>
      <c r="B79" s="15" t="s">
        <v>32</v>
      </c>
      <c r="C79" s="15">
        <v>13.53</v>
      </c>
      <c r="D79" s="15">
        <v>141.4</v>
      </c>
      <c r="E79" s="15">
        <v>9.57</v>
      </c>
    </row>
    <row r="80" spans="1:5">
      <c r="A80" s="21"/>
      <c r="B80" s="15" t="s">
        <v>38</v>
      </c>
      <c r="C80" s="15">
        <v>11.4</v>
      </c>
      <c r="D80" s="15">
        <v>141.4</v>
      </c>
      <c r="E80" s="15">
        <v>8.06</v>
      </c>
    </row>
    <row r="81" spans="1:5">
      <c r="A81" s="21"/>
      <c r="B81" s="15" t="s">
        <v>42</v>
      </c>
      <c r="C81" s="15">
        <v>9.77</v>
      </c>
      <c r="D81" s="15">
        <v>141.4</v>
      </c>
      <c r="E81" s="15">
        <v>6.91</v>
      </c>
    </row>
    <row r="82" spans="1:5">
      <c r="A82" s="21"/>
      <c r="B82" s="15" t="s">
        <v>45</v>
      </c>
      <c r="C82" s="15">
        <v>4.94</v>
      </c>
      <c r="D82" s="15">
        <v>141.4</v>
      </c>
      <c r="E82" s="15">
        <v>3.49</v>
      </c>
    </row>
    <row r="83" spans="1:5">
      <c r="A83" s="21"/>
      <c r="B83" s="15" t="s">
        <v>34</v>
      </c>
      <c r="C83" s="15">
        <v>2.5</v>
      </c>
      <c r="D83" s="15">
        <v>141.4</v>
      </c>
      <c r="E83" s="15">
        <v>1.77</v>
      </c>
    </row>
    <row r="84" spans="1:5">
      <c r="A84" s="21"/>
      <c r="B84" s="15" t="s">
        <v>28</v>
      </c>
      <c r="C84" s="15">
        <v>1.5</v>
      </c>
      <c r="D84" s="15">
        <v>141.4</v>
      </c>
      <c r="E84" s="15">
        <v>1.06</v>
      </c>
    </row>
    <row r="85" spans="1:5">
      <c r="A85" s="22"/>
      <c r="B85" s="15" t="s">
        <v>43</v>
      </c>
      <c r="C85" s="15">
        <v>0.5</v>
      </c>
      <c r="D85" s="15">
        <v>141.4</v>
      </c>
      <c r="E85" s="15">
        <v>0.35</v>
      </c>
    </row>
    <row r="86" spans="1:5">
      <c r="A86" s="19" t="s">
        <v>11</v>
      </c>
      <c r="B86" s="20" t="s">
        <v>31</v>
      </c>
      <c r="C86" s="20">
        <v>95.83</v>
      </c>
      <c r="D86" s="20">
        <v>201.49</v>
      </c>
      <c r="E86" s="20">
        <v>47.56</v>
      </c>
    </row>
    <row r="87" ht="72" spans="1:6">
      <c r="A87" s="21"/>
      <c r="B87" s="20" t="s">
        <v>43</v>
      </c>
      <c r="C87" s="20">
        <v>90</v>
      </c>
      <c r="D87" s="20">
        <v>201.49</v>
      </c>
      <c r="E87" s="20">
        <v>44.67</v>
      </c>
      <c r="F87" s="23" t="s">
        <v>52</v>
      </c>
    </row>
    <row r="88" spans="1:5">
      <c r="A88" s="21"/>
      <c r="B88" s="15" t="s">
        <v>35</v>
      </c>
      <c r="C88" s="15">
        <v>6</v>
      </c>
      <c r="D88" s="15">
        <v>201.49</v>
      </c>
      <c r="E88" s="15">
        <v>2.98</v>
      </c>
    </row>
    <row r="89" spans="1:5">
      <c r="A89" s="21"/>
      <c r="B89" s="15" t="s">
        <v>28</v>
      </c>
      <c r="C89" s="15">
        <v>3.5</v>
      </c>
      <c r="D89" s="15">
        <v>201.49</v>
      </c>
      <c r="E89" s="15">
        <v>1.74</v>
      </c>
    </row>
    <row r="90" spans="1:5">
      <c r="A90" s="21"/>
      <c r="B90" s="15" t="s">
        <v>38</v>
      </c>
      <c r="C90" s="15">
        <v>2.83</v>
      </c>
      <c r="D90" s="15">
        <v>201.49</v>
      </c>
      <c r="E90" s="15">
        <v>1.4</v>
      </c>
    </row>
    <row r="91" spans="1:5">
      <c r="A91" s="21"/>
      <c r="B91" s="15" t="s">
        <v>30</v>
      </c>
      <c r="C91" s="15">
        <v>2.83</v>
      </c>
      <c r="D91" s="15">
        <v>201.49</v>
      </c>
      <c r="E91" s="15">
        <v>1.4</v>
      </c>
    </row>
    <row r="92" spans="1:5">
      <c r="A92" s="21"/>
      <c r="B92" s="15" t="s">
        <v>42</v>
      </c>
      <c r="C92" s="15">
        <v>0.5</v>
      </c>
      <c r="D92" s="15">
        <v>201.49</v>
      </c>
      <c r="E92" s="15">
        <v>0.25</v>
      </c>
    </row>
    <row r="93" spans="1:5">
      <c r="A93" s="22"/>
      <c r="B93" s="15" t="s">
        <v>34</v>
      </c>
      <c r="C93" s="15">
        <v>0</v>
      </c>
      <c r="D93" s="15">
        <v>201.49</v>
      </c>
      <c r="E93" s="15">
        <v>0</v>
      </c>
    </row>
  </sheetData>
  <mergeCells count="19">
    <mergeCell ref="A17:A19"/>
    <mergeCell ref="A20:A22"/>
    <mergeCell ref="A23:A25"/>
    <mergeCell ref="A26:A28"/>
    <mergeCell ref="A29:A31"/>
    <mergeCell ref="A32:A34"/>
    <mergeCell ref="A38:A47"/>
    <mergeCell ref="A48:A57"/>
    <mergeCell ref="A58:A65"/>
    <mergeCell ref="A66:A75"/>
    <mergeCell ref="A76:A85"/>
    <mergeCell ref="A86:A93"/>
    <mergeCell ref="R17:R18"/>
    <mergeCell ref="R20:R21"/>
    <mergeCell ref="R23:R24"/>
    <mergeCell ref="R26:R27"/>
    <mergeCell ref="R29:R30"/>
    <mergeCell ref="R32:R33"/>
    <mergeCell ref="A1:C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25"/>
  <sheetViews>
    <sheetView workbookViewId="0">
      <selection activeCell="E25" sqref="A1:R25"/>
    </sheetView>
  </sheetViews>
  <sheetFormatPr defaultColWidth="9" defaultRowHeight="14.4"/>
  <cols>
    <col min="1" max="1" width="12" style="24" customWidth="1"/>
    <col min="2" max="2" width="9.77777777777778" style="1" customWidth="1"/>
    <col min="3" max="17" width="11.6666666666667" style="1" customWidth="1"/>
    <col min="18" max="18" width="8.33333333333333" style="24" customWidth="1"/>
    <col min="19" max="16384" width="9" style="1"/>
  </cols>
  <sheetData>
    <row r="1" spans="1:18">
      <c r="A1" s="25" t="s">
        <v>23</v>
      </c>
      <c r="B1" s="4" t="s">
        <v>46</v>
      </c>
      <c r="C1" s="26">
        <v>46093</v>
      </c>
      <c r="D1" s="26">
        <v>46094</v>
      </c>
      <c r="E1" s="26">
        <v>46095</v>
      </c>
      <c r="F1" s="26">
        <v>46096</v>
      </c>
      <c r="G1" s="26">
        <v>46097</v>
      </c>
      <c r="H1" s="26">
        <v>46098</v>
      </c>
      <c r="I1" s="26">
        <v>46099</v>
      </c>
      <c r="J1" s="26">
        <v>46100</v>
      </c>
      <c r="K1" s="26">
        <v>46101</v>
      </c>
      <c r="L1" s="26">
        <v>46102</v>
      </c>
      <c r="M1" s="26">
        <v>46103</v>
      </c>
      <c r="N1" s="26">
        <v>46104</v>
      </c>
      <c r="O1" s="26">
        <v>46105</v>
      </c>
      <c r="P1" s="26">
        <v>46106</v>
      </c>
      <c r="Q1" s="4" t="s">
        <v>24</v>
      </c>
      <c r="R1" s="25" t="s">
        <v>47</v>
      </c>
    </row>
    <row r="2" s="1" customFormat="1" spans="1:18">
      <c r="A2" s="27" t="s">
        <v>8</v>
      </c>
      <c r="B2" s="28" t="s">
        <v>53</v>
      </c>
      <c r="C2" s="29">
        <v>4.12</v>
      </c>
      <c r="D2" s="29">
        <v>4</v>
      </c>
      <c r="E2" s="29">
        <v>0</v>
      </c>
      <c r="F2" s="29">
        <v>0</v>
      </c>
      <c r="G2" s="29">
        <v>4.12</v>
      </c>
      <c r="H2" s="29">
        <v>4</v>
      </c>
      <c r="I2" s="29">
        <v>4</v>
      </c>
      <c r="J2" s="29">
        <v>4</v>
      </c>
      <c r="K2" s="29">
        <v>3.51</v>
      </c>
      <c r="L2" s="29">
        <v>0</v>
      </c>
      <c r="M2" s="29">
        <v>0</v>
      </c>
      <c r="N2" s="29">
        <v>4</v>
      </c>
      <c r="O2" s="29">
        <v>4</v>
      </c>
      <c r="P2" s="29">
        <v>4.12</v>
      </c>
      <c r="Q2" s="29">
        <v>39.87</v>
      </c>
      <c r="R2" s="42">
        <f>Q2/Q3</f>
        <v>0.682822401096078</v>
      </c>
    </row>
    <row r="3" spans="1:18">
      <c r="A3" s="30"/>
      <c r="B3" s="31" t="s">
        <v>54</v>
      </c>
      <c r="C3" s="7">
        <v>5.7</v>
      </c>
      <c r="D3" s="7">
        <v>6.47</v>
      </c>
      <c r="E3" s="7">
        <v>0</v>
      </c>
      <c r="F3" s="7">
        <v>0</v>
      </c>
      <c r="G3" s="7">
        <v>6.44</v>
      </c>
      <c r="H3" s="7">
        <v>5.59</v>
      </c>
      <c r="I3" s="7">
        <v>5.79</v>
      </c>
      <c r="J3" s="7">
        <v>4.87</v>
      </c>
      <c r="K3" s="7">
        <v>4.89</v>
      </c>
      <c r="L3" s="7">
        <v>0</v>
      </c>
      <c r="M3" s="7">
        <v>0</v>
      </c>
      <c r="N3" s="7">
        <v>6.28</v>
      </c>
      <c r="O3" s="7">
        <v>6.12</v>
      </c>
      <c r="P3" s="7">
        <v>6.24</v>
      </c>
      <c r="Q3" s="7">
        <v>58.39</v>
      </c>
      <c r="R3" s="43"/>
    </row>
    <row r="4" s="2" customFormat="1" spans="1:18">
      <c r="A4" s="32"/>
      <c r="B4" s="33" t="s">
        <v>55</v>
      </c>
      <c r="C4" s="34">
        <f>C3/4</f>
        <v>1.425</v>
      </c>
      <c r="D4" s="34">
        <f t="shared" ref="D4:Q4" si="0">D3/4</f>
        <v>1.6175</v>
      </c>
      <c r="E4" s="34">
        <f t="shared" si="0"/>
        <v>0</v>
      </c>
      <c r="F4" s="34">
        <f t="shared" si="0"/>
        <v>0</v>
      </c>
      <c r="G4" s="34">
        <f t="shared" si="0"/>
        <v>1.61</v>
      </c>
      <c r="H4" s="34">
        <f t="shared" si="0"/>
        <v>1.3975</v>
      </c>
      <c r="I4" s="34">
        <f t="shared" si="0"/>
        <v>1.4475</v>
      </c>
      <c r="J4" s="34">
        <f t="shared" si="0"/>
        <v>1.2175</v>
      </c>
      <c r="K4" s="34">
        <f t="shared" si="0"/>
        <v>1.2225</v>
      </c>
      <c r="L4" s="34">
        <f t="shared" si="0"/>
        <v>0</v>
      </c>
      <c r="M4" s="34">
        <f t="shared" si="0"/>
        <v>0</v>
      </c>
      <c r="N4" s="34">
        <f t="shared" si="0"/>
        <v>1.57</v>
      </c>
      <c r="O4" s="34">
        <f t="shared" si="0"/>
        <v>1.53</v>
      </c>
      <c r="P4" s="34">
        <f t="shared" si="0"/>
        <v>1.56</v>
      </c>
      <c r="Q4" s="34">
        <f t="shared" si="0"/>
        <v>14.5975</v>
      </c>
      <c r="R4" s="44">
        <f>Q4/10</f>
        <v>1.45975</v>
      </c>
    </row>
    <row r="5" s="1" customFormat="1" spans="1:18">
      <c r="A5" s="35" t="s">
        <v>6</v>
      </c>
      <c r="B5" s="28" t="s">
        <v>53</v>
      </c>
      <c r="C5" s="29">
        <v>44.9</v>
      </c>
      <c r="D5" s="29">
        <v>47.35</v>
      </c>
      <c r="E5" s="29">
        <v>0</v>
      </c>
      <c r="F5" s="29">
        <v>0.59</v>
      </c>
      <c r="G5" s="29">
        <v>44.94</v>
      </c>
      <c r="H5" s="29">
        <v>44.75</v>
      </c>
      <c r="I5" s="29">
        <v>45.57</v>
      </c>
      <c r="J5" s="29">
        <v>42.27</v>
      </c>
      <c r="K5" s="29">
        <v>39.11</v>
      </c>
      <c r="L5" s="29">
        <v>0</v>
      </c>
      <c r="M5" s="29">
        <v>0</v>
      </c>
      <c r="N5" s="29">
        <v>30.77</v>
      </c>
      <c r="O5" s="29">
        <v>35.29</v>
      </c>
      <c r="P5" s="29">
        <v>34.7</v>
      </c>
      <c r="Q5" s="29">
        <v>410.24</v>
      </c>
      <c r="R5" s="42">
        <f>Q5/Q6</f>
        <v>0.696018051950255</v>
      </c>
    </row>
    <row r="6" spans="1:18">
      <c r="A6" s="36"/>
      <c r="B6" s="31" t="s">
        <v>54</v>
      </c>
      <c r="C6" s="7">
        <v>59.04</v>
      </c>
      <c r="D6" s="7">
        <v>65.3</v>
      </c>
      <c r="E6" s="7">
        <v>0</v>
      </c>
      <c r="F6" s="7">
        <v>0.76</v>
      </c>
      <c r="G6" s="7">
        <v>57.59</v>
      </c>
      <c r="H6" s="7">
        <v>61.18</v>
      </c>
      <c r="I6" s="7">
        <v>62.55</v>
      </c>
      <c r="J6" s="7">
        <v>58.33</v>
      </c>
      <c r="K6" s="7">
        <v>55.5</v>
      </c>
      <c r="L6" s="7">
        <v>0.94</v>
      </c>
      <c r="M6" s="7">
        <v>0.93</v>
      </c>
      <c r="N6" s="7">
        <v>50.41</v>
      </c>
      <c r="O6" s="7">
        <v>58.89</v>
      </c>
      <c r="P6" s="7">
        <v>57.99</v>
      </c>
      <c r="Q6" s="7">
        <v>589.41</v>
      </c>
      <c r="R6" s="43"/>
    </row>
    <row r="7" customFormat="1" spans="1:18">
      <c r="A7" s="36"/>
      <c r="B7" s="31" t="s">
        <v>55</v>
      </c>
      <c r="C7" s="37">
        <f>C6/49</f>
        <v>1.20489795918367</v>
      </c>
      <c r="D7" s="37">
        <f t="shared" ref="D7:Q7" si="1">D6/49</f>
        <v>1.33265306122449</v>
      </c>
      <c r="E7" s="37">
        <f t="shared" si="1"/>
        <v>0</v>
      </c>
      <c r="F7" s="37">
        <f t="shared" si="1"/>
        <v>0.0155102040816327</v>
      </c>
      <c r="G7" s="37">
        <f t="shared" si="1"/>
        <v>1.17530612244898</v>
      </c>
      <c r="H7" s="37">
        <f t="shared" si="1"/>
        <v>1.24857142857143</v>
      </c>
      <c r="I7" s="37">
        <f t="shared" si="1"/>
        <v>1.2765306122449</v>
      </c>
      <c r="J7" s="37">
        <f t="shared" si="1"/>
        <v>1.19040816326531</v>
      </c>
      <c r="K7" s="37">
        <f t="shared" si="1"/>
        <v>1.13265306122449</v>
      </c>
      <c r="L7" s="37">
        <f t="shared" si="1"/>
        <v>0.0191836734693878</v>
      </c>
      <c r="M7" s="37">
        <f t="shared" si="1"/>
        <v>0.0189795918367347</v>
      </c>
      <c r="N7" s="37">
        <f t="shared" si="1"/>
        <v>1.02877551020408</v>
      </c>
      <c r="O7" s="37">
        <f t="shared" si="1"/>
        <v>1.20183673469388</v>
      </c>
      <c r="P7" s="37">
        <f t="shared" si="1"/>
        <v>1.1834693877551</v>
      </c>
      <c r="Q7" s="37">
        <f t="shared" si="1"/>
        <v>12.0287755102041</v>
      </c>
      <c r="R7" s="44">
        <f>Q7/10</f>
        <v>1.20287755102041</v>
      </c>
    </row>
    <row r="8" s="1" customFormat="1" spans="1:18">
      <c r="A8" s="27" t="s">
        <v>7</v>
      </c>
      <c r="B8" s="28" t="s">
        <v>53</v>
      </c>
      <c r="C8" s="29">
        <v>25.19</v>
      </c>
      <c r="D8" s="29">
        <v>23.7</v>
      </c>
      <c r="E8" s="29">
        <v>0</v>
      </c>
      <c r="F8" s="29">
        <v>0.47</v>
      </c>
      <c r="G8" s="29">
        <v>24.66</v>
      </c>
      <c r="H8" s="29">
        <v>26.02</v>
      </c>
      <c r="I8" s="29">
        <v>27.37</v>
      </c>
      <c r="J8" s="29">
        <v>25.16</v>
      </c>
      <c r="K8" s="29">
        <v>25.1</v>
      </c>
      <c r="L8" s="29">
        <v>1</v>
      </c>
      <c r="M8" s="29">
        <v>1</v>
      </c>
      <c r="N8" s="29">
        <v>21.53</v>
      </c>
      <c r="O8" s="29">
        <v>21.28</v>
      </c>
      <c r="P8" s="29">
        <v>19.18</v>
      </c>
      <c r="Q8" s="29">
        <v>241.66</v>
      </c>
      <c r="R8" s="42">
        <f>Q8/Q9</f>
        <v>0.665345117149858</v>
      </c>
    </row>
    <row r="9" spans="1:18">
      <c r="A9" s="30"/>
      <c r="B9" s="31" t="s">
        <v>54</v>
      </c>
      <c r="C9" s="7">
        <v>34.15</v>
      </c>
      <c r="D9" s="7">
        <v>38.25</v>
      </c>
      <c r="E9" s="7">
        <v>0.02</v>
      </c>
      <c r="F9" s="7">
        <v>1.3</v>
      </c>
      <c r="G9" s="7">
        <v>36.95</v>
      </c>
      <c r="H9" s="7">
        <v>34.93</v>
      </c>
      <c r="I9" s="7">
        <v>38.55</v>
      </c>
      <c r="J9" s="7">
        <v>35.96</v>
      </c>
      <c r="K9" s="7">
        <v>34.71</v>
      </c>
      <c r="L9" s="7">
        <v>0</v>
      </c>
      <c r="M9" s="7">
        <v>0.04</v>
      </c>
      <c r="N9" s="7">
        <v>32.3</v>
      </c>
      <c r="O9" s="7">
        <v>37.74</v>
      </c>
      <c r="P9" s="7">
        <v>38.31</v>
      </c>
      <c r="Q9" s="7">
        <v>363.21</v>
      </c>
      <c r="R9" s="43"/>
    </row>
    <row r="10" customFormat="1" spans="1:18">
      <c r="A10" s="30"/>
      <c r="B10" s="31" t="s">
        <v>55</v>
      </c>
      <c r="C10" s="34">
        <f>C9/29</f>
        <v>1.17758620689655</v>
      </c>
      <c r="D10" s="34">
        <f t="shared" ref="D10:Q10" si="2">D9/29</f>
        <v>1.31896551724138</v>
      </c>
      <c r="E10" s="34">
        <f t="shared" si="2"/>
        <v>0.000689655172413793</v>
      </c>
      <c r="F10" s="34">
        <f t="shared" si="2"/>
        <v>0.0448275862068966</v>
      </c>
      <c r="G10" s="34">
        <f t="shared" si="2"/>
        <v>1.27413793103448</v>
      </c>
      <c r="H10" s="34">
        <f t="shared" si="2"/>
        <v>1.20448275862069</v>
      </c>
      <c r="I10" s="34">
        <f t="shared" si="2"/>
        <v>1.32931034482759</v>
      </c>
      <c r="J10" s="34">
        <f t="shared" si="2"/>
        <v>1.24</v>
      </c>
      <c r="K10" s="34">
        <f t="shared" si="2"/>
        <v>1.19689655172414</v>
      </c>
      <c r="L10" s="34">
        <f t="shared" si="2"/>
        <v>0</v>
      </c>
      <c r="M10" s="34">
        <f t="shared" si="2"/>
        <v>0.00137931034482759</v>
      </c>
      <c r="N10" s="34">
        <f t="shared" si="2"/>
        <v>1.11379310344828</v>
      </c>
      <c r="O10" s="34">
        <f t="shared" si="2"/>
        <v>1.30137931034483</v>
      </c>
      <c r="P10" s="34">
        <f t="shared" si="2"/>
        <v>1.32103448275862</v>
      </c>
      <c r="Q10" s="34">
        <f t="shared" si="2"/>
        <v>12.5244827586207</v>
      </c>
      <c r="R10" s="44">
        <f>Q10/10</f>
        <v>1.25244827586207</v>
      </c>
    </row>
    <row r="11" s="1" customFormat="1" spans="1:18">
      <c r="A11" s="35" t="s">
        <v>9</v>
      </c>
      <c r="B11" s="28" t="s">
        <v>53</v>
      </c>
      <c r="C11" s="29">
        <v>3</v>
      </c>
      <c r="D11" s="29">
        <v>4</v>
      </c>
      <c r="E11" s="29">
        <v>1</v>
      </c>
      <c r="F11" s="29">
        <v>0</v>
      </c>
      <c r="G11" s="29">
        <v>4</v>
      </c>
      <c r="H11" s="29">
        <v>3</v>
      </c>
      <c r="I11" s="29">
        <v>4</v>
      </c>
      <c r="J11" s="29">
        <v>4</v>
      </c>
      <c r="K11" s="29">
        <v>3</v>
      </c>
      <c r="L11" s="29">
        <v>1</v>
      </c>
      <c r="M11" s="29">
        <v>1</v>
      </c>
      <c r="N11" s="29">
        <v>3</v>
      </c>
      <c r="O11" s="29">
        <v>3</v>
      </c>
      <c r="P11" s="29">
        <v>3</v>
      </c>
      <c r="Q11" s="29">
        <v>37</v>
      </c>
      <c r="R11" s="42">
        <f>Q11/Q12</f>
        <v>0.326336214499912</v>
      </c>
    </row>
    <row r="12" spans="1:18">
      <c r="A12" s="36"/>
      <c r="B12" s="31" t="s">
        <v>54</v>
      </c>
      <c r="C12" s="7">
        <v>10.58</v>
      </c>
      <c r="D12" s="7">
        <v>12.13</v>
      </c>
      <c r="E12" s="7">
        <v>0.47</v>
      </c>
      <c r="F12" s="7">
        <v>0</v>
      </c>
      <c r="G12" s="7">
        <v>12.89</v>
      </c>
      <c r="H12" s="7">
        <v>11.87</v>
      </c>
      <c r="I12" s="7">
        <v>12.39</v>
      </c>
      <c r="J12" s="7">
        <v>9.62</v>
      </c>
      <c r="K12" s="7">
        <v>8.92</v>
      </c>
      <c r="L12" s="7">
        <v>0.53</v>
      </c>
      <c r="M12" s="7">
        <v>0.51</v>
      </c>
      <c r="N12" s="7">
        <v>11.31</v>
      </c>
      <c r="O12" s="7">
        <v>12.47</v>
      </c>
      <c r="P12" s="7">
        <v>9.69</v>
      </c>
      <c r="Q12" s="7">
        <v>113.38</v>
      </c>
      <c r="R12" s="43"/>
    </row>
    <row r="13" customFormat="1" spans="1:18">
      <c r="A13" s="36"/>
      <c r="B13" s="31" t="s">
        <v>55</v>
      </c>
      <c r="C13" s="37">
        <f>C12/8</f>
        <v>1.3225</v>
      </c>
      <c r="D13" s="37">
        <f t="shared" ref="D13:Q13" si="3">D12/8</f>
        <v>1.51625</v>
      </c>
      <c r="E13" s="37">
        <f t="shared" si="3"/>
        <v>0.05875</v>
      </c>
      <c r="F13" s="37">
        <f t="shared" si="3"/>
        <v>0</v>
      </c>
      <c r="G13" s="37">
        <f t="shared" si="3"/>
        <v>1.61125</v>
      </c>
      <c r="H13" s="37">
        <f t="shared" si="3"/>
        <v>1.48375</v>
      </c>
      <c r="I13" s="37">
        <f t="shared" si="3"/>
        <v>1.54875</v>
      </c>
      <c r="J13" s="37">
        <f t="shared" si="3"/>
        <v>1.2025</v>
      </c>
      <c r="K13" s="37">
        <f t="shared" si="3"/>
        <v>1.115</v>
      </c>
      <c r="L13" s="37">
        <f t="shared" si="3"/>
        <v>0.06625</v>
      </c>
      <c r="M13" s="37">
        <f t="shared" si="3"/>
        <v>0.06375</v>
      </c>
      <c r="N13" s="37">
        <f t="shared" si="3"/>
        <v>1.41375</v>
      </c>
      <c r="O13" s="37">
        <f t="shared" si="3"/>
        <v>1.55875</v>
      </c>
      <c r="P13" s="37">
        <f t="shared" si="3"/>
        <v>1.21125</v>
      </c>
      <c r="Q13" s="37">
        <f t="shared" si="3"/>
        <v>14.1725</v>
      </c>
      <c r="R13" s="44">
        <f>Q13/10</f>
        <v>1.41725</v>
      </c>
    </row>
    <row r="14" s="1" customFormat="1" spans="1:18">
      <c r="A14" s="27" t="s">
        <v>10</v>
      </c>
      <c r="B14" s="28" t="s">
        <v>53</v>
      </c>
      <c r="C14" s="29">
        <v>13.88</v>
      </c>
      <c r="D14" s="29">
        <v>15.24</v>
      </c>
      <c r="E14" s="29">
        <v>0</v>
      </c>
      <c r="F14" s="29">
        <v>0</v>
      </c>
      <c r="G14" s="29">
        <v>15</v>
      </c>
      <c r="H14" s="29">
        <v>13</v>
      </c>
      <c r="I14" s="29">
        <v>13.47</v>
      </c>
      <c r="J14" s="29">
        <v>15.94</v>
      </c>
      <c r="K14" s="29">
        <v>14</v>
      </c>
      <c r="L14" s="29">
        <v>0</v>
      </c>
      <c r="M14" s="29">
        <v>0</v>
      </c>
      <c r="N14" s="29">
        <v>15</v>
      </c>
      <c r="O14" s="29">
        <v>13.94</v>
      </c>
      <c r="P14" s="29">
        <v>11.94</v>
      </c>
      <c r="Q14" s="29">
        <v>141.41</v>
      </c>
      <c r="R14" s="42">
        <f>Q14/Q15</f>
        <v>0.643123521921048</v>
      </c>
    </row>
    <row r="15" spans="1:18">
      <c r="A15" s="30"/>
      <c r="B15" s="31" t="s">
        <v>54</v>
      </c>
      <c r="C15" s="7">
        <v>19.76</v>
      </c>
      <c r="D15" s="7">
        <v>20.08</v>
      </c>
      <c r="E15" s="7">
        <v>0.62</v>
      </c>
      <c r="F15" s="7">
        <v>0.98</v>
      </c>
      <c r="G15" s="7">
        <v>21.18</v>
      </c>
      <c r="H15" s="7">
        <v>22.2</v>
      </c>
      <c r="I15" s="7">
        <v>20.55</v>
      </c>
      <c r="J15" s="7">
        <v>22.71</v>
      </c>
      <c r="K15" s="7">
        <v>22.37</v>
      </c>
      <c r="L15" s="7">
        <v>0.53</v>
      </c>
      <c r="M15" s="7">
        <v>0</v>
      </c>
      <c r="N15" s="7">
        <v>22.42</v>
      </c>
      <c r="O15" s="7">
        <v>22.94</v>
      </c>
      <c r="P15" s="7">
        <v>23.54</v>
      </c>
      <c r="Q15" s="7">
        <v>219.88</v>
      </c>
      <c r="R15" s="43"/>
    </row>
    <row r="16" spans="1:18">
      <c r="A16" s="38"/>
      <c r="B16" s="31" t="s">
        <v>55</v>
      </c>
      <c r="C16" s="37">
        <f>C15/17</f>
        <v>1.16235294117647</v>
      </c>
      <c r="D16" s="37">
        <f t="shared" ref="D16:Q16" si="4">D15/17</f>
        <v>1.18117647058824</v>
      </c>
      <c r="E16" s="37">
        <f t="shared" si="4"/>
        <v>0.0364705882352941</v>
      </c>
      <c r="F16" s="37">
        <f t="shared" si="4"/>
        <v>0.0576470588235294</v>
      </c>
      <c r="G16" s="37">
        <f t="shared" si="4"/>
        <v>1.24588235294118</v>
      </c>
      <c r="H16" s="37">
        <f t="shared" si="4"/>
        <v>1.30588235294118</v>
      </c>
      <c r="I16" s="37">
        <f t="shared" si="4"/>
        <v>1.20882352941176</v>
      </c>
      <c r="J16" s="37">
        <f t="shared" si="4"/>
        <v>1.33588235294118</v>
      </c>
      <c r="K16" s="37">
        <f t="shared" si="4"/>
        <v>1.31588235294118</v>
      </c>
      <c r="L16" s="37">
        <f t="shared" si="4"/>
        <v>0.0311764705882353</v>
      </c>
      <c r="M16" s="37">
        <f t="shared" si="4"/>
        <v>0</v>
      </c>
      <c r="N16" s="37">
        <f t="shared" si="4"/>
        <v>1.31882352941176</v>
      </c>
      <c r="O16" s="37">
        <f t="shared" si="4"/>
        <v>1.34941176470588</v>
      </c>
      <c r="P16" s="37">
        <f t="shared" si="4"/>
        <v>1.38470588235294</v>
      </c>
      <c r="Q16" s="37">
        <f t="shared" si="4"/>
        <v>12.9341176470588</v>
      </c>
      <c r="R16" s="44">
        <f>Q16/10</f>
        <v>1.29341176470588</v>
      </c>
    </row>
    <row r="17" s="1" customFormat="1" spans="1:18">
      <c r="A17" s="35" t="s">
        <v>11</v>
      </c>
      <c r="B17" s="28" t="s">
        <v>53</v>
      </c>
      <c r="C17" s="29">
        <v>21.5</v>
      </c>
      <c r="D17" s="29">
        <v>22.5</v>
      </c>
      <c r="E17" s="29">
        <v>0</v>
      </c>
      <c r="F17" s="29">
        <v>0</v>
      </c>
      <c r="G17" s="29">
        <v>21</v>
      </c>
      <c r="H17" s="29">
        <v>21</v>
      </c>
      <c r="I17" s="29">
        <v>17.5</v>
      </c>
      <c r="J17" s="29">
        <v>21</v>
      </c>
      <c r="K17" s="29">
        <v>20</v>
      </c>
      <c r="L17" s="29">
        <v>0</v>
      </c>
      <c r="M17" s="29">
        <v>0</v>
      </c>
      <c r="N17" s="29">
        <v>16</v>
      </c>
      <c r="O17" s="29">
        <v>21</v>
      </c>
      <c r="P17" s="29">
        <v>20</v>
      </c>
      <c r="Q17" s="29">
        <v>201.5</v>
      </c>
      <c r="R17" s="42">
        <f>Q17/Q18</f>
        <v>0.725838406397464</v>
      </c>
    </row>
    <row r="18" spans="1:18">
      <c r="A18" s="36"/>
      <c r="B18" s="31" t="s">
        <v>54</v>
      </c>
      <c r="C18" s="7">
        <v>28.46</v>
      </c>
      <c r="D18" s="7">
        <v>28.29</v>
      </c>
      <c r="E18" s="7">
        <v>0</v>
      </c>
      <c r="F18" s="7">
        <v>0</v>
      </c>
      <c r="G18" s="7">
        <v>30.51</v>
      </c>
      <c r="H18" s="7">
        <v>27.76</v>
      </c>
      <c r="I18" s="7">
        <v>28.11</v>
      </c>
      <c r="J18" s="7">
        <v>28.49</v>
      </c>
      <c r="K18" s="7">
        <v>28.61</v>
      </c>
      <c r="L18" s="7">
        <v>0</v>
      </c>
      <c r="M18" s="7">
        <v>0</v>
      </c>
      <c r="N18" s="7">
        <v>24.34</v>
      </c>
      <c r="O18" s="7">
        <v>26.43</v>
      </c>
      <c r="P18" s="7">
        <v>26.61</v>
      </c>
      <c r="Q18" s="7">
        <v>277.61</v>
      </c>
      <c r="R18" s="43"/>
    </row>
    <row r="19" customFormat="1" spans="1:18">
      <c r="A19" s="36"/>
      <c r="B19" s="31" t="s">
        <v>55</v>
      </c>
      <c r="C19" s="7">
        <f>C18/25</f>
        <v>1.1384</v>
      </c>
      <c r="D19" s="7">
        <f t="shared" ref="D19:Q19" si="5">D18/25</f>
        <v>1.1316</v>
      </c>
      <c r="E19" s="7">
        <f t="shared" si="5"/>
        <v>0</v>
      </c>
      <c r="F19" s="7">
        <f t="shared" si="5"/>
        <v>0</v>
      </c>
      <c r="G19" s="7">
        <f t="shared" si="5"/>
        <v>1.2204</v>
      </c>
      <c r="H19" s="7">
        <f t="shared" si="5"/>
        <v>1.1104</v>
      </c>
      <c r="I19" s="7">
        <f t="shared" si="5"/>
        <v>1.1244</v>
      </c>
      <c r="J19" s="7">
        <f t="shared" si="5"/>
        <v>1.1396</v>
      </c>
      <c r="K19" s="7">
        <f t="shared" si="5"/>
        <v>1.1444</v>
      </c>
      <c r="L19" s="7">
        <f t="shared" si="5"/>
        <v>0</v>
      </c>
      <c r="M19" s="7">
        <f t="shared" si="5"/>
        <v>0</v>
      </c>
      <c r="N19" s="7">
        <f t="shared" si="5"/>
        <v>0.9736</v>
      </c>
      <c r="O19" s="7">
        <f t="shared" si="5"/>
        <v>1.0572</v>
      </c>
      <c r="P19" s="7">
        <f t="shared" si="5"/>
        <v>1.0644</v>
      </c>
      <c r="Q19" s="7">
        <f t="shared" si="5"/>
        <v>11.1044</v>
      </c>
      <c r="R19" s="44">
        <f>Q19/10</f>
        <v>1.11044</v>
      </c>
    </row>
    <row r="20" spans="1:18">
      <c r="A20" s="39" t="s">
        <v>56</v>
      </c>
      <c r="B20" s="40" t="s">
        <v>54</v>
      </c>
      <c r="C20" s="41">
        <v>14.78</v>
      </c>
      <c r="D20" s="41">
        <v>13.26</v>
      </c>
      <c r="E20" s="41">
        <v>0</v>
      </c>
      <c r="F20" s="41">
        <v>0</v>
      </c>
      <c r="G20" s="41">
        <v>14.53</v>
      </c>
      <c r="H20" s="41">
        <v>14.86</v>
      </c>
      <c r="I20" s="41">
        <v>16.78</v>
      </c>
      <c r="J20" s="41">
        <v>14.85</v>
      </c>
      <c r="K20" s="41">
        <v>13.73</v>
      </c>
      <c r="L20" s="41">
        <v>0</v>
      </c>
      <c r="M20" s="41">
        <v>0</v>
      </c>
      <c r="N20" s="41">
        <v>22.48</v>
      </c>
      <c r="O20" s="41">
        <v>23.14</v>
      </c>
      <c r="P20" s="41">
        <v>22.72</v>
      </c>
      <c r="Q20" s="41">
        <v>171.13</v>
      </c>
      <c r="R20" s="41"/>
    </row>
    <row r="21" s="1" customFormat="1" spans="1:18">
      <c r="A21" s="39" t="s">
        <v>57</v>
      </c>
      <c r="B21" s="40" t="s">
        <v>54</v>
      </c>
      <c r="C21" s="41">
        <v>9.18</v>
      </c>
      <c r="D21" s="41">
        <v>7.48</v>
      </c>
      <c r="E21" s="41">
        <v>0</v>
      </c>
      <c r="F21" s="41">
        <v>0</v>
      </c>
      <c r="G21" s="41">
        <v>9.71</v>
      </c>
      <c r="H21" s="41">
        <v>5.09</v>
      </c>
      <c r="I21" s="41">
        <v>8.44</v>
      </c>
      <c r="J21" s="41">
        <v>9.14</v>
      </c>
      <c r="K21" s="41">
        <v>8.33</v>
      </c>
      <c r="L21" s="41">
        <v>0</v>
      </c>
      <c r="M21" s="41">
        <v>0</v>
      </c>
      <c r="N21" s="41">
        <v>10.8</v>
      </c>
      <c r="O21" s="41">
        <v>7.83</v>
      </c>
      <c r="P21" s="41">
        <v>9.57</v>
      </c>
      <c r="Q21" s="41">
        <v>85.57</v>
      </c>
      <c r="R21" s="41"/>
    </row>
    <row r="22" s="1" customFormat="1" spans="1:18">
      <c r="A22" s="39" t="s">
        <v>58</v>
      </c>
      <c r="B22" s="40" t="s">
        <v>54</v>
      </c>
      <c r="C22" s="41">
        <v>6.8</v>
      </c>
      <c r="D22" s="41">
        <v>7.8</v>
      </c>
      <c r="E22" s="41">
        <v>0</v>
      </c>
      <c r="F22" s="41">
        <v>0</v>
      </c>
      <c r="G22" s="41">
        <v>7.96</v>
      </c>
      <c r="H22" s="41">
        <v>7.79</v>
      </c>
      <c r="I22" s="41">
        <v>6.85</v>
      </c>
      <c r="J22" s="41">
        <v>7.51</v>
      </c>
      <c r="K22" s="41">
        <v>6.91</v>
      </c>
      <c r="L22" s="41">
        <v>0</v>
      </c>
      <c r="M22" s="41">
        <v>0</v>
      </c>
      <c r="N22" s="41">
        <v>6.88</v>
      </c>
      <c r="O22" s="41">
        <v>7.9</v>
      </c>
      <c r="P22" s="41">
        <v>6.85</v>
      </c>
      <c r="Q22" s="41">
        <v>73.25</v>
      </c>
      <c r="R22" s="41"/>
    </row>
    <row r="23" s="1" customFormat="1" spans="1:18">
      <c r="A23" s="39" t="s">
        <v>59</v>
      </c>
      <c r="B23" s="40" t="s">
        <v>54</v>
      </c>
      <c r="C23" s="41">
        <v>23.47</v>
      </c>
      <c r="D23" s="41">
        <v>21.78</v>
      </c>
      <c r="E23" s="41">
        <v>0</v>
      </c>
      <c r="F23" s="41">
        <v>0</v>
      </c>
      <c r="G23" s="41">
        <v>22.71</v>
      </c>
      <c r="H23" s="41">
        <v>22.27</v>
      </c>
      <c r="I23" s="41">
        <v>23.52</v>
      </c>
      <c r="J23" s="41">
        <v>23.39</v>
      </c>
      <c r="K23" s="41">
        <v>23.81</v>
      </c>
      <c r="L23" s="41">
        <v>2.73</v>
      </c>
      <c r="M23" s="41">
        <v>2.42</v>
      </c>
      <c r="N23" s="41">
        <v>21.47</v>
      </c>
      <c r="O23" s="41">
        <v>25.52</v>
      </c>
      <c r="P23" s="41">
        <v>22.29</v>
      </c>
      <c r="Q23" s="41">
        <v>235.38</v>
      </c>
      <c r="R23" s="41"/>
    </row>
    <row r="24" s="1" customFormat="1" spans="1:18">
      <c r="A24" s="39" t="s">
        <v>60</v>
      </c>
      <c r="B24" s="40" t="s">
        <v>54</v>
      </c>
      <c r="C24" s="41">
        <v>28.48</v>
      </c>
      <c r="D24" s="41">
        <v>30.99</v>
      </c>
      <c r="E24" s="41">
        <v>0.31</v>
      </c>
      <c r="F24" s="41">
        <v>0</v>
      </c>
      <c r="G24" s="41">
        <v>31.15</v>
      </c>
      <c r="H24" s="41">
        <v>29.38</v>
      </c>
      <c r="I24" s="41">
        <v>31.13</v>
      </c>
      <c r="J24" s="41">
        <v>28.07</v>
      </c>
      <c r="K24" s="41">
        <v>27.18</v>
      </c>
      <c r="L24" s="41">
        <v>0</v>
      </c>
      <c r="M24" s="41">
        <v>0</v>
      </c>
      <c r="N24" s="41">
        <v>32.7</v>
      </c>
      <c r="O24" s="41">
        <v>31.87</v>
      </c>
      <c r="P24" s="41">
        <v>28.89</v>
      </c>
      <c r="Q24" s="41">
        <v>300.15</v>
      </c>
      <c r="R24" s="41"/>
    </row>
    <row r="25" s="1" customFormat="1" spans="1:18">
      <c r="A25" s="39" t="s">
        <v>61</v>
      </c>
      <c r="B25" s="40" t="s">
        <v>54</v>
      </c>
      <c r="C25" s="41">
        <v>7.71</v>
      </c>
      <c r="D25" s="41">
        <v>6.44</v>
      </c>
      <c r="E25" s="41">
        <v>0</v>
      </c>
      <c r="F25" s="41">
        <v>0</v>
      </c>
      <c r="G25" s="41">
        <v>7.59</v>
      </c>
      <c r="H25" s="41">
        <v>7.94</v>
      </c>
      <c r="I25" s="41">
        <v>8.33</v>
      </c>
      <c r="J25" s="41">
        <v>6.93</v>
      </c>
      <c r="K25" s="41">
        <v>7.26</v>
      </c>
      <c r="L25" s="41">
        <v>0</v>
      </c>
      <c r="M25" s="41">
        <v>0</v>
      </c>
      <c r="N25" s="41">
        <v>7.28</v>
      </c>
      <c r="O25" s="41">
        <v>8.12</v>
      </c>
      <c r="P25" s="41">
        <v>6.68</v>
      </c>
      <c r="Q25" s="41">
        <v>74.28</v>
      </c>
      <c r="R25" s="41"/>
    </row>
  </sheetData>
  <autoFilter ref="A1:Q25">
    <extLst/>
  </autoFilter>
  <sortState ref="A2:Q19">
    <sortCondition ref="A2"/>
  </sortState>
  <mergeCells count="12">
    <mergeCell ref="A2:A4"/>
    <mergeCell ref="A5:A7"/>
    <mergeCell ref="A8:A10"/>
    <mergeCell ref="A11:A13"/>
    <mergeCell ref="A14:A16"/>
    <mergeCell ref="A17:A19"/>
    <mergeCell ref="R2:R3"/>
    <mergeCell ref="R5:R6"/>
    <mergeCell ref="R8:R9"/>
    <mergeCell ref="R11:R12"/>
    <mergeCell ref="R14:R15"/>
    <mergeCell ref="R17:R1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57"/>
  <sheetViews>
    <sheetView workbookViewId="0">
      <selection activeCell="E57" sqref="A1:F57"/>
    </sheetView>
  </sheetViews>
  <sheetFormatPr defaultColWidth="9" defaultRowHeight="14.4" outlineLevelCol="5"/>
  <cols>
    <col min="1" max="1" width="13" customWidth="1"/>
    <col min="2" max="2" width="40" customWidth="1"/>
    <col min="4" max="4" width="14.8888888888889" customWidth="1"/>
    <col min="6" max="6" width="22.1111111111111" customWidth="1"/>
  </cols>
  <sheetData>
    <row r="1" spans="1:5">
      <c r="A1" s="17" t="s">
        <v>23</v>
      </c>
      <c r="B1" s="13" t="s">
        <v>21</v>
      </c>
      <c r="C1" s="13" t="s">
        <v>40</v>
      </c>
      <c r="D1" s="13" t="s">
        <v>51</v>
      </c>
      <c r="E1" s="13" t="s">
        <v>41</v>
      </c>
    </row>
    <row r="2" spans="1:5">
      <c r="A2" s="19" t="s">
        <v>7</v>
      </c>
      <c r="B2" s="20" t="s">
        <v>31</v>
      </c>
      <c r="C2" s="20">
        <v>92.44</v>
      </c>
      <c r="D2" s="20">
        <v>241.66</v>
      </c>
      <c r="E2" s="20">
        <v>38.25</v>
      </c>
    </row>
    <row r="3" spans="1:5">
      <c r="A3" s="21"/>
      <c r="B3" s="20" t="s">
        <v>42</v>
      </c>
      <c r="C3" s="20">
        <v>76.71</v>
      </c>
      <c r="D3" s="20">
        <v>241.66</v>
      </c>
      <c r="E3" s="20">
        <v>31.74</v>
      </c>
    </row>
    <row r="4" spans="1:5">
      <c r="A4" s="21"/>
      <c r="B4" s="15" t="s">
        <v>35</v>
      </c>
      <c r="C4" s="15">
        <v>25.3</v>
      </c>
      <c r="D4" s="15">
        <v>241.66</v>
      </c>
      <c r="E4" s="15">
        <v>10.47</v>
      </c>
    </row>
    <row r="5" spans="1:5">
      <c r="A5" s="21"/>
      <c r="B5" s="15" t="s">
        <v>38</v>
      </c>
      <c r="C5" s="15">
        <v>12.96</v>
      </c>
      <c r="D5" s="15">
        <v>241.66</v>
      </c>
      <c r="E5" s="15">
        <v>5.36</v>
      </c>
    </row>
    <row r="6" spans="1:5">
      <c r="A6" s="21"/>
      <c r="B6" s="15" t="s">
        <v>30</v>
      </c>
      <c r="C6" s="15">
        <v>11.3</v>
      </c>
      <c r="D6" s="15">
        <v>241.66</v>
      </c>
      <c r="E6" s="15">
        <v>4.68</v>
      </c>
    </row>
    <row r="7" spans="1:5">
      <c r="A7" s="21"/>
      <c r="B7" s="15" t="s">
        <v>28</v>
      </c>
      <c r="C7" s="15">
        <v>9.33</v>
      </c>
      <c r="D7" s="15">
        <v>241.66</v>
      </c>
      <c r="E7" s="15">
        <v>3.86</v>
      </c>
    </row>
    <row r="8" spans="1:5">
      <c r="A8" s="21"/>
      <c r="B8" s="15" t="s">
        <v>32</v>
      </c>
      <c r="C8" s="15">
        <v>7.1</v>
      </c>
      <c r="D8" s="15">
        <v>241.66</v>
      </c>
      <c r="E8" s="15">
        <v>2.94</v>
      </c>
    </row>
    <row r="9" spans="1:5">
      <c r="A9" s="21"/>
      <c r="B9" s="15" t="s">
        <v>34</v>
      </c>
      <c r="C9" s="15">
        <v>5.78</v>
      </c>
      <c r="D9" s="15">
        <v>241.66</v>
      </c>
      <c r="E9" s="15">
        <v>2.39</v>
      </c>
    </row>
    <row r="10" spans="1:5">
      <c r="A10" s="21"/>
      <c r="B10" s="15" t="s">
        <v>43</v>
      </c>
      <c r="C10" s="15">
        <v>0.49</v>
      </c>
      <c r="D10" s="15">
        <v>241.66</v>
      </c>
      <c r="E10" s="15">
        <v>0.2</v>
      </c>
    </row>
    <row r="11" spans="1:5">
      <c r="A11" s="22"/>
      <c r="B11" s="15" t="s">
        <v>45</v>
      </c>
      <c r="C11" s="15">
        <v>0.25</v>
      </c>
      <c r="D11" s="15">
        <v>241.66</v>
      </c>
      <c r="E11" s="15">
        <v>0.1</v>
      </c>
    </row>
    <row r="12" spans="1:5">
      <c r="A12" s="19" t="s">
        <v>6</v>
      </c>
      <c r="B12" s="20" t="s">
        <v>42</v>
      </c>
      <c r="C12" s="20">
        <v>122.66</v>
      </c>
      <c r="D12" s="20">
        <v>410.25</v>
      </c>
      <c r="E12" s="20">
        <v>29.9</v>
      </c>
    </row>
    <row r="13" spans="1:5">
      <c r="A13" s="21"/>
      <c r="B13" s="20" t="s">
        <v>31</v>
      </c>
      <c r="C13" s="20">
        <v>118.73</v>
      </c>
      <c r="D13" s="20">
        <v>410.25</v>
      </c>
      <c r="E13" s="20">
        <v>28.94</v>
      </c>
    </row>
    <row r="14" spans="1:5">
      <c r="A14" s="21"/>
      <c r="B14" s="15" t="s">
        <v>35</v>
      </c>
      <c r="C14" s="15">
        <v>41.39</v>
      </c>
      <c r="D14" s="15">
        <v>410.25</v>
      </c>
      <c r="E14" s="15">
        <v>10.09</v>
      </c>
    </row>
    <row r="15" spans="1:5">
      <c r="A15" s="21"/>
      <c r="B15" s="15" t="s">
        <v>28</v>
      </c>
      <c r="C15" s="15">
        <v>31.52</v>
      </c>
      <c r="D15" s="15">
        <v>410.25</v>
      </c>
      <c r="E15" s="15">
        <v>7.68</v>
      </c>
    </row>
    <row r="16" spans="1:5">
      <c r="A16" s="21"/>
      <c r="B16" s="15" t="s">
        <v>32</v>
      </c>
      <c r="C16" s="15">
        <v>23.77</v>
      </c>
      <c r="D16" s="15">
        <v>410.25</v>
      </c>
      <c r="E16" s="15">
        <v>5.79</v>
      </c>
    </row>
    <row r="17" spans="1:5">
      <c r="A17" s="21"/>
      <c r="B17" s="15" t="s">
        <v>38</v>
      </c>
      <c r="C17" s="15">
        <v>20.24</v>
      </c>
      <c r="D17" s="15">
        <v>410.25</v>
      </c>
      <c r="E17" s="15">
        <v>4.93</v>
      </c>
    </row>
    <row r="18" spans="1:5">
      <c r="A18" s="21"/>
      <c r="B18" s="15" t="s">
        <v>43</v>
      </c>
      <c r="C18" s="15">
        <v>19.58</v>
      </c>
      <c r="D18" s="15">
        <v>410.25</v>
      </c>
      <c r="E18" s="15">
        <v>4.77</v>
      </c>
    </row>
    <row r="19" spans="1:5">
      <c r="A19" s="21"/>
      <c r="B19" s="15" t="s">
        <v>30</v>
      </c>
      <c r="C19" s="15">
        <v>16.51</v>
      </c>
      <c r="D19" s="15">
        <v>410.25</v>
      </c>
      <c r="E19" s="15">
        <v>4.02</v>
      </c>
    </row>
    <row r="20" spans="1:5">
      <c r="A20" s="21"/>
      <c r="B20" s="15" t="s">
        <v>34</v>
      </c>
      <c r="C20" s="15">
        <v>12.83</v>
      </c>
      <c r="D20" s="15">
        <v>410.25</v>
      </c>
      <c r="E20" s="15">
        <v>3.13</v>
      </c>
    </row>
    <row r="21" spans="1:5">
      <c r="A21" s="22"/>
      <c r="B21" s="15" t="s">
        <v>45</v>
      </c>
      <c r="C21" s="15">
        <v>3.02</v>
      </c>
      <c r="D21" s="15">
        <v>410.25</v>
      </c>
      <c r="E21" s="15">
        <v>0.74</v>
      </c>
    </row>
    <row r="22" spans="1:5">
      <c r="A22" s="19" t="s">
        <v>8</v>
      </c>
      <c r="B22" s="20" t="s">
        <v>34</v>
      </c>
      <c r="C22" s="20">
        <v>27.2</v>
      </c>
      <c r="D22" s="20">
        <v>39.86</v>
      </c>
      <c r="E22" s="20">
        <v>68.24</v>
      </c>
    </row>
    <row r="23" spans="1:5">
      <c r="A23" s="21"/>
      <c r="B23" s="15" t="s">
        <v>38</v>
      </c>
      <c r="C23" s="15">
        <v>3.78</v>
      </c>
      <c r="D23" s="15">
        <v>39.86</v>
      </c>
      <c r="E23" s="15">
        <v>9.48</v>
      </c>
    </row>
    <row r="24" spans="1:5">
      <c r="A24" s="21"/>
      <c r="B24" s="15" t="s">
        <v>31</v>
      </c>
      <c r="C24" s="15">
        <v>2.91</v>
      </c>
      <c r="D24" s="15">
        <v>39.86</v>
      </c>
      <c r="E24" s="15">
        <v>7.3</v>
      </c>
    </row>
    <row r="25" spans="1:5">
      <c r="A25" s="21"/>
      <c r="B25" s="15" t="s">
        <v>35</v>
      </c>
      <c r="C25" s="15">
        <v>2.2</v>
      </c>
      <c r="D25" s="15">
        <v>39.86</v>
      </c>
      <c r="E25" s="15">
        <v>5.52</v>
      </c>
    </row>
    <row r="26" spans="1:5">
      <c r="A26" s="21"/>
      <c r="B26" s="15" t="s">
        <v>32</v>
      </c>
      <c r="C26" s="15">
        <v>1.99</v>
      </c>
      <c r="D26" s="15">
        <v>39.86</v>
      </c>
      <c r="E26" s="15">
        <v>4.99</v>
      </c>
    </row>
    <row r="27" spans="1:5">
      <c r="A27" s="21"/>
      <c r="B27" s="15" t="s">
        <v>42</v>
      </c>
      <c r="C27" s="15">
        <v>1.33</v>
      </c>
      <c r="D27" s="15">
        <v>39.86</v>
      </c>
      <c r="E27" s="15">
        <v>3.34</v>
      </c>
    </row>
    <row r="28" spans="1:5">
      <c r="A28" s="21"/>
      <c r="B28" s="15" t="s">
        <v>28</v>
      </c>
      <c r="C28" s="15">
        <v>0.25</v>
      </c>
      <c r="D28" s="15">
        <v>39.86</v>
      </c>
      <c r="E28" s="15">
        <v>0.63</v>
      </c>
    </row>
    <row r="29" spans="1:5">
      <c r="A29" s="22"/>
      <c r="B29" s="15" t="s">
        <v>30</v>
      </c>
      <c r="C29" s="15">
        <v>0.2</v>
      </c>
      <c r="D29" s="15">
        <v>39.86</v>
      </c>
      <c r="E29" s="15">
        <v>0.5</v>
      </c>
    </row>
    <row r="30" spans="1:5">
      <c r="A30" s="19" t="s">
        <v>9</v>
      </c>
      <c r="B30" s="20" t="s">
        <v>35</v>
      </c>
      <c r="C30" s="20">
        <v>13.5</v>
      </c>
      <c r="D30" s="20">
        <v>37</v>
      </c>
      <c r="E30" s="20">
        <v>36.49</v>
      </c>
    </row>
    <row r="31" spans="1:5">
      <c r="A31" s="21"/>
      <c r="B31" s="15" t="s">
        <v>42</v>
      </c>
      <c r="C31" s="15">
        <v>9.15</v>
      </c>
      <c r="D31" s="15">
        <v>37</v>
      </c>
      <c r="E31" s="15">
        <v>24.73</v>
      </c>
    </row>
    <row r="32" spans="1:5">
      <c r="A32" s="21"/>
      <c r="B32" s="15" t="s">
        <v>32</v>
      </c>
      <c r="C32" s="15">
        <v>6.88</v>
      </c>
      <c r="D32" s="15">
        <v>37</v>
      </c>
      <c r="E32" s="15">
        <v>18.59</v>
      </c>
    </row>
    <row r="33" spans="1:5">
      <c r="A33" s="21"/>
      <c r="B33" s="15" t="s">
        <v>30</v>
      </c>
      <c r="C33" s="15">
        <v>2.35</v>
      </c>
      <c r="D33" s="15">
        <v>37</v>
      </c>
      <c r="E33" s="15">
        <v>6.35</v>
      </c>
    </row>
    <row r="34" spans="1:5">
      <c r="A34" s="21"/>
      <c r="B34" s="15" t="s">
        <v>28</v>
      </c>
      <c r="C34" s="15">
        <v>1.85</v>
      </c>
      <c r="D34" s="15">
        <v>37</v>
      </c>
      <c r="E34" s="15">
        <v>5</v>
      </c>
    </row>
    <row r="35" spans="1:5">
      <c r="A35" s="21"/>
      <c r="B35" s="15" t="s">
        <v>31</v>
      </c>
      <c r="C35" s="15">
        <v>1</v>
      </c>
      <c r="D35" s="15">
        <v>37</v>
      </c>
      <c r="E35" s="15">
        <v>2.7</v>
      </c>
    </row>
    <row r="36" spans="1:5">
      <c r="A36" s="21"/>
      <c r="B36" s="15" t="s">
        <v>43</v>
      </c>
      <c r="C36" s="15">
        <v>1</v>
      </c>
      <c r="D36" s="15">
        <v>37</v>
      </c>
      <c r="E36" s="15">
        <v>2.7</v>
      </c>
    </row>
    <row r="37" spans="1:5">
      <c r="A37" s="21"/>
      <c r="B37" s="15" t="s">
        <v>38</v>
      </c>
      <c r="C37" s="15">
        <v>0.7</v>
      </c>
      <c r="D37" s="15">
        <v>37</v>
      </c>
      <c r="E37" s="15">
        <v>1.89</v>
      </c>
    </row>
    <row r="38" spans="1:5">
      <c r="A38" s="21"/>
      <c r="B38" s="15" t="s">
        <v>45</v>
      </c>
      <c r="C38" s="15">
        <v>0.37</v>
      </c>
      <c r="D38" s="15">
        <v>37</v>
      </c>
      <c r="E38" s="15">
        <v>1</v>
      </c>
    </row>
    <row r="39" spans="1:5">
      <c r="A39" s="22"/>
      <c r="B39" s="15" t="s">
        <v>34</v>
      </c>
      <c r="C39" s="15">
        <v>0.2</v>
      </c>
      <c r="D39" s="15">
        <v>37</v>
      </c>
      <c r="E39" s="15">
        <v>0.54</v>
      </c>
    </row>
    <row r="40" spans="1:5">
      <c r="A40" s="19" t="s">
        <v>10</v>
      </c>
      <c r="B40" s="20" t="s">
        <v>35</v>
      </c>
      <c r="C40" s="20">
        <v>60.82</v>
      </c>
      <c r="D40" s="20">
        <v>141.4</v>
      </c>
      <c r="E40" s="20">
        <v>43.01</v>
      </c>
    </row>
    <row r="41" spans="1:5">
      <c r="A41" s="21"/>
      <c r="B41" s="15" t="s">
        <v>30</v>
      </c>
      <c r="C41" s="15">
        <v>22.12</v>
      </c>
      <c r="D41" s="15">
        <v>141.4</v>
      </c>
      <c r="E41" s="15">
        <v>15.64</v>
      </c>
    </row>
    <row r="42" spans="1:5">
      <c r="A42" s="21"/>
      <c r="B42" s="15" t="s">
        <v>31</v>
      </c>
      <c r="C42" s="15">
        <v>14.32</v>
      </c>
      <c r="D42" s="15">
        <v>141.4</v>
      </c>
      <c r="E42" s="15">
        <v>10.13</v>
      </c>
    </row>
    <row r="43" spans="1:5">
      <c r="A43" s="21"/>
      <c r="B43" s="15" t="s">
        <v>32</v>
      </c>
      <c r="C43" s="15">
        <v>13.53</v>
      </c>
      <c r="D43" s="15">
        <v>141.4</v>
      </c>
      <c r="E43" s="15">
        <v>9.57</v>
      </c>
    </row>
    <row r="44" spans="1:5">
      <c r="A44" s="21"/>
      <c r="B44" s="15" t="s">
        <v>38</v>
      </c>
      <c r="C44" s="15">
        <v>11.4</v>
      </c>
      <c r="D44" s="15">
        <v>141.4</v>
      </c>
      <c r="E44" s="15">
        <v>8.06</v>
      </c>
    </row>
    <row r="45" spans="1:5">
      <c r="A45" s="21"/>
      <c r="B45" s="15" t="s">
        <v>42</v>
      </c>
      <c r="C45" s="15">
        <v>9.77</v>
      </c>
      <c r="D45" s="15">
        <v>141.4</v>
      </c>
      <c r="E45" s="15">
        <v>6.91</v>
      </c>
    </row>
    <row r="46" spans="1:5">
      <c r="A46" s="21"/>
      <c r="B46" s="15" t="s">
        <v>45</v>
      </c>
      <c r="C46" s="15">
        <v>4.94</v>
      </c>
      <c r="D46" s="15">
        <v>141.4</v>
      </c>
      <c r="E46" s="15">
        <v>3.49</v>
      </c>
    </row>
    <row r="47" spans="1:5">
      <c r="A47" s="21"/>
      <c r="B47" s="15" t="s">
        <v>34</v>
      </c>
      <c r="C47" s="15">
        <v>2.5</v>
      </c>
      <c r="D47" s="15">
        <v>141.4</v>
      </c>
      <c r="E47" s="15">
        <v>1.77</v>
      </c>
    </row>
    <row r="48" spans="1:5">
      <c r="A48" s="21"/>
      <c r="B48" s="15" t="s">
        <v>28</v>
      </c>
      <c r="C48" s="15">
        <v>1.5</v>
      </c>
      <c r="D48" s="15">
        <v>141.4</v>
      </c>
      <c r="E48" s="15">
        <v>1.06</v>
      </c>
    </row>
    <row r="49" spans="1:5">
      <c r="A49" s="22"/>
      <c r="B49" s="15" t="s">
        <v>43</v>
      </c>
      <c r="C49" s="15">
        <v>0.5</v>
      </c>
      <c r="D49" s="15">
        <v>141.4</v>
      </c>
      <c r="E49" s="15">
        <v>0.35</v>
      </c>
    </row>
    <row r="50" spans="1:5">
      <c r="A50" s="19" t="s">
        <v>11</v>
      </c>
      <c r="B50" s="20" t="s">
        <v>31</v>
      </c>
      <c r="C50" s="20">
        <v>95.83</v>
      </c>
      <c r="D50" s="20">
        <v>201.49</v>
      </c>
      <c r="E50" s="20">
        <v>47.56</v>
      </c>
    </row>
    <row r="51" ht="43.2" spans="1:6">
      <c r="A51" s="21"/>
      <c r="B51" s="20" t="s">
        <v>43</v>
      </c>
      <c r="C51" s="20">
        <v>90</v>
      </c>
      <c r="D51" s="20">
        <v>201.49</v>
      </c>
      <c r="E51" s="20">
        <v>44.67</v>
      </c>
      <c r="F51" s="23" t="s">
        <v>52</v>
      </c>
    </row>
    <row r="52" spans="1:5">
      <c r="A52" s="21"/>
      <c r="B52" s="15" t="s">
        <v>35</v>
      </c>
      <c r="C52" s="15">
        <v>6</v>
      </c>
      <c r="D52" s="15">
        <v>201.49</v>
      </c>
      <c r="E52" s="15">
        <v>2.98</v>
      </c>
    </row>
    <row r="53" spans="1:5">
      <c r="A53" s="21"/>
      <c r="B53" s="15" t="s">
        <v>28</v>
      </c>
      <c r="C53" s="15">
        <v>3.5</v>
      </c>
      <c r="D53" s="15">
        <v>201.49</v>
      </c>
      <c r="E53" s="15">
        <v>1.74</v>
      </c>
    </row>
    <row r="54" spans="1:5">
      <c r="A54" s="21"/>
      <c r="B54" s="15" t="s">
        <v>38</v>
      </c>
      <c r="C54" s="15">
        <v>2.83</v>
      </c>
      <c r="D54" s="15">
        <v>201.49</v>
      </c>
      <c r="E54" s="15">
        <v>1.4</v>
      </c>
    </row>
    <row r="55" spans="1:5">
      <c r="A55" s="21"/>
      <c r="B55" s="15" t="s">
        <v>30</v>
      </c>
      <c r="C55" s="15">
        <v>2.83</v>
      </c>
      <c r="D55" s="15">
        <v>201.49</v>
      </c>
      <c r="E55" s="15">
        <v>1.4</v>
      </c>
    </row>
    <row r="56" spans="1:5">
      <c r="A56" s="21"/>
      <c r="B56" s="15" t="s">
        <v>42</v>
      </c>
      <c r="C56" s="15">
        <v>0.5</v>
      </c>
      <c r="D56" s="15">
        <v>201.49</v>
      </c>
      <c r="E56" s="15">
        <v>0.25</v>
      </c>
    </row>
    <row r="57" spans="1:5">
      <c r="A57" s="22"/>
      <c r="B57" s="15" t="s">
        <v>34</v>
      </c>
      <c r="C57" s="15">
        <v>0</v>
      </c>
      <c r="D57" s="15">
        <v>201.49</v>
      </c>
      <c r="E57" s="15">
        <v>0</v>
      </c>
    </row>
  </sheetData>
  <mergeCells count="6">
    <mergeCell ref="A2:A11"/>
    <mergeCell ref="A12:A21"/>
    <mergeCell ref="A22:A29"/>
    <mergeCell ref="A30:A39"/>
    <mergeCell ref="A40:A49"/>
    <mergeCell ref="A50:A5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133"/>
  <sheetViews>
    <sheetView tabSelected="1" workbookViewId="0">
      <selection activeCell="F13" sqref="F13"/>
    </sheetView>
  </sheetViews>
  <sheetFormatPr defaultColWidth="8.88888888888889" defaultRowHeight="14.4" outlineLevelCol="6"/>
  <cols>
    <col min="1" max="1" width="7.66666666666667" customWidth="1"/>
    <col min="2" max="2" width="14.1111111111111" customWidth="1"/>
    <col min="3" max="3" width="14.8888888888889" customWidth="1"/>
    <col min="4" max="5" width="12.5555555555556" customWidth="1"/>
  </cols>
  <sheetData>
    <row r="1" spans="1:7">
      <c r="A1" s="4" t="s">
        <v>13</v>
      </c>
      <c r="B1" s="4" t="s">
        <v>1</v>
      </c>
      <c r="C1" s="4" t="s">
        <v>14</v>
      </c>
      <c r="D1" s="4" t="s">
        <v>15</v>
      </c>
      <c r="E1" s="4" t="s">
        <v>62</v>
      </c>
      <c r="F1" s="5" t="s">
        <v>16</v>
      </c>
      <c r="G1" s="6" t="s">
        <v>17</v>
      </c>
    </row>
    <row r="2" spans="1:7">
      <c r="A2" s="7" t="s">
        <v>63</v>
      </c>
      <c r="B2" s="7" t="s">
        <v>10</v>
      </c>
      <c r="C2" s="7">
        <v>9184.08</v>
      </c>
      <c r="D2" s="7">
        <v>18.01</v>
      </c>
      <c r="E2" s="7">
        <f>VLOOKUP(A2,[1]Sheet1!$A:$B,2,FALSE)</f>
        <v>13</v>
      </c>
      <c r="F2" s="8">
        <v>10</v>
      </c>
      <c r="G2" s="9">
        <v>0.444752915047196</v>
      </c>
    </row>
    <row r="3" spans="1:7">
      <c r="A3" s="7" t="s">
        <v>64</v>
      </c>
      <c r="B3" s="7" t="s">
        <v>9</v>
      </c>
      <c r="C3" s="7">
        <v>8351.78</v>
      </c>
      <c r="D3" s="7">
        <v>16.38</v>
      </c>
      <c r="E3" s="7">
        <f>VLOOKUP(A3,[1]Sheet1!$A:$B,2,FALSE)</f>
        <v>12</v>
      </c>
      <c r="F3" s="10">
        <v>12.0000117647059</v>
      </c>
      <c r="G3" s="9">
        <v>0.267398549163254</v>
      </c>
    </row>
    <row r="4" spans="1:7">
      <c r="A4" s="7" t="s">
        <v>65</v>
      </c>
      <c r="B4" s="7" t="s">
        <v>6</v>
      </c>
      <c r="C4" s="7">
        <v>7662.5</v>
      </c>
      <c r="D4" s="7">
        <v>15.02</v>
      </c>
      <c r="E4" s="7">
        <f>VLOOKUP(A4,[1]Sheet1!$A:$B,2,FALSE)</f>
        <v>10</v>
      </c>
      <c r="F4" s="8">
        <v>9</v>
      </c>
      <c r="G4" s="9">
        <v>0.400798934753662</v>
      </c>
    </row>
    <row r="5" spans="1:7">
      <c r="A5" s="7" t="s">
        <v>66</v>
      </c>
      <c r="B5" s="7" t="s">
        <v>6</v>
      </c>
      <c r="C5" s="7">
        <v>7655.7</v>
      </c>
      <c r="D5" s="7">
        <v>15.01</v>
      </c>
      <c r="E5" s="7">
        <f>VLOOKUP(A5,[1]Sheet1!$A:$B,2,FALSE)</f>
        <v>10</v>
      </c>
      <c r="F5" s="8">
        <v>9.70591764705882</v>
      </c>
      <c r="G5" s="9">
        <v>0.353369910255908</v>
      </c>
    </row>
    <row r="6" spans="1:7">
      <c r="A6" s="7" t="s">
        <v>18</v>
      </c>
      <c r="B6" s="7" t="s">
        <v>9</v>
      </c>
      <c r="C6" s="7">
        <v>7561.52</v>
      </c>
      <c r="D6" s="7">
        <v>14.83</v>
      </c>
      <c r="E6" s="7">
        <f>VLOOKUP(A6,[1]Sheet1!$A:$B,2,FALSE)</f>
        <v>10</v>
      </c>
      <c r="F6" s="10"/>
      <c r="G6" s="9">
        <v>1</v>
      </c>
    </row>
    <row r="7" spans="1:7">
      <c r="A7" s="7" t="s">
        <v>67</v>
      </c>
      <c r="B7" s="7" t="s">
        <v>7</v>
      </c>
      <c r="C7" s="7">
        <v>7529.32</v>
      </c>
      <c r="D7" s="7">
        <v>14.76</v>
      </c>
      <c r="E7" s="7">
        <f>VLOOKUP(A7,[1]Sheet1!$A:$B,2,FALSE)</f>
        <v>10</v>
      </c>
      <c r="F7" s="10">
        <v>4</v>
      </c>
      <c r="G7" s="9">
        <v>0.7289972899729</v>
      </c>
    </row>
    <row r="8" spans="1:7">
      <c r="A8" s="7" t="s">
        <v>68</v>
      </c>
      <c r="B8" s="7" t="s">
        <v>6</v>
      </c>
      <c r="C8" s="7">
        <v>7436.13</v>
      </c>
      <c r="D8" s="7">
        <v>14.58</v>
      </c>
      <c r="E8" s="7">
        <f>VLOOKUP(A8,[1]Sheet1!$A:$B,2,FALSE)</f>
        <v>11</v>
      </c>
      <c r="F8" s="8">
        <v>8.00003529411765</v>
      </c>
      <c r="G8" s="9">
        <v>0.451300734285484</v>
      </c>
    </row>
    <row r="9" spans="1:7">
      <c r="A9" s="7" t="s">
        <v>69</v>
      </c>
      <c r="B9" s="7" t="s">
        <v>11</v>
      </c>
      <c r="C9" s="7">
        <v>7414.28</v>
      </c>
      <c r="D9" s="7">
        <v>14.54</v>
      </c>
      <c r="E9" s="7">
        <f>VLOOKUP(A9,[1]Sheet1!$A:$B,2,FALSE)</f>
        <v>10</v>
      </c>
      <c r="F9" s="10">
        <v>9</v>
      </c>
      <c r="G9" s="9">
        <v>0.38101788170564</v>
      </c>
    </row>
    <row r="10" spans="1:7">
      <c r="A10" s="7" t="s">
        <v>70</v>
      </c>
      <c r="B10" s="7" t="s">
        <v>7</v>
      </c>
      <c r="C10" s="7">
        <v>7254.87</v>
      </c>
      <c r="D10" s="7">
        <v>14.23</v>
      </c>
      <c r="E10" s="7">
        <f>VLOOKUP(A10,[1]Sheet1!$A:$B,2,FALSE)</f>
        <v>10</v>
      </c>
      <c r="F10" s="8">
        <v>11</v>
      </c>
      <c r="G10" s="9">
        <v>0.226985242445538</v>
      </c>
    </row>
    <row r="11" spans="1:7">
      <c r="A11" s="7" t="s">
        <v>71</v>
      </c>
      <c r="B11" s="7" t="s">
        <v>10</v>
      </c>
      <c r="C11" s="7">
        <v>7237.52</v>
      </c>
      <c r="D11" s="7">
        <v>14.19</v>
      </c>
      <c r="E11" s="7">
        <f>VLOOKUP(A11,[1]Sheet1!$A:$B,2,FALSE)</f>
        <v>11</v>
      </c>
      <c r="F11" s="10">
        <v>9</v>
      </c>
      <c r="G11" s="9">
        <v>0.365750528541226</v>
      </c>
    </row>
    <row r="12" spans="1:7">
      <c r="A12" s="7" t="s">
        <v>72</v>
      </c>
      <c r="B12" s="7" t="s">
        <v>10</v>
      </c>
      <c r="C12" s="7">
        <v>7199.8</v>
      </c>
      <c r="D12" s="7">
        <v>14.12</v>
      </c>
      <c r="E12" s="7">
        <f>VLOOKUP(A12,[1]Sheet1!$A:$B,2,FALSE)</f>
        <v>10</v>
      </c>
      <c r="F12" s="10">
        <v>5.99998823529412</v>
      </c>
      <c r="G12" s="9">
        <v>0.575071654724212</v>
      </c>
    </row>
    <row r="13" spans="1:7">
      <c r="A13" s="7" t="s">
        <v>73</v>
      </c>
      <c r="B13" s="7" t="s">
        <v>7</v>
      </c>
      <c r="C13" s="7">
        <v>7195.4</v>
      </c>
      <c r="D13" s="7">
        <v>14.11</v>
      </c>
      <c r="E13" s="7">
        <f>VLOOKUP(A13,[1]Sheet1!$A:$B,2,FALSE)</f>
        <v>10</v>
      </c>
      <c r="F13" s="8">
        <v>10.0980352941176</v>
      </c>
      <c r="G13" s="9">
        <v>0.284334848042693</v>
      </c>
    </row>
    <row r="14" spans="1:7">
      <c r="A14" s="7" t="s">
        <v>74</v>
      </c>
      <c r="B14" s="7" t="s">
        <v>10</v>
      </c>
      <c r="C14" s="7">
        <v>7189.72</v>
      </c>
      <c r="D14" s="7">
        <v>14.1</v>
      </c>
      <c r="E14" s="7">
        <f>VLOOKUP(A14,[1]Sheet1!$A:$B,2,FALSE)</f>
        <v>10</v>
      </c>
      <c r="F14" s="8">
        <v>10</v>
      </c>
      <c r="G14" s="9">
        <v>0.290780141843972</v>
      </c>
    </row>
    <row r="15" spans="1:7">
      <c r="A15" s="7" t="s">
        <v>75</v>
      </c>
      <c r="B15" s="7" t="s">
        <v>6</v>
      </c>
      <c r="C15" s="7">
        <v>7152.15</v>
      </c>
      <c r="D15" s="7">
        <v>14.02</v>
      </c>
      <c r="E15" s="7">
        <f>VLOOKUP(A15,[1]Sheet1!$A:$B,2,FALSE)</f>
        <v>10</v>
      </c>
      <c r="F15" s="10">
        <v>8</v>
      </c>
      <c r="G15" s="9">
        <v>0.429386590584879</v>
      </c>
    </row>
    <row r="16" spans="1:7">
      <c r="A16" s="7" t="s">
        <v>76</v>
      </c>
      <c r="B16" s="7" t="s">
        <v>6</v>
      </c>
      <c r="C16" s="7">
        <v>7082.28</v>
      </c>
      <c r="D16" s="7">
        <v>13.89</v>
      </c>
      <c r="E16" s="7">
        <f>VLOOKUP(A16,[1]Sheet1!$A:$B,2,FALSE)</f>
        <v>10</v>
      </c>
      <c r="F16" s="8">
        <v>8.77451764705882</v>
      </c>
      <c r="G16" s="9">
        <v>0.368285266590438</v>
      </c>
    </row>
    <row r="17" spans="1:7">
      <c r="A17" s="7" t="s">
        <v>77</v>
      </c>
      <c r="B17" s="7" t="s">
        <v>6</v>
      </c>
      <c r="C17" s="7">
        <v>7067.18</v>
      </c>
      <c r="D17" s="7">
        <v>13.86</v>
      </c>
      <c r="E17" s="7">
        <f>VLOOKUP(A17,[1]Sheet1!$A:$B,2,FALSE)</f>
        <v>9</v>
      </c>
      <c r="F17" s="8">
        <v>10.8235294117647</v>
      </c>
      <c r="G17" s="9">
        <v>0.219081572022749</v>
      </c>
    </row>
    <row r="18" spans="1:7">
      <c r="A18" s="7" t="s">
        <v>78</v>
      </c>
      <c r="B18" s="7" t="s">
        <v>6</v>
      </c>
      <c r="C18" s="7">
        <v>7064.65</v>
      </c>
      <c r="D18" s="7">
        <v>13.85</v>
      </c>
      <c r="E18" s="7">
        <f>VLOOKUP(A18,[1]Sheet1!$A:$B,2,FALSE)</f>
        <v>11</v>
      </c>
      <c r="F18" s="10">
        <v>6</v>
      </c>
      <c r="G18" s="9">
        <v>0.566787003610108</v>
      </c>
    </row>
    <row r="19" spans="1:7">
      <c r="A19" s="7" t="s">
        <v>79</v>
      </c>
      <c r="B19" s="7" t="s">
        <v>6</v>
      </c>
      <c r="C19" s="7">
        <v>7001.17</v>
      </c>
      <c r="D19" s="7">
        <v>13.73</v>
      </c>
      <c r="E19" s="7">
        <f>VLOOKUP(A19,[1]Sheet1!$A:$B,2,FALSE)</f>
        <v>10</v>
      </c>
      <c r="F19" s="8">
        <v>8.99998823529412</v>
      </c>
      <c r="G19" s="9">
        <v>0.344501949359496</v>
      </c>
    </row>
    <row r="20" spans="1:7">
      <c r="A20" s="7" t="s">
        <v>80</v>
      </c>
      <c r="B20" s="7" t="s">
        <v>6</v>
      </c>
      <c r="C20" s="7">
        <v>6981.28</v>
      </c>
      <c r="D20" s="7">
        <v>13.69</v>
      </c>
      <c r="E20" s="7">
        <f>VLOOKUP(A20,[1]Sheet1!$A:$B,2,FALSE)</f>
        <v>10</v>
      </c>
      <c r="F20" s="10">
        <v>5</v>
      </c>
      <c r="G20" s="9">
        <v>0.634769905040175</v>
      </c>
    </row>
    <row r="21" spans="1:7">
      <c r="A21" s="7" t="s">
        <v>81</v>
      </c>
      <c r="B21" s="7" t="s">
        <v>10</v>
      </c>
      <c r="C21" s="7">
        <v>6964.1</v>
      </c>
      <c r="D21" s="7">
        <v>13.66</v>
      </c>
      <c r="E21" s="7">
        <f>VLOOKUP(A21,[1]Sheet1!$A:$B,2,FALSE)</f>
        <v>10</v>
      </c>
      <c r="F21" s="10">
        <v>5.99998823529412</v>
      </c>
      <c r="G21" s="9">
        <v>0.560762208250796</v>
      </c>
    </row>
    <row r="22" spans="1:7">
      <c r="A22" s="7" t="s">
        <v>82</v>
      </c>
      <c r="B22" s="7" t="s">
        <v>6</v>
      </c>
      <c r="C22" s="7">
        <v>6949.23</v>
      </c>
      <c r="D22" s="7">
        <v>13.63</v>
      </c>
      <c r="E22" s="7">
        <f>VLOOKUP(A22,[1]Sheet1!$A:$B,2,FALSE)</f>
        <v>10</v>
      </c>
      <c r="F22" s="8">
        <v>9.99995294117647</v>
      </c>
      <c r="G22" s="9">
        <v>0.266327737257779</v>
      </c>
    </row>
    <row r="23" spans="1:7">
      <c r="A23" s="7" t="s">
        <v>83</v>
      </c>
      <c r="B23" s="7" t="s">
        <v>7</v>
      </c>
      <c r="C23" s="7">
        <v>6916.78</v>
      </c>
      <c r="D23" s="7">
        <v>13.56</v>
      </c>
      <c r="E23" s="7">
        <f>VLOOKUP(A23,[1]Sheet1!$A:$B,2,FALSE)</f>
        <v>11</v>
      </c>
      <c r="F23" s="10">
        <v>7.86274117647059</v>
      </c>
      <c r="G23" s="9">
        <v>0.420151830643762</v>
      </c>
    </row>
    <row r="24" spans="1:7">
      <c r="A24" s="7" t="s">
        <v>84</v>
      </c>
      <c r="B24" s="7" t="s">
        <v>9</v>
      </c>
      <c r="C24" s="7">
        <v>6828.1</v>
      </c>
      <c r="D24" s="7">
        <v>13.39</v>
      </c>
      <c r="E24" s="7">
        <f>VLOOKUP(A24,[1]Sheet1!$A:$B,2,FALSE)</f>
        <v>9</v>
      </c>
      <c r="F24" s="10">
        <v>9</v>
      </c>
      <c r="G24" s="9">
        <v>0.327856609410007</v>
      </c>
    </row>
    <row r="25" spans="1:7">
      <c r="A25" s="7" t="s">
        <v>85</v>
      </c>
      <c r="B25" s="7" t="s">
        <v>10</v>
      </c>
      <c r="C25" s="7">
        <v>6797.47</v>
      </c>
      <c r="D25" s="7">
        <v>13.33</v>
      </c>
      <c r="E25" s="7">
        <f>VLOOKUP(A25,[1]Sheet1!$A:$B,2,FALSE)</f>
        <v>10</v>
      </c>
      <c r="F25" s="8">
        <v>10</v>
      </c>
      <c r="G25" s="9">
        <v>0.249812453113278</v>
      </c>
    </row>
    <row r="26" spans="1:7">
      <c r="A26" s="7" t="s">
        <v>86</v>
      </c>
      <c r="B26" s="7" t="s">
        <v>7</v>
      </c>
      <c r="C26" s="7">
        <v>6750.78</v>
      </c>
      <c r="D26" s="7">
        <v>13.24</v>
      </c>
      <c r="E26" s="7">
        <f>VLOOKUP(A26,[1]Sheet1!$A:$B,2,FALSE)</f>
        <v>10</v>
      </c>
      <c r="F26" s="8">
        <v>10.0000117647059</v>
      </c>
      <c r="G26" s="9">
        <v>0.244712102363603</v>
      </c>
    </row>
    <row r="27" spans="1:7">
      <c r="A27" s="7" t="s">
        <v>87</v>
      </c>
      <c r="B27" s="7" t="s">
        <v>6</v>
      </c>
      <c r="C27" s="7">
        <v>6624.58</v>
      </c>
      <c r="D27" s="7">
        <v>12.99</v>
      </c>
      <c r="E27" s="7">
        <f>VLOOKUP(A27,[1]Sheet1!$A:$B,2,FALSE)</f>
        <v>10</v>
      </c>
      <c r="F27" s="8">
        <v>9.99995294117647</v>
      </c>
      <c r="G27" s="9">
        <v>0.230180681972558</v>
      </c>
    </row>
    <row r="28" spans="1:7">
      <c r="A28" s="7" t="s">
        <v>88</v>
      </c>
      <c r="B28" s="7" t="s">
        <v>7</v>
      </c>
      <c r="C28" s="7">
        <v>6585.52</v>
      </c>
      <c r="D28" s="7">
        <v>12.91</v>
      </c>
      <c r="E28" s="7">
        <f>VLOOKUP(A28,[1]Sheet1!$A:$B,2,FALSE)</f>
        <v>10</v>
      </c>
      <c r="F28" s="8">
        <v>10</v>
      </c>
      <c r="G28" s="9">
        <v>0.225406661502711</v>
      </c>
    </row>
    <row r="29" spans="1:7">
      <c r="A29" s="7" t="s">
        <v>89</v>
      </c>
      <c r="B29" s="7" t="s">
        <v>7</v>
      </c>
      <c r="C29" s="7">
        <v>6550.33</v>
      </c>
      <c r="D29" s="7">
        <v>12.84</v>
      </c>
      <c r="E29" s="7">
        <f>VLOOKUP(A29,[1]Sheet1!$A:$B,2,FALSE)</f>
        <v>11</v>
      </c>
      <c r="F29" s="8">
        <v>9.88235294117647</v>
      </c>
      <c r="G29" s="9">
        <v>0.230346344145135</v>
      </c>
    </row>
    <row r="30" spans="1:7">
      <c r="A30" s="7" t="s">
        <v>90</v>
      </c>
      <c r="B30" s="7" t="s">
        <v>6</v>
      </c>
      <c r="C30" s="7">
        <v>6525.27</v>
      </c>
      <c r="D30" s="7">
        <v>12.79</v>
      </c>
      <c r="E30" s="7">
        <f>VLOOKUP(A30,[1]Sheet1!$A:$B,2,FALSE)</f>
        <v>9</v>
      </c>
      <c r="F30" s="10">
        <v>6.99991764705882</v>
      </c>
      <c r="G30" s="9">
        <v>0.452703858713149</v>
      </c>
    </row>
    <row r="31" spans="1:7">
      <c r="A31" s="7" t="s">
        <v>91</v>
      </c>
      <c r="B31" s="7" t="s">
        <v>6</v>
      </c>
      <c r="C31" s="7">
        <v>6517.45</v>
      </c>
      <c r="D31" s="7">
        <v>12.78</v>
      </c>
      <c r="E31" s="7">
        <f>VLOOKUP(A31,[1]Sheet1!$A:$B,2,FALSE)</f>
        <v>10</v>
      </c>
      <c r="F31" s="8">
        <v>10.0588</v>
      </c>
      <c r="G31" s="9">
        <v>0.212926447574335</v>
      </c>
    </row>
    <row r="32" spans="1:7">
      <c r="A32" s="7" t="s">
        <v>92</v>
      </c>
      <c r="B32" s="7" t="s">
        <v>8</v>
      </c>
      <c r="C32" s="7">
        <v>6511.07</v>
      </c>
      <c r="D32" s="7">
        <v>12.77</v>
      </c>
      <c r="E32" s="7">
        <f>VLOOKUP(A32,[1]Sheet1!$A:$B,2,FALSE)</f>
        <v>10</v>
      </c>
      <c r="F32" s="8">
        <v>9.99998823529412</v>
      </c>
      <c r="G32" s="9">
        <v>0.216915564973052</v>
      </c>
    </row>
    <row r="33" spans="1:7">
      <c r="A33" s="7" t="s">
        <v>93</v>
      </c>
      <c r="B33" s="7" t="s">
        <v>6</v>
      </c>
      <c r="C33" s="7">
        <v>6463.47</v>
      </c>
      <c r="D33" s="7">
        <v>12.67</v>
      </c>
      <c r="E33" s="7">
        <f>VLOOKUP(A33,[1]Sheet1!$A:$B,2,FALSE)</f>
        <v>10</v>
      </c>
      <c r="F33" s="8">
        <v>9.00001176470588</v>
      </c>
      <c r="G33" s="9">
        <v>0.289659687079252</v>
      </c>
    </row>
    <row r="34" spans="1:7">
      <c r="A34" s="7" t="s">
        <v>94</v>
      </c>
      <c r="B34" s="7" t="s">
        <v>10</v>
      </c>
      <c r="C34" s="7">
        <v>6432.12</v>
      </c>
      <c r="D34" s="7">
        <v>12.61</v>
      </c>
      <c r="E34" s="7">
        <f>VLOOKUP(A34,[1]Sheet1!$A:$B,2,FALSE)</f>
        <v>10</v>
      </c>
      <c r="F34" s="10">
        <v>4.70587058823529</v>
      </c>
      <c r="G34" s="9">
        <v>0.626814386341373</v>
      </c>
    </row>
    <row r="35" spans="1:7">
      <c r="A35" s="7" t="s">
        <v>95</v>
      </c>
      <c r="B35" s="7" t="s">
        <v>6</v>
      </c>
      <c r="C35" s="7">
        <v>6366.2</v>
      </c>
      <c r="D35" s="7">
        <v>12.48</v>
      </c>
      <c r="E35" s="7">
        <f>VLOOKUP(A35,[1]Sheet1!$A:$B,2,FALSE)</f>
        <v>10</v>
      </c>
      <c r="F35" s="8">
        <v>10</v>
      </c>
      <c r="G35" s="9">
        <v>0.198717948717949</v>
      </c>
    </row>
    <row r="36" spans="1:7">
      <c r="A36" s="7" t="s">
        <v>96</v>
      </c>
      <c r="B36" s="7" t="s">
        <v>6</v>
      </c>
      <c r="C36" s="7">
        <v>6352.75</v>
      </c>
      <c r="D36" s="7">
        <v>12.46</v>
      </c>
      <c r="E36" s="7">
        <f>VLOOKUP(A36,[1]Sheet1!$A:$B,2,FALSE)</f>
        <v>10</v>
      </c>
      <c r="F36" s="8">
        <v>9.99998823529412</v>
      </c>
      <c r="G36" s="9">
        <v>0.197432725899348</v>
      </c>
    </row>
    <row r="37" spans="1:7">
      <c r="A37" s="7" t="s">
        <v>97</v>
      </c>
      <c r="B37" s="7" t="s">
        <v>9</v>
      </c>
      <c r="C37" s="7">
        <v>6320.12</v>
      </c>
      <c r="D37" s="7">
        <v>12.39</v>
      </c>
      <c r="E37" s="7">
        <f>VLOOKUP(A37,[1]Sheet1!$A:$B,2,FALSE)</f>
        <v>9</v>
      </c>
      <c r="F37" s="10">
        <v>9</v>
      </c>
      <c r="G37" s="9">
        <v>0.273607748184019</v>
      </c>
    </row>
    <row r="38" spans="1:7">
      <c r="A38" s="7" t="s">
        <v>98</v>
      </c>
      <c r="B38" s="7" t="s">
        <v>6</v>
      </c>
      <c r="C38" s="7">
        <v>6301.7</v>
      </c>
      <c r="D38" s="7">
        <v>12.36</v>
      </c>
      <c r="E38" s="7">
        <f>VLOOKUP(A38,[1]Sheet1!$A:$B,2,FALSE)</f>
        <v>10</v>
      </c>
      <c r="F38" s="8">
        <v>9.00001176470588</v>
      </c>
      <c r="G38" s="9">
        <v>0.271843708357129</v>
      </c>
    </row>
    <row r="39" spans="1:7">
      <c r="A39" s="7" t="s">
        <v>99</v>
      </c>
      <c r="B39" s="7" t="s">
        <v>6</v>
      </c>
      <c r="C39" s="7">
        <v>6295.72</v>
      </c>
      <c r="D39" s="7">
        <v>12.34</v>
      </c>
      <c r="E39" s="7">
        <f>VLOOKUP(A39,[1]Sheet1!$A:$B,2,FALSE)</f>
        <v>10</v>
      </c>
      <c r="F39" s="8">
        <v>10.7941294117647</v>
      </c>
      <c r="G39" s="9">
        <v>0.125273143292974</v>
      </c>
    </row>
    <row r="40" spans="1:7">
      <c r="A40" s="7" t="s">
        <v>100</v>
      </c>
      <c r="B40" s="7" t="s">
        <v>7</v>
      </c>
      <c r="C40" s="7">
        <v>6273.47</v>
      </c>
      <c r="D40" s="7">
        <v>12.3</v>
      </c>
      <c r="E40" s="7">
        <f>VLOOKUP(A40,[1]Sheet1!$A:$B,2,FALSE)</f>
        <v>10</v>
      </c>
      <c r="F40" s="8">
        <v>10.9999882352941</v>
      </c>
      <c r="G40" s="9">
        <v>0.105692013390724</v>
      </c>
    </row>
    <row r="41" spans="1:7">
      <c r="A41" s="7" t="s">
        <v>101</v>
      </c>
      <c r="B41" s="7" t="s">
        <v>6</v>
      </c>
      <c r="C41" s="7">
        <v>6255.47</v>
      </c>
      <c r="D41" s="7">
        <v>12.27</v>
      </c>
      <c r="E41" s="7">
        <f>VLOOKUP(A41,[1]Sheet1!$A:$B,2,FALSE)</f>
        <v>10</v>
      </c>
      <c r="F41" s="10">
        <v>4.29411764705882</v>
      </c>
      <c r="G41" s="9">
        <v>0.650031161608898</v>
      </c>
    </row>
    <row r="42" spans="1:7">
      <c r="A42" s="7" t="s">
        <v>102</v>
      </c>
      <c r="B42" s="7" t="s">
        <v>7</v>
      </c>
      <c r="C42" s="7">
        <v>6240.6</v>
      </c>
      <c r="D42" s="7">
        <v>12.24</v>
      </c>
      <c r="E42" s="7">
        <f>VLOOKUP(A42,[1]Sheet1!$A:$B,2,FALSE)</f>
        <v>8</v>
      </c>
      <c r="F42" s="8">
        <v>8.00001176470588</v>
      </c>
      <c r="G42" s="9">
        <v>0.346404267589389</v>
      </c>
    </row>
    <row r="43" spans="1:7">
      <c r="A43" s="11" t="s">
        <v>103</v>
      </c>
      <c r="B43" s="7" t="s">
        <v>6</v>
      </c>
      <c r="C43" s="7">
        <v>6207.47</v>
      </c>
      <c r="D43" s="7">
        <v>12.17</v>
      </c>
      <c r="E43" s="7">
        <f>VLOOKUP(A43,[1]Sheet1!$A:$B,2,FALSE)</f>
        <v>10</v>
      </c>
      <c r="F43" s="8">
        <v>11.3274941176471</v>
      </c>
      <c r="G43" s="9">
        <v>0.0692280922229169</v>
      </c>
    </row>
    <row r="44" spans="1:7">
      <c r="A44" s="7" t="s">
        <v>104</v>
      </c>
      <c r="B44" s="7" t="s">
        <v>7</v>
      </c>
      <c r="C44" s="7">
        <v>6187.13</v>
      </c>
      <c r="D44" s="7">
        <v>12.13</v>
      </c>
      <c r="E44" s="7">
        <f>VLOOKUP(A44,[1]Sheet1!$A:$B,2,FALSE)</f>
        <v>10</v>
      </c>
      <c r="F44" s="8">
        <v>9.88235294117647</v>
      </c>
      <c r="G44" s="9">
        <v>0.185296542359731</v>
      </c>
    </row>
    <row r="45" spans="1:7">
      <c r="A45" s="7" t="s">
        <v>105</v>
      </c>
      <c r="B45" s="7" t="s">
        <v>10</v>
      </c>
      <c r="C45" s="7">
        <v>6179.53</v>
      </c>
      <c r="D45" s="7">
        <v>12.12</v>
      </c>
      <c r="E45" s="7">
        <f>VLOOKUP(A45,[1]Sheet1!$A:$B,2,FALSE)</f>
        <v>10</v>
      </c>
      <c r="F45" s="8">
        <v>10</v>
      </c>
      <c r="G45" s="9">
        <v>0.174917491749175</v>
      </c>
    </row>
    <row r="46" spans="1:7">
      <c r="A46" s="7" t="s">
        <v>106</v>
      </c>
      <c r="B46" s="7" t="s">
        <v>6</v>
      </c>
      <c r="C46" s="7">
        <v>6149.95</v>
      </c>
      <c r="D46" s="7">
        <v>12.06</v>
      </c>
      <c r="E46" s="7">
        <f>VLOOKUP(A46,[1]Sheet1!$A:$B,2,FALSE)</f>
        <v>10</v>
      </c>
      <c r="F46" s="8">
        <v>10.0980117647059</v>
      </c>
      <c r="G46" s="9">
        <v>0.162685591649594</v>
      </c>
    </row>
    <row r="47" spans="1:7">
      <c r="A47" s="7" t="s">
        <v>107</v>
      </c>
      <c r="B47" s="7" t="s">
        <v>7</v>
      </c>
      <c r="C47" s="7">
        <v>6133.1</v>
      </c>
      <c r="D47" s="7">
        <v>12.03</v>
      </c>
      <c r="E47" s="7">
        <f>VLOOKUP(A47,[1]Sheet1!$A:$B,2,FALSE)</f>
        <v>11</v>
      </c>
      <c r="F47" s="10">
        <v>2.58823529411765</v>
      </c>
      <c r="G47" s="9">
        <v>0.784851596498948</v>
      </c>
    </row>
    <row r="48" spans="1:7">
      <c r="A48" s="7" t="s">
        <v>108</v>
      </c>
      <c r="B48" s="7" t="s">
        <v>9</v>
      </c>
      <c r="C48" s="7">
        <v>6128.8</v>
      </c>
      <c r="D48" s="7">
        <v>12.02</v>
      </c>
      <c r="E48" s="7">
        <f>VLOOKUP(A48,[1]Sheet1!$A:$B,2,FALSE)</f>
        <v>10</v>
      </c>
      <c r="F48" s="10">
        <v>1</v>
      </c>
      <c r="G48" s="9">
        <v>0.916805324459235</v>
      </c>
    </row>
    <row r="49" spans="1:7">
      <c r="A49" s="7" t="s">
        <v>109</v>
      </c>
      <c r="B49" s="7" t="s">
        <v>6</v>
      </c>
      <c r="C49" s="7">
        <v>6116.28</v>
      </c>
      <c r="D49" s="7">
        <v>11.99</v>
      </c>
      <c r="E49" s="7">
        <f>VLOOKUP(A49,[1]Sheet1!$A:$B,2,FALSE)</f>
        <v>10</v>
      </c>
      <c r="F49" s="10">
        <v>8</v>
      </c>
      <c r="G49" s="9">
        <v>0.332777314428691</v>
      </c>
    </row>
    <row r="50" spans="1:7">
      <c r="A50" s="7" t="s">
        <v>110</v>
      </c>
      <c r="B50" s="7" t="s">
        <v>7</v>
      </c>
      <c r="C50" s="7">
        <v>6115.68</v>
      </c>
      <c r="D50" s="7">
        <v>11.99</v>
      </c>
      <c r="E50" s="7">
        <f>VLOOKUP(A50,[1]Sheet1!$A:$B,2,FALSE)</f>
        <v>10</v>
      </c>
      <c r="F50" s="8">
        <v>9.99995294117647</v>
      </c>
      <c r="G50" s="9">
        <v>0.16597556787519</v>
      </c>
    </row>
    <row r="51" spans="1:7">
      <c r="A51" s="7" t="s">
        <v>111</v>
      </c>
      <c r="B51" s="7" t="s">
        <v>6</v>
      </c>
      <c r="C51" s="7">
        <v>6112.18</v>
      </c>
      <c r="D51" s="7">
        <v>11.98</v>
      </c>
      <c r="E51" s="7">
        <f>VLOOKUP(A51,[1]Sheet1!$A:$B,2,FALSE)</f>
        <v>10</v>
      </c>
      <c r="F51" s="8">
        <v>10.6078352941176</v>
      </c>
      <c r="G51" s="9">
        <v>0.114537955415893</v>
      </c>
    </row>
    <row r="52" spans="1:7">
      <c r="A52" s="7" t="s">
        <v>112</v>
      </c>
      <c r="B52" s="7" t="s">
        <v>11</v>
      </c>
      <c r="C52" s="7">
        <v>6090.73</v>
      </c>
      <c r="D52" s="7">
        <v>11.94</v>
      </c>
      <c r="E52" s="7">
        <f>VLOOKUP(A52,[1]Sheet1!$A:$B,2,FALSE)</f>
        <v>10</v>
      </c>
      <c r="F52" s="8">
        <v>9.99996470588235</v>
      </c>
      <c r="G52" s="9">
        <v>0.162482017932801</v>
      </c>
    </row>
    <row r="53" spans="1:7">
      <c r="A53" s="7" t="s">
        <v>113</v>
      </c>
      <c r="B53" s="7" t="s">
        <v>7</v>
      </c>
      <c r="C53" s="7">
        <v>6090.25</v>
      </c>
      <c r="D53" s="7">
        <v>11.94</v>
      </c>
      <c r="E53" s="7">
        <f>VLOOKUP(A53,[1]Sheet1!$A:$B,2,FALSE)</f>
        <v>9</v>
      </c>
      <c r="F53" s="10">
        <v>8</v>
      </c>
      <c r="G53" s="9">
        <v>0.329983249581239</v>
      </c>
    </row>
    <row r="54" spans="1:7">
      <c r="A54" s="7" t="s">
        <v>114</v>
      </c>
      <c r="B54" s="7" t="s">
        <v>10</v>
      </c>
      <c r="C54" s="7">
        <v>6047.23</v>
      </c>
      <c r="D54" s="7">
        <v>11.86</v>
      </c>
      <c r="E54" s="7">
        <f>VLOOKUP(A54,[1]Sheet1!$A:$B,2,FALSE)</f>
        <v>10</v>
      </c>
      <c r="F54" s="10">
        <v>2</v>
      </c>
      <c r="G54" s="9">
        <v>0.831365935919056</v>
      </c>
    </row>
    <row r="55" spans="1:7">
      <c r="A55" s="7" t="s">
        <v>115</v>
      </c>
      <c r="B55" s="7" t="s">
        <v>6</v>
      </c>
      <c r="C55" s="7">
        <v>6047.05</v>
      </c>
      <c r="D55" s="7">
        <v>11.86</v>
      </c>
      <c r="E55" s="7">
        <f>VLOOKUP(A55,[1]Sheet1!$A:$B,2,FALSE)</f>
        <v>10</v>
      </c>
      <c r="F55" s="8">
        <v>9.35294117647059</v>
      </c>
      <c r="G55" s="9">
        <v>0.211387759150878</v>
      </c>
    </row>
    <row r="56" spans="1:7">
      <c r="A56" s="7" t="s">
        <v>116</v>
      </c>
      <c r="B56" s="7" t="s">
        <v>7</v>
      </c>
      <c r="C56" s="7">
        <v>6035.95</v>
      </c>
      <c r="D56" s="7">
        <v>11.84</v>
      </c>
      <c r="E56" s="7">
        <f>VLOOKUP(A56,[1]Sheet1!$A:$B,2,FALSE)</f>
        <v>9</v>
      </c>
      <c r="F56" s="10">
        <v>7</v>
      </c>
      <c r="G56" s="9">
        <v>0.408783783783784</v>
      </c>
    </row>
    <row r="57" spans="1:7">
      <c r="A57" s="7" t="s">
        <v>117</v>
      </c>
      <c r="B57" s="7" t="s">
        <v>11</v>
      </c>
      <c r="C57" s="7">
        <v>6031.02</v>
      </c>
      <c r="D57" s="7">
        <v>11.83</v>
      </c>
      <c r="E57" s="7">
        <f>VLOOKUP(A57,[1]Sheet1!$A:$B,2,FALSE)</f>
        <v>10</v>
      </c>
      <c r="F57" s="10">
        <v>6</v>
      </c>
      <c r="G57" s="9">
        <v>0.492814877430262</v>
      </c>
    </row>
    <row r="58" spans="1:7">
      <c r="A58" s="7" t="s">
        <v>118</v>
      </c>
      <c r="B58" s="7" t="s">
        <v>9</v>
      </c>
      <c r="C58" s="7">
        <v>6022.15</v>
      </c>
      <c r="D58" s="7">
        <v>11.81</v>
      </c>
      <c r="E58" s="7">
        <f>VLOOKUP(A58,[1]Sheet1!$A:$B,2,FALSE)</f>
        <v>10</v>
      </c>
      <c r="F58" s="10">
        <v>5.00002352941176</v>
      </c>
      <c r="G58" s="9">
        <v>0.576627982268268</v>
      </c>
    </row>
    <row r="59" spans="1:7">
      <c r="A59" s="7" t="s">
        <v>119</v>
      </c>
      <c r="B59" s="7" t="s">
        <v>7</v>
      </c>
      <c r="C59" s="7">
        <v>6001.65</v>
      </c>
      <c r="D59" s="7">
        <v>11.77</v>
      </c>
      <c r="E59" s="7">
        <f>VLOOKUP(A59,[1]Sheet1!$A:$B,2,FALSE)</f>
        <v>9</v>
      </c>
      <c r="F59" s="10">
        <v>5.11764705882353</v>
      </c>
      <c r="G59" s="9">
        <v>0.565195661952121</v>
      </c>
    </row>
    <row r="60" spans="1:7">
      <c r="A60" s="7" t="s">
        <v>120</v>
      </c>
      <c r="B60" s="7" t="s">
        <v>8</v>
      </c>
      <c r="C60" s="7">
        <v>5941.63</v>
      </c>
      <c r="D60" s="7">
        <v>11.65</v>
      </c>
      <c r="E60" s="7">
        <f>VLOOKUP(A60,[1]Sheet1!$A:$B,2,FALSE)</f>
        <v>10</v>
      </c>
      <c r="F60" s="8">
        <v>10.1176823529412</v>
      </c>
      <c r="G60" s="9">
        <v>0.131529411764704</v>
      </c>
    </row>
    <row r="61" spans="1:7">
      <c r="A61" s="7" t="s">
        <v>121</v>
      </c>
      <c r="B61" s="7" t="s">
        <v>6</v>
      </c>
      <c r="C61" s="7">
        <v>5926.62</v>
      </c>
      <c r="D61" s="7">
        <v>11.62</v>
      </c>
      <c r="E61" s="7">
        <f>VLOOKUP(A61,[1]Sheet1!$A:$B,2,FALSE)</f>
        <v>10</v>
      </c>
      <c r="F61" s="8">
        <v>10.0000235294118</v>
      </c>
      <c r="G61" s="9">
        <v>0.139412777159053</v>
      </c>
    </row>
    <row r="62" spans="1:7">
      <c r="A62" s="7" t="s">
        <v>122</v>
      </c>
      <c r="B62" s="7" t="s">
        <v>11</v>
      </c>
      <c r="C62" s="7">
        <v>5925.87</v>
      </c>
      <c r="D62" s="7">
        <v>11.62</v>
      </c>
      <c r="E62" s="7">
        <f>VLOOKUP(A62,[1]Sheet1!$A:$B,2,FALSE)</f>
        <v>10</v>
      </c>
      <c r="F62" s="8">
        <v>10</v>
      </c>
      <c r="G62" s="9">
        <v>0.139414802065404</v>
      </c>
    </row>
    <row r="63" spans="1:7">
      <c r="A63" s="11" t="s">
        <v>19</v>
      </c>
      <c r="B63" s="11" t="s">
        <v>7</v>
      </c>
      <c r="C63" s="11">
        <v>5913.35</v>
      </c>
      <c r="D63" s="11">
        <v>11.59</v>
      </c>
      <c r="E63" s="7">
        <f>VLOOKUP(A63,[1]Sheet1!$A:$B,2,FALSE)</f>
        <v>9</v>
      </c>
      <c r="F63" s="12"/>
      <c r="G63" s="9">
        <v>1</v>
      </c>
    </row>
    <row r="64" spans="1:7">
      <c r="A64" s="7" t="s">
        <v>123</v>
      </c>
      <c r="B64" s="7" t="s">
        <v>11</v>
      </c>
      <c r="C64" s="7">
        <v>5904.25</v>
      </c>
      <c r="D64" s="7">
        <v>11.58</v>
      </c>
      <c r="E64" s="7">
        <f>VLOOKUP(A64,[1]Sheet1!$A:$B,2,FALSE)</f>
        <v>9</v>
      </c>
      <c r="F64" s="10">
        <v>9</v>
      </c>
      <c r="G64" s="9">
        <v>0.22279792746114</v>
      </c>
    </row>
    <row r="65" spans="1:7">
      <c r="A65" s="11" t="s">
        <v>124</v>
      </c>
      <c r="B65" s="7" t="s">
        <v>8</v>
      </c>
      <c r="C65" s="7">
        <v>5897.45</v>
      </c>
      <c r="D65" s="7">
        <v>11.56</v>
      </c>
      <c r="E65" s="7">
        <f>VLOOKUP(A65,[1]Sheet1!$A:$B,2,FALSE)</f>
        <v>10</v>
      </c>
      <c r="F65" s="8">
        <v>10.7450352941176</v>
      </c>
      <c r="G65" s="9">
        <v>0.0704986769794465</v>
      </c>
    </row>
    <row r="66" spans="1:7">
      <c r="A66" s="7" t="s">
        <v>125</v>
      </c>
      <c r="B66" s="7" t="s">
        <v>7</v>
      </c>
      <c r="C66" s="7">
        <v>5889.5</v>
      </c>
      <c r="D66" s="7">
        <v>11.55</v>
      </c>
      <c r="E66" s="7">
        <f>VLOOKUP(A66,[1]Sheet1!$A:$B,2,FALSE)</f>
        <v>10</v>
      </c>
      <c r="F66" s="10">
        <v>6.00981176470588</v>
      </c>
      <c r="G66" s="9">
        <v>0.479669977081742</v>
      </c>
    </row>
    <row r="67" spans="1:7">
      <c r="A67" s="7" t="s">
        <v>126</v>
      </c>
      <c r="B67" s="7" t="s">
        <v>6</v>
      </c>
      <c r="C67" s="7">
        <v>5881.78</v>
      </c>
      <c r="D67" s="7">
        <v>11.53</v>
      </c>
      <c r="E67" s="7">
        <f>VLOOKUP(A67,[1]Sheet1!$A:$B,2,FALSE)</f>
        <v>10</v>
      </c>
      <c r="F67" s="8">
        <v>8.99989411764706</v>
      </c>
      <c r="G67" s="9">
        <v>0.219436763430437</v>
      </c>
    </row>
    <row r="68" spans="1:7">
      <c r="A68" s="7" t="s">
        <v>127</v>
      </c>
      <c r="B68" s="7" t="s">
        <v>11</v>
      </c>
      <c r="C68" s="7">
        <v>5875.45</v>
      </c>
      <c r="D68" s="7">
        <v>11.52</v>
      </c>
      <c r="E68" s="7">
        <f>VLOOKUP(A68,[1]Sheet1!$A:$B,2,FALSE)</f>
        <v>10</v>
      </c>
      <c r="F68" s="10">
        <v>2</v>
      </c>
      <c r="G68" s="9">
        <v>0.826388888888889</v>
      </c>
    </row>
    <row r="69" spans="1:7">
      <c r="A69" s="7" t="s">
        <v>128</v>
      </c>
      <c r="B69" s="7" t="s">
        <v>6</v>
      </c>
      <c r="C69" s="7">
        <v>5859.47</v>
      </c>
      <c r="D69" s="7">
        <v>11.49</v>
      </c>
      <c r="E69" s="7">
        <f>VLOOKUP(A69,[1]Sheet1!$A:$B,2,FALSE)</f>
        <v>10</v>
      </c>
      <c r="F69" s="8">
        <v>10.0000470588235</v>
      </c>
      <c r="G69" s="9">
        <v>0.129673885219887</v>
      </c>
    </row>
    <row r="70" spans="1:7">
      <c r="A70" s="7" t="s">
        <v>129</v>
      </c>
      <c r="B70" s="7" t="s">
        <v>11</v>
      </c>
      <c r="C70" s="7">
        <v>5836.78</v>
      </c>
      <c r="D70" s="7">
        <v>11.44</v>
      </c>
      <c r="E70" s="7">
        <f>VLOOKUP(A70,[1]Sheet1!$A:$B,2,FALSE)</f>
        <v>10</v>
      </c>
      <c r="F70" s="8">
        <v>10</v>
      </c>
      <c r="G70" s="9">
        <v>0.125874125874126</v>
      </c>
    </row>
    <row r="71" spans="1:7">
      <c r="A71" s="7" t="s">
        <v>130</v>
      </c>
      <c r="B71" s="7" t="s">
        <v>10</v>
      </c>
      <c r="C71" s="7">
        <v>5828.88</v>
      </c>
      <c r="D71" s="7">
        <v>11.43</v>
      </c>
      <c r="E71" s="7">
        <f>VLOOKUP(A71,[1]Sheet1!$A:$B,2,FALSE)</f>
        <v>10</v>
      </c>
      <c r="F71" s="10">
        <v>9.94117647058824</v>
      </c>
      <c r="G71" s="9">
        <v>0.130255776851422</v>
      </c>
    </row>
    <row r="72" spans="1:7">
      <c r="A72" s="7" t="s">
        <v>131</v>
      </c>
      <c r="B72" s="7" t="s">
        <v>7</v>
      </c>
      <c r="C72" s="7">
        <v>5810.43</v>
      </c>
      <c r="D72" s="7">
        <v>11.39</v>
      </c>
      <c r="E72" s="7">
        <f>VLOOKUP(A72,[1]Sheet1!$A:$B,2,FALSE)</f>
        <v>9</v>
      </c>
      <c r="F72" s="8">
        <v>9</v>
      </c>
      <c r="G72" s="9">
        <v>0.209833187006146</v>
      </c>
    </row>
    <row r="73" spans="1:7">
      <c r="A73" s="7" t="s">
        <v>132</v>
      </c>
      <c r="B73" s="7" t="s">
        <v>6</v>
      </c>
      <c r="C73" s="7">
        <v>5810.13</v>
      </c>
      <c r="D73" s="7">
        <v>11.39</v>
      </c>
      <c r="E73" s="7">
        <f>VLOOKUP(A73,[1]Sheet1!$A:$B,2,FALSE)</f>
        <v>10</v>
      </c>
      <c r="F73" s="8">
        <v>9.82357647058824</v>
      </c>
      <c r="G73" s="9">
        <v>0.137526209781542</v>
      </c>
    </row>
    <row r="74" spans="1:7">
      <c r="A74" s="7" t="s">
        <v>133</v>
      </c>
      <c r="B74" s="7" t="s">
        <v>7</v>
      </c>
      <c r="C74" s="7">
        <v>5806.62</v>
      </c>
      <c r="D74" s="7">
        <v>11.39</v>
      </c>
      <c r="E74" s="7">
        <f>VLOOKUP(A74,[1]Sheet1!$A:$B,2,FALSE)</f>
        <v>9</v>
      </c>
      <c r="F74" s="8">
        <v>9</v>
      </c>
      <c r="G74" s="9">
        <v>0.209833187006146</v>
      </c>
    </row>
    <row r="75" spans="1:7">
      <c r="A75" s="7" t="s">
        <v>134</v>
      </c>
      <c r="B75" s="7" t="s">
        <v>7</v>
      </c>
      <c r="C75" s="7">
        <v>5781.47</v>
      </c>
      <c r="D75" s="7">
        <v>11.34</v>
      </c>
      <c r="E75" s="7">
        <f>VLOOKUP(A75,[1]Sheet1!$A:$B,2,FALSE)</f>
        <v>10</v>
      </c>
      <c r="F75" s="8">
        <v>10.0000705882353</v>
      </c>
      <c r="G75" s="9">
        <v>0.118159560120344</v>
      </c>
    </row>
    <row r="76" spans="1:7">
      <c r="A76" s="7" t="s">
        <v>135</v>
      </c>
      <c r="B76" s="7" t="s">
        <v>10</v>
      </c>
      <c r="C76" s="7">
        <v>5766.35</v>
      </c>
      <c r="D76" s="7">
        <v>11.31</v>
      </c>
      <c r="E76" s="7">
        <f>VLOOKUP(A76,[1]Sheet1!$A:$B,2,FALSE)</f>
        <v>10</v>
      </c>
      <c r="F76" s="10">
        <v>4.99998823529412</v>
      </c>
      <c r="G76" s="9">
        <v>0.557914391220679</v>
      </c>
    </row>
    <row r="77" spans="1:7">
      <c r="A77" s="7" t="s">
        <v>136</v>
      </c>
      <c r="B77" s="7" t="s">
        <v>11</v>
      </c>
      <c r="C77" s="7">
        <v>5756.57</v>
      </c>
      <c r="D77" s="7">
        <v>11.29</v>
      </c>
      <c r="E77" s="7">
        <f>VLOOKUP(A77,[1]Sheet1!$A:$B,2,FALSE)</f>
        <v>10</v>
      </c>
      <c r="F77" s="10">
        <v>8</v>
      </c>
      <c r="G77" s="9">
        <v>0.29140832595217</v>
      </c>
    </row>
    <row r="78" spans="1:7">
      <c r="A78" s="7" t="s">
        <v>137</v>
      </c>
      <c r="B78" s="7" t="s">
        <v>11</v>
      </c>
      <c r="C78" s="7">
        <v>5744.57</v>
      </c>
      <c r="D78" s="7">
        <v>11.26</v>
      </c>
      <c r="E78" s="7">
        <f>VLOOKUP(A78,[1]Sheet1!$A:$B,2,FALSE)</f>
        <v>9</v>
      </c>
      <c r="F78" s="10">
        <v>9</v>
      </c>
      <c r="G78" s="9">
        <v>0.200710479573712</v>
      </c>
    </row>
    <row r="79" spans="1:7">
      <c r="A79" s="7" t="s">
        <v>138</v>
      </c>
      <c r="B79" s="7" t="s">
        <v>11</v>
      </c>
      <c r="C79" s="7">
        <v>5736.48</v>
      </c>
      <c r="D79" s="7">
        <v>11.25</v>
      </c>
      <c r="E79" s="7">
        <f>VLOOKUP(A79,[1]Sheet1!$A:$B,2,FALSE)</f>
        <v>10</v>
      </c>
      <c r="F79" s="8">
        <v>10</v>
      </c>
      <c r="G79" s="9">
        <v>0.111111111111111</v>
      </c>
    </row>
    <row r="80" spans="1:7">
      <c r="A80" s="7" t="s">
        <v>139</v>
      </c>
      <c r="B80" s="7" t="s">
        <v>7</v>
      </c>
      <c r="C80" s="7">
        <v>5723.83</v>
      </c>
      <c r="D80" s="7">
        <v>11.22</v>
      </c>
      <c r="E80" s="7">
        <f>VLOOKUP(A80,[1]Sheet1!$A:$B,2,FALSE)</f>
        <v>9</v>
      </c>
      <c r="F80" s="8">
        <v>9</v>
      </c>
      <c r="G80" s="9">
        <v>0.197860962566845</v>
      </c>
    </row>
    <row r="81" spans="1:7">
      <c r="A81" s="7" t="s">
        <v>140</v>
      </c>
      <c r="B81" s="7" t="s">
        <v>6</v>
      </c>
      <c r="C81" s="7">
        <v>5716.1</v>
      </c>
      <c r="D81" s="7">
        <v>11.21</v>
      </c>
      <c r="E81" s="7">
        <f>VLOOKUP(A81,[1]Sheet1!$A:$B,2,FALSE)</f>
        <v>9</v>
      </c>
      <c r="F81" s="8">
        <v>10</v>
      </c>
      <c r="G81" s="9">
        <v>0.107939339875112</v>
      </c>
    </row>
    <row r="82" spans="1:7">
      <c r="A82" s="7" t="s">
        <v>141</v>
      </c>
      <c r="B82" s="7" t="s">
        <v>10</v>
      </c>
      <c r="C82" s="7">
        <v>5715.68</v>
      </c>
      <c r="D82" s="7">
        <v>11.21</v>
      </c>
      <c r="E82" s="7">
        <f>VLOOKUP(A82,[1]Sheet1!$A:$B,2,FALSE)</f>
        <v>10</v>
      </c>
      <c r="F82" s="8">
        <v>10</v>
      </c>
      <c r="G82" s="9">
        <v>0.107939339875112</v>
      </c>
    </row>
    <row r="83" spans="1:7">
      <c r="A83" s="7" t="s">
        <v>142</v>
      </c>
      <c r="B83" s="7" t="s">
        <v>11</v>
      </c>
      <c r="C83" s="7">
        <v>5693.83</v>
      </c>
      <c r="D83" s="7">
        <v>11.16</v>
      </c>
      <c r="E83" s="7">
        <f>VLOOKUP(A83,[1]Sheet1!$A:$B,2,FALSE)</f>
        <v>10</v>
      </c>
      <c r="F83" s="10">
        <v>4</v>
      </c>
      <c r="G83" s="9">
        <v>0.6415770609319</v>
      </c>
    </row>
    <row r="84" spans="1:7">
      <c r="A84" s="7" t="s">
        <v>143</v>
      </c>
      <c r="B84" s="7" t="s">
        <v>6</v>
      </c>
      <c r="C84" s="7">
        <v>5688.43</v>
      </c>
      <c r="D84" s="7">
        <v>11.15</v>
      </c>
      <c r="E84" s="7">
        <f>VLOOKUP(A84,[1]Sheet1!$A:$B,2,FALSE)</f>
        <v>9</v>
      </c>
      <c r="F84" s="8">
        <v>9</v>
      </c>
      <c r="G84" s="9">
        <v>0.192825112107623</v>
      </c>
    </row>
    <row r="85" spans="1:7">
      <c r="A85" s="7" t="s">
        <v>144</v>
      </c>
      <c r="B85" s="7" t="s">
        <v>8</v>
      </c>
      <c r="C85" s="7">
        <v>5674.02</v>
      </c>
      <c r="D85" s="7">
        <v>11.13</v>
      </c>
      <c r="E85" s="7">
        <f>VLOOKUP(A85,[1]Sheet1!$A:$B,2,FALSE)</f>
        <v>9</v>
      </c>
      <c r="F85" s="8">
        <v>9.00001176470588</v>
      </c>
      <c r="G85" s="9">
        <v>0.191373606046192</v>
      </c>
    </row>
    <row r="86" spans="1:7">
      <c r="A86" s="7" t="s">
        <v>145</v>
      </c>
      <c r="B86" s="7" t="s">
        <v>10</v>
      </c>
      <c r="C86" s="7">
        <v>5665.02</v>
      </c>
      <c r="D86" s="7">
        <v>11.11</v>
      </c>
      <c r="E86" s="7">
        <f>VLOOKUP(A86,[1]Sheet1!$A:$B,2,FALSE)</f>
        <v>10</v>
      </c>
      <c r="F86" s="10">
        <v>9</v>
      </c>
      <c r="G86" s="9">
        <v>0.18991899189919</v>
      </c>
    </row>
    <row r="87" spans="1:7">
      <c r="A87" s="7" t="s">
        <v>146</v>
      </c>
      <c r="B87" s="7" t="s">
        <v>11</v>
      </c>
      <c r="C87" s="7">
        <v>5661.67</v>
      </c>
      <c r="D87" s="7">
        <v>11.1</v>
      </c>
      <c r="E87" s="7">
        <f>VLOOKUP(A87,[1]Sheet1!$A:$B,2,FALSE)</f>
        <v>11</v>
      </c>
      <c r="F87" s="10">
        <v>8</v>
      </c>
      <c r="G87" s="9">
        <v>0.279279279279279</v>
      </c>
    </row>
    <row r="88" spans="1:7">
      <c r="A88" s="7" t="s">
        <v>147</v>
      </c>
      <c r="B88" s="7" t="s">
        <v>7</v>
      </c>
      <c r="C88" s="7">
        <v>5659.18</v>
      </c>
      <c r="D88" s="7">
        <v>11.1</v>
      </c>
      <c r="E88" s="7">
        <f>VLOOKUP(A88,[1]Sheet1!$A:$B,2,FALSE)</f>
        <v>9</v>
      </c>
      <c r="F88" s="10">
        <v>7</v>
      </c>
      <c r="G88" s="9">
        <v>0.369369369369369</v>
      </c>
    </row>
    <row r="89" spans="1:7">
      <c r="A89" s="7" t="s">
        <v>148</v>
      </c>
      <c r="B89" s="7" t="s">
        <v>6</v>
      </c>
      <c r="C89" s="7">
        <v>5645.92</v>
      </c>
      <c r="D89" s="7">
        <v>11.07</v>
      </c>
      <c r="E89" s="7">
        <f>VLOOKUP(A89,[1]Sheet1!$A:$B,2,FALSE)</f>
        <v>10</v>
      </c>
      <c r="F89" s="8">
        <v>9.82352941176471</v>
      </c>
      <c r="G89" s="9">
        <v>0.112598969126946</v>
      </c>
    </row>
    <row r="90" spans="1:7">
      <c r="A90" s="7" t="s">
        <v>149</v>
      </c>
      <c r="B90" s="7" t="s">
        <v>6</v>
      </c>
      <c r="C90" s="7">
        <v>5629.2</v>
      </c>
      <c r="D90" s="7">
        <v>11.04</v>
      </c>
      <c r="E90" s="7">
        <f>VLOOKUP(A90,[1]Sheet1!$A:$B,2,FALSE)</f>
        <v>8</v>
      </c>
      <c r="F90" s="10">
        <v>2</v>
      </c>
      <c r="G90" s="9">
        <v>0.818840579710145</v>
      </c>
    </row>
    <row r="91" spans="1:7">
      <c r="A91" s="11" t="s">
        <v>150</v>
      </c>
      <c r="B91" s="7" t="s">
        <v>6</v>
      </c>
      <c r="C91" s="7">
        <v>5628.08</v>
      </c>
      <c r="D91" s="7">
        <v>11.04</v>
      </c>
      <c r="E91" s="7">
        <f>VLOOKUP(A91,[1]Sheet1!$A:$B,2,FALSE)</f>
        <v>9</v>
      </c>
      <c r="F91" s="8">
        <v>10.2744941176471</v>
      </c>
      <c r="G91" s="9">
        <v>0.0693393009377626</v>
      </c>
    </row>
    <row r="92" spans="1:7">
      <c r="A92" s="7" t="s">
        <v>151</v>
      </c>
      <c r="B92" s="7" t="s">
        <v>11</v>
      </c>
      <c r="C92" s="7">
        <v>5591.85</v>
      </c>
      <c r="D92" s="7">
        <v>10.96</v>
      </c>
      <c r="E92" s="7">
        <f>VLOOKUP(A92,[1]Sheet1!$A:$B,2,FALSE)</f>
        <v>10</v>
      </c>
      <c r="F92" s="10">
        <v>9</v>
      </c>
      <c r="G92" s="9">
        <v>0.178832116788321</v>
      </c>
    </row>
    <row r="93" spans="1:7">
      <c r="A93" s="11" t="s">
        <v>152</v>
      </c>
      <c r="B93" s="7" t="s">
        <v>11</v>
      </c>
      <c r="C93" s="7">
        <v>5560.32</v>
      </c>
      <c r="D93" s="7">
        <v>10.9</v>
      </c>
      <c r="E93" s="7">
        <f>VLOOKUP(A93,[1]Sheet1!$A:$B,2,FALSE)</f>
        <v>10</v>
      </c>
      <c r="F93" s="8">
        <v>10</v>
      </c>
      <c r="G93" s="9">
        <v>0.0825688073394496</v>
      </c>
    </row>
    <row r="94" spans="1:7">
      <c r="A94" s="7" t="s">
        <v>153</v>
      </c>
      <c r="B94" s="7" t="s">
        <v>11</v>
      </c>
      <c r="C94" s="7">
        <v>5546.35</v>
      </c>
      <c r="D94" s="7">
        <v>10.88</v>
      </c>
      <c r="E94" s="7">
        <f>VLOOKUP(A94,[1]Sheet1!$A:$B,2,FALSE)</f>
        <v>10</v>
      </c>
      <c r="F94" s="10">
        <v>7</v>
      </c>
      <c r="G94" s="9">
        <v>0.356617647058824</v>
      </c>
    </row>
    <row r="95" spans="1:7">
      <c r="A95" s="11" t="s">
        <v>154</v>
      </c>
      <c r="B95" s="7" t="s">
        <v>10</v>
      </c>
      <c r="C95" s="7">
        <v>5527.75</v>
      </c>
      <c r="D95" s="7">
        <v>10.84</v>
      </c>
      <c r="E95" s="7">
        <f>VLOOKUP(A95,[1]Sheet1!$A:$B,2,FALSE)</f>
        <v>10</v>
      </c>
      <c r="F95" s="8">
        <v>10</v>
      </c>
      <c r="G95" s="9">
        <v>0.077490774907749</v>
      </c>
    </row>
    <row r="96" spans="1:7">
      <c r="A96" s="11" t="s">
        <v>155</v>
      </c>
      <c r="B96" s="7" t="s">
        <v>7</v>
      </c>
      <c r="C96" s="7">
        <v>5527.72</v>
      </c>
      <c r="D96" s="7">
        <v>10.84</v>
      </c>
      <c r="E96" s="7">
        <f>VLOOKUP(A96,[1]Sheet1!$A:$B,2,FALSE)</f>
        <v>10</v>
      </c>
      <c r="F96" s="8">
        <v>10.1039176470588</v>
      </c>
      <c r="G96" s="9">
        <v>0.0679042761015867</v>
      </c>
    </row>
    <row r="97" spans="1:7">
      <c r="A97" s="11" t="s">
        <v>156</v>
      </c>
      <c r="B97" s="7" t="s">
        <v>7</v>
      </c>
      <c r="C97" s="7">
        <v>5513.82</v>
      </c>
      <c r="D97" s="7">
        <v>10.81</v>
      </c>
      <c r="E97" s="7">
        <f>VLOOKUP(A97,[1]Sheet1!$A:$B,2,FALSE)</f>
        <v>10</v>
      </c>
      <c r="F97" s="8">
        <v>10</v>
      </c>
      <c r="G97" s="9">
        <v>0.0749306197964847</v>
      </c>
    </row>
    <row r="98" spans="1:7">
      <c r="A98" s="7" t="s">
        <v>157</v>
      </c>
      <c r="B98" s="7" t="s">
        <v>7</v>
      </c>
      <c r="C98" s="7">
        <v>5510.8</v>
      </c>
      <c r="D98" s="7">
        <v>10.81</v>
      </c>
      <c r="E98" s="7">
        <f>VLOOKUP(A98,[1]Sheet1!$A:$B,2,FALSE)</f>
        <v>9</v>
      </c>
      <c r="F98" s="8">
        <v>9.23529411764706</v>
      </c>
      <c r="G98" s="9">
        <v>0.145671219459106</v>
      </c>
    </row>
    <row r="99" spans="1:7">
      <c r="A99" s="7" t="s">
        <v>158</v>
      </c>
      <c r="B99" s="7" t="s">
        <v>7</v>
      </c>
      <c r="C99" s="7">
        <v>5508.53</v>
      </c>
      <c r="D99" s="7">
        <v>10.8</v>
      </c>
      <c r="E99" s="7">
        <f>VLOOKUP(A99,[1]Sheet1!$A:$B,2,FALSE)</f>
        <v>9</v>
      </c>
      <c r="F99" s="8">
        <v>9</v>
      </c>
      <c r="G99" s="9">
        <v>0.166666666666667</v>
      </c>
    </row>
    <row r="100" spans="1:7">
      <c r="A100" s="11" t="s">
        <v>159</v>
      </c>
      <c r="B100" s="7" t="s">
        <v>6</v>
      </c>
      <c r="C100" s="7">
        <v>5469.22</v>
      </c>
      <c r="D100" s="7">
        <v>10.72</v>
      </c>
      <c r="E100" s="7">
        <f>VLOOKUP(A100,[1]Sheet1!$A:$B,2,FALSE)</f>
        <v>10</v>
      </c>
      <c r="F100" s="8">
        <v>10.0000352941176</v>
      </c>
      <c r="G100" s="9">
        <v>0.0671608867427612</v>
      </c>
    </row>
    <row r="101" spans="1:7">
      <c r="A101" s="7" t="s">
        <v>160</v>
      </c>
      <c r="B101" s="7" t="s">
        <v>11</v>
      </c>
      <c r="C101" s="7">
        <v>5439.82</v>
      </c>
      <c r="D101" s="7">
        <v>10.67</v>
      </c>
      <c r="E101" s="7">
        <f>VLOOKUP(A101,[1]Sheet1!$A:$B,2,FALSE)</f>
        <v>10</v>
      </c>
      <c r="F101" s="10">
        <v>9</v>
      </c>
      <c r="G101" s="9">
        <v>0.15651358950328</v>
      </c>
    </row>
    <row r="102" spans="1:7">
      <c r="A102" s="7" t="s">
        <v>161</v>
      </c>
      <c r="B102" s="7" t="s">
        <v>11</v>
      </c>
      <c r="C102" s="7">
        <v>5417.07</v>
      </c>
      <c r="D102" s="7">
        <v>10.62</v>
      </c>
      <c r="E102" s="7">
        <f>VLOOKUP(A102,[1]Sheet1!$A:$B,2,FALSE)</f>
        <v>9</v>
      </c>
      <c r="F102" s="10">
        <v>9</v>
      </c>
      <c r="G102" s="9">
        <v>0.152542372881356</v>
      </c>
    </row>
    <row r="103" spans="1:7">
      <c r="A103" s="7" t="s">
        <v>162</v>
      </c>
      <c r="B103" s="7" t="s">
        <v>6</v>
      </c>
      <c r="C103" s="7">
        <v>5362.95</v>
      </c>
      <c r="D103" s="7">
        <v>10.52</v>
      </c>
      <c r="E103" s="7">
        <f>VLOOKUP(A103,[1]Sheet1!$A:$B,2,FALSE)</f>
        <v>9</v>
      </c>
      <c r="F103" s="10">
        <v>5.99998823529412</v>
      </c>
      <c r="G103" s="9">
        <v>0.429658912994855</v>
      </c>
    </row>
    <row r="104" spans="1:7">
      <c r="A104" s="7" t="s">
        <v>163</v>
      </c>
      <c r="B104" s="7" t="s">
        <v>9</v>
      </c>
      <c r="C104" s="7">
        <v>5333</v>
      </c>
      <c r="D104" s="7">
        <v>10.46</v>
      </c>
      <c r="E104" s="7">
        <f>VLOOKUP(A104,[1]Sheet1!$A:$B,2,FALSE)</f>
        <v>9</v>
      </c>
      <c r="F104" s="10">
        <v>1</v>
      </c>
      <c r="G104" s="9">
        <v>0.904397705544933</v>
      </c>
    </row>
    <row r="105" spans="1:7">
      <c r="A105" s="7" t="s">
        <v>164</v>
      </c>
      <c r="B105" s="7" t="s">
        <v>6</v>
      </c>
      <c r="C105" s="7">
        <v>5329.25</v>
      </c>
      <c r="D105" s="7">
        <v>10.45</v>
      </c>
      <c r="E105" s="7">
        <f>VLOOKUP(A105,[1]Sheet1!$A:$B,2,FALSE)</f>
        <v>9</v>
      </c>
      <c r="F105" s="8">
        <v>9</v>
      </c>
      <c r="G105" s="9">
        <v>0.138755980861244</v>
      </c>
    </row>
    <row r="106" spans="1:7">
      <c r="A106" s="7" t="s">
        <v>165</v>
      </c>
      <c r="B106" s="7" t="s">
        <v>6</v>
      </c>
      <c r="C106" s="7">
        <v>5310.65</v>
      </c>
      <c r="D106" s="7">
        <v>10.41</v>
      </c>
      <c r="E106" s="7">
        <f>VLOOKUP(A106,[1]Sheet1!$A:$B,2,FALSE)</f>
        <v>9</v>
      </c>
      <c r="F106" s="10">
        <v>5</v>
      </c>
      <c r="G106" s="9">
        <v>0.51969260326609</v>
      </c>
    </row>
    <row r="107" spans="1:7">
      <c r="A107" s="11" t="s">
        <v>166</v>
      </c>
      <c r="B107" s="7" t="s">
        <v>6</v>
      </c>
      <c r="C107" s="7">
        <v>5293.65</v>
      </c>
      <c r="D107" s="7">
        <v>10.38</v>
      </c>
      <c r="E107" s="7">
        <f>VLOOKUP(A107,[1]Sheet1!$A:$B,2,FALSE)</f>
        <v>9</v>
      </c>
      <c r="F107" s="8">
        <v>10.4705529411765</v>
      </c>
      <c r="G107" s="9">
        <v>0.00872379009407509</v>
      </c>
    </row>
    <row r="108" spans="1:7">
      <c r="A108" s="7" t="s">
        <v>167</v>
      </c>
      <c r="B108" s="7" t="s">
        <v>6</v>
      </c>
      <c r="C108" s="7">
        <v>5279.83</v>
      </c>
      <c r="D108" s="7">
        <v>10.35</v>
      </c>
      <c r="E108" s="7">
        <f>VLOOKUP(A108,[1]Sheet1!$A:$B,2,FALSE)</f>
        <v>9</v>
      </c>
      <c r="F108" s="8">
        <v>9</v>
      </c>
      <c r="G108" s="9">
        <v>0.130434782608696</v>
      </c>
    </row>
    <row r="109" spans="1:7">
      <c r="A109" s="7" t="s">
        <v>168</v>
      </c>
      <c r="B109" s="7" t="s">
        <v>11</v>
      </c>
      <c r="C109" s="7">
        <v>5200.9</v>
      </c>
      <c r="D109" s="7">
        <v>10.2</v>
      </c>
      <c r="E109" s="7">
        <f>VLOOKUP(A109,[1]Sheet1!$A:$B,2,FALSE)</f>
        <v>10</v>
      </c>
      <c r="F109" s="10">
        <v>7.5</v>
      </c>
      <c r="G109" s="9">
        <v>0.264705882352941</v>
      </c>
    </row>
    <row r="110" spans="1:7">
      <c r="A110" s="7" t="s">
        <v>169</v>
      </c>
      <c r="B110" s="7" t="s">
        <v>6</v>
      </c>
      <c r="C110" s="7">
        <v>5191.1</v>
      </c>
      <c r="D110" s="7">
        <v>10.18</v>
      </c>
      <c r="E110" s="7">
        <f>VLOOKUP(A110,[1]Sheet1!$A:$B,2,FALSE)</f>
        <v>8</v>
      </c>
      <c r="F110" s="10">
        <v>7.01958823529412</v>
      </c>
      <c r="G110" s="9">
        <v>0.310453022073269</v>
      </c>
    </row>
    <row r="111" spans="1:7">
      <c r="A111" s="7" t="s">
        <v>170</v>
      </c>
      <c r="B111" s="7" t="s">
        <v>6</v>
      </c>
      <c r="C111" s="7">
        <v>5149.95</v>
      </c>
      <c r="D111" s="7">
        <v>10.1</v>
      </c>
      <c r="E111" s="7">
        <f>VLOOKUP(A111,[1]Sheet1!$A:$B,2,FALSE)</f>
        <v>8</v>
      </c>
      <c r="F111" s="10">
        <v>6.99998823529412</v>
      </c>
      <c r="G111" s="9">
        <v>0.306931857891671</v>
      </c>
    </row>
    <row r="112" spans="1:7">
      <c r="A112" s="7" t="s">
        <v>171</v>
      </c>
      <c r="B112" s="7" t="s">
        <v>6</v>
      </c>
      <c r="C112" s="7">
        <v>5117.78</v>
      </c>
      <c r="D112" s="7">
        <v>10.03</v>
      </c>
      <c r="E112" s="7">
        <f>VLOOKUP(A112,[1]Sheet1!$A:$B,2,FALSE)</f>
        <v>8</v>
      </c>
      <c r="F112" s="10">
        <v>8</v>
      </c>
      <c r="G112" s="9">
        <v>0.202392821535394</v>
      </c>
    </row>
    <row r="113" spans="1:7">
      <c r="A113" s="7" t="s">
        <v>172</v>
      </c>
      <c r="B113" s="7" t="s">
        <v>11</v>
      </c>
      <c r="C113" s="7">
        <v>5083.12</v>
      </c>
      <c r="D113" s="7">
        <v>9.97</v>
      </c>
      <c r="E113" s="7">
        <f>VLOOKUP(A113,[1]Sheet1!$A:$B,2,FALSE)</f>
        <v>9</v>
      </c>
      <c r="F113" s="10">
        <v>7</v>
      </c>
      <c r="G113" s="9">
        <v>0.297893681043129</v>
      </c>
    </row>
    <row r="114" spans="1:7">
      <c r="A114" s="11" t="s">
        <v>173</v>
      </c>
      <c r="B114" s="7" t="s">
        <v>6</v>
      </c>
      <c r="C114" s="7">
        <v>5034.98</v>
      </c>
      <c r="D114" s="7">
        <v>9.87</v>
      </c>
      <c r="E114" s="7">
        <f>VLOOKUP(A114,[1]Sheet1!$A:$B,2,FALSE)</f>
        <v>10</v>
      </c>
      <c r="F114" s="8">
        <v>8.99998823529412</v>
      </c>
      <c r="G114" s="9">
        <v>0.0881470886226827</v>
      </c>
    </row>
    <row r="115" spans="1:7">
      <c r="A115" s="7" t="s">
        <v>174</v>
      </c>
      <c r="B115" s="7" t="s">
        <v>7</v>
      </c>
      <c r="C115" s="7">
        <v>5006.67</v>
      </c>
      <c r="D115" s="7">
        <v>9.82</v>
      </c>
      <c r="E115" s="7">
        <f>VLOOKUP(A115,[1]Sheet1!$A:$B,2,FALSE)</f>
        <v>9</v>
      </c>
      <c r="F115" s="10">
        <v>7.99997647058823</v>
      </c>
      <c r="G115" s="9">
        <v>0.185338444950282</v>
      </c>
    </row>
    <row r="116" spans="1:7">
      <c r="A116" s="11" t="s">
        <v>175</v>
      </c>
      <c r="B116" s="7" t="s">
        <v>10</v>
      </c>
      <c r="C116" s="7">
        <v>4968.37</v>
      </c>
      <c r="D116" s="7">
        <v>9.74</v>
      </c>
      <c r="E116" s="7">
        <f>VLOOKUP(A116,[1]Sheet1!$A:$B,2,FALSE)</f>
        <v>9</v>
      </c>
      <c r="F116" s="8">
        <v>10</v>
      </c>
      <c r="G116" s="9">
        <v>0.0266940451745379</v>
      </c>
    </row>
    <row r="117" spans="1:7">
      <c r="A117" s="7" t="s">
        <v>176</v>
      </c>
      <c r="B117" s="7" t="s">
        <v>10</v>
      </c>
      <c r="C117" s="7">
        <v>4885.15</v>
      </c>
      <c r="D117" s="7">
        <v>9.58</v>
      </c>
      <c r="E117" s="7">
        <f>VLOOKUP(A117,[1]Sheet1!$A:$B,2,FALSE)</f>
        <v>10</v>
      </c>
      <c r="F117" s="8">
        <v>10.7647058823529</v>
      </c>
      <c r="G117" s="9">
        <v>0.123664497114081</v>
      </c>
    </row>
    <row r="118" spans="1:7">
      <c r="A118" s="7" t="s">
        <v>177</v>
      </c>
      <c r="B118" s="7" t="s">
        <v>11</v>
      </c>
      <c r="C118" s="7">
        <v>4816.07</v>
      </c>
      <c r="D118" s="7">
        <v>9.44</v>
      </c>
      <c r="E118" s="7">
        <f>VLOOKUP(A118,[1]Sheet1!$A:$B,2,FALSE)</f>
        <v>10</v>
      </c>
      <c r="F118" s="10">
        <v>6</v>
      </c>
      <c r="G118" s="9">
        <v>0.364406779661017</v>
      </c>
    </row>
    <row r="119" spans="1:7">
      <c r="A119" s="11" t="s">
        <v>178</v>
      </c>
      <c r="B119" s="7" t="s">
        <v>11</v>
      </c>
      <c r="C119" s="7">
        <v>4680.27</v>
      </c>
      <c r="D119" s="7">
        <v>9.18</v>
      </c>
      <c r="E119" s="7">
        <f>VLOOKUP(A119,[1]Sheet1!$A:$B,2,FALSE)</f>
        <v>8</v>
      </c>
      <c r="F119" s="8">
        <v>9</v>
      </c>
      <c r="G119" s="9">
        <v>0.0196078431372548</v>
      </c>
    </row>
    <row r="120" spans="1:7">
      <c r="A120" s="11" t="s">
        <v>179</v>
      </c>
      <c r="B120" s="7" t="s">
        <v>10</v>
      </c>
      <c r="C120" s="7">
        <v>4604.32</v>
      </c>
      <c r="D120" s="7">
        <v>9.03</v>
      </c>
      <c r="E120" s="7">
        <f>VLOOKUP(A120,[1]Sheet1!$A:$B,2,FALSE)</f>
        <v>10</v>
      </c>
      <c r="F120" s="10">
        <v>8.99998823529412</v>
      </c>
      <c r="G120" s="9">
        <v>0.00332356198293238</v>
      </c>
    </row>
    <row r="121" spans="1:7">
      <c r="A121" s="7" t="s">
        <v>180</v>
      </c>
      <c r="B121" s="7" t="s">
        <v>6</v>
      </c>
      <c r="C121" s="7">
        <v>4598.58</v>
      </c>
      <c r="D121" s="7">
        <v>9.02</v>
      </c>
      <c r="E121" s="7">
        <f>VLOOKUP(A121,[1]Sheet1!$A:$B,2,FALSE)</f>
        <v>7</v>
      </c>
      <c r="F121" s="10">
        <v>6.99998823529412</v>
      </c>
      <c r="G121" s="9">
        <v>0.223948089213512</v>
      </c>
    </row>
    <row r="122" spans="1:7">
      <c r="A122" s="7" t="s">
        <v>181</v>
      </c>
      <c r="B122" s="7" t="s">
        <v>11</v>
      </c>
      <c r="C122" s="7">
        <v>4584</v>
      </c>
      <c r="D122" s="7">
        <v>8.99</v>
      </c>
      <c r="E122" s="7">
        <f>VLOOKUP(A122,[1]Sheet1!$A:$B,2,FALSE)</f>
        <v>9</v>
      </c>
      <c r="F122" s="10">
        <v>8</v>
      </c>
      <c r="G122" s="9">
        <v>0.110122358175751</v>
      </c>
    </row>
    <row r="123" spans="1:7">
      <c r="A123" s="7" t="s">
        <v>182</v>
      </c>
      <c r="B123" s="7" t="s">
        <v>6</v>
      </c>
      <c r="C123" s="7">
        <v>4548.1</v>
      </c>
      <c r="D123" s="7">
        <v>8.92</v>
      </c>
      <c r="E123" s="7">
        <f>VLOOKUP(A123,[1]Sheet1!$A:$B,2,FALSE)</f>
        <v>8</v>
      </c>
      <c r="F123" s="10">
        <v>7</v>
      </c>
      <c r="G123" s="9">
        <v>0.2152466367713</v>
      </c>
    </row>
    <row r="124" spans="1:7">
      <c r="A124" s="11" t="s">
        <v>183</v>
      </c>
      <c r="B124" s="7" t="s">
        <v>11</v>
      </c>
      <c r="C124" s="7">
        <v>4497.12</v>
      </c>
      <c r="D124" s="7">
        <v>8.82</v>
      </c>
      <c r="E124" s="7">
        <f>VLOOKUP(A124,[1]Sheet1!$A:$B,2,FALSE)</f>
        <v>8</v>
      </c>
      <c r="F124" s="10">
        <v>8</v>
      </c>
      <c r="G124" s="9">
        <v>0.0929705215419502</v>
      </c>
    </row>
    <row r="125" spans="1:7">
      <c r="A125" s="7" t="s">
        <v>184</v>
      </c>
      <c r="B125" s="7" t="s">
        <v>6</v>
      </c>
      <c r="C125" s="7">
        <v>4242.63</v>
      </c>
      <c r="D125" s="7">
        <v>8.32</v>
      </c>
      <c r="E125" s="7">
        <f>VLOOKUP(A125,[1]Sheet1!$A:$B,2,FALSE)</f>
        <v>7</v>
      </c>
      <c r="F125" s="10">
        <v>7.05492941176471</v>
      </c>
      <c r="G125" s="9">
        <v>0.152051753393665</v>
      </c>
    </row>
    <row r="126" spans="1:7">
      <c r="A126" s="7" t="s">
        <v>185</v>
      </c>
      <c r="B126" s="7" t="s">
        <v>7</v>
      </c>
      <c r="C126" s="7">
        <v>4237.88</v>
      </c>
      <c r="D126" s="7">
        <v>8.31</v>
      </c>
      <c r="E126" s="7">
        <f>VLOOKUP(A126,[1]Sheet1!$A:$B,2,FALSE)</f>
        <v>7</v>
      </c>
      <c r="F126" s="8">
        <v>9.88235294117647</v>
      </c>
      <c r="G126" s="9">
        <v>0.189212146952644</v>
      </c>
    </row>
    <row r="127" spans="1:7">
      <c r="A127" s="11" t="s">
        <v>186</v>
      </c>
      <c r="B127" s="7" t="s">
        <v>6</v>
      </c>
      <c r="C127" s="7">
        <v>3987.35</v>
      </c>
      <c r="D127" s="7">
        <v>7.82</v>
      </c>
      <c r="E127" s="7">
        <f>VLOOKUP(A127,[1]Sheet1!$A:$B,2,FALSE)</f>
        <v>7</v>
      </c>
      <c r="F127" s="10">
        <v>7.94117647058824</v>
      </c>
      <c r="G127" s="9">
        <v>0.0154957123514372</v>
      </c>
    </row>
    <row r="128" spans="1:7">
      <c r="A128" s="7" t="s">
        <v>20</v>
      </c>
      <c r="B128" s="7" t="s">
        <v>9</v>
      </c>
      <c r="C128" s="7">
        <v>3918.62</v>
      </c>
      <c r="D128" s="7">
        <v>7.68</v>
      </c>
      <c r="E128" s="7">
        <f>VLOOKUP(A128,[1]Sheet1!$A:$B,2,FALSE)</f>
        <v>7</v>
      </c>
      <c r="F128" s="10"/>
      <c r="G128" s="9">
        <v>1</v>
      </c>
    </row>
    <row r="129" spans="1:7">
      <c r="A129" s="11" t="s">
        <v>187</v>
      </c>
      <c r="B129" s="7" t="s">
        <v>7</v>
      </c>
      <c r="C129" s="7">
        <v>3873.38</v>
      </c>
      <c r="D129" s="7">
        <v>7.59</v>
      </c>
      <c r="E129" s="7">
        <f>VLOOKUP(A129,[1]Sheet1!$A:$B,2,FALSE)</f>
        <v>8</v>
      </c>
      <c r="F129" s="8">
        <v>8.00004705882353</v>
      </c>
      <c r="G129" s="9">
        <v>0.0540246454312951</v>
      </c>
    </row>
    <row r="130" spans="1:7">
      <c r="A130" s="11" t="s">
        <v>188</v>
      </c>
      <c r="B130" s="7" t="s">
        <v>11</v>
      </c>
      <c r="C130" s="7">
        <v>3848.03</v>
      </c>
      <c r="D130" s="7">
        <v>7.55</v>
      </c>
      <c r="E130" s="7">
        <f>VLOOKUP(A130,[1]Sheet1!$A:$B,2,FALSE)</f>
        <v>7</v>
      </c>
      <c r="F130" s="10">
        <v>7</v>
      </c>
      <c r="G130" s="9">
        <v>0.0728476821192052</v>
      </c>
    </row>
    <row r="131" spans="1:7">
      <c r="A131" s="7" t="s">
        <v>189</v>
      </c>
      <c r="B131" s="7" t="s">
        <v>6</v>
      </c>
      <c r="C131" s="7">
        <v>3574.23</v>
      </c>
      <c r="D131" s="7">
        <v>7.01</v>
      </c>
      <c r="E131" s="7">
        <f>VLOOKUP(A131,[1]Sheet1!$A:$B,2,FALSE)</f>
        <v>6</v>
      </c>
      <c r="F131" s="10">
        <v>6</v>
      </c>
      <c r="G131" s="9">
        <v>0.144079885877318</v>
      </c>
    </row>
    <row r="132" spans="1:7">
      <c r="A132" s="7" t="s">
        <v>190</v>
      </c>
      <c r="B132" s="7" t="s">
        <v>11</v>
      </c>
      <c r="C132" s="7">
        <v>3517.67</v>
      </c>
      <c r="D132" s="7">
        <v>6.9</v>
      </c>
      <c r="E132" s="7">
        <f>VLOOKUP(A132,[1]Sheet1!$A:$B,2,FALSE)</f>
        <v>7</v>
      </c>
      <c r="F132" s="10">
        <v>10</v>
      </c>
      <c r="G132" s="9">
        <v>0.449275362318841</v>
      </c>
    </row>
    <row r="133" spans="1:7">
      <c r="A133" s="11" t="s">
        <v>191</v>
      </c>
      <c r="B133" s="11" t="s">
        <v>6</v>
      </c>
      <c r="C133" s="11">
        <v>1220.38</v>
      </c>
      <c r="D133" s="11">
        <v>2.39</v>
      </c>
      <c r="E133" s="7">
        <f>VLOOKUP(A133,[1]Sheet1!$A:$B,2,FALSE)</f>
        <v>2</v>
      </c>
      <c r="F133" s="12"/>
      <c r="G133" s="9">
        <v>1</v>
      </c>
    </row>
  </sheetData>
  <autoFilter ref="A1:G133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E26"/>
  <sheetViews>
    <sheetView workbookViewId="0">
      <selection activeCell="B15" sqref="B15"/>
    </sheetView>
  </sheetViews>
  <sheetFormatPr defaultColWidth="9" defaultRowHeight="14.4" outlineLevelCol="4"/>
  <cols>
    <col min="1" max="1" width="14.1111111111111" style="16" customWidth="1"/>
    <col min="2" max="2" width="32.1111111111111" customWidth="1"/>
    <col min="3" max="3" width="14.2222222222222" customWidth="1"/>
    <col min="4" max="4" width="16.4444444444444" customWidth="1"/>
  </cols>
  <sheetData>
    <row r="1" spans="1:5">
      <c r="A1" s="17" t="s">
        <v>23</v>
      </c>
      <c r="B1" s="13" t="s">
        <v>21</v>
      </c>
      <c r="C1" s="13" t="s">
        <v>40</v>
      </c>
      <c r="D1" s="13" t="s">
        <v>51</v>
      </c>
      <c r="E1" s="13" t="s">
        <v>41</v>
      </c>
    </row>
    <row r="2" spans="1:5">
      <c r="A2" s="18" t="s">
        <v>59</v>
      </c>
      <c r="B2" s="15" t="s">
        <v>192</v>
      </c>
      <c r="C2" s="15">
        <v>146.61</v>
      </c>
      <c r="D2" s="15">
        <v>245.29</v>
      </c>
      <c r="E2" s="15">
        <v>59.77</v>
      </c>
    </row>
    <row r="3" spans="1:5">
      <c r="A3" s="18"/>
      <c r="B3" s="15" t="s">
        <v>193</v>
      </c>
      <c r="C3" s="15">
        <v>30.82</v>
      </c>
      <c r="D3" s="15">
        <v>245.29</v>
      </c>
      <c r="E3" s="15">
        <v>12.56</v>
      </c>
    </row>
    <row r="4" spans="1:5">
      <c r="A4" s="18"/>
      <c r="B4" s="15" t="s">
        <v>38</v>
      </c>
      <c r="C4" s="15">
        <v>19.86</v>
      </c>
      <c r="D4" s="15">
        <v>245.29</v>
      </c>
      <c r="E4" s="15">
        <v>8.1</v>
      </c>
    </row>
    <row r="5" spans="1:5">
      <c r="A5" s="18"/>
      <c r="B5" s="15" t="s">
        <v>31</v>
      </c>
      <c r="C5" s="15">
        <v>14</v>
      </c>
      <c r="D5" s="15">
        <v>245.29</v>
      </c>
      <c r="E5" s="15">
        <v>5.71</v>
      </c>
    </row>
    <row r="6" spans="1:5">
      <c r="A6" s="18"/>
      <c r="B6" s="15" t="s">
        <v>28</v>
      </c>
      <c r="C6" s="15">
        <v>14</v>
      </c>
      <c r="D6" s="15">
        <v>245.29</v>
      </c>
      <c r="E6" s="15">
        <v>5.71</v>
      </c>
    </row>
    <row r="7" spans="1:5">
      <c r="A7" s="18"/>
      <c r="B7" s="15" t="s">
        <v>42</v>
      </c>
      <c r="C7" s="15">
        <v>10</v>
      </c>
      <c r="D7" s="15">
        <v>245.29</v>
      </c>
      <c r="E7" s="15">
        <v>4.08</v>
      </c>
    </row>
    <row r="8" spans="1:5">
      <c r="A8" s="18"/>
      <c r="B8" s="15" t="s">
        <v>34</v>
      </c>
      <c r="C8" s="15">
        <v>5</v>
      </c>
      <c r="D8" s="15">
        <v>245.29</v>
      </c>
      <c r="E8" s="15">
        <v>2.04</v>
      </c>
    </row>
    <row r="9" spans="1:5">
      <c r="A9" s="18"/>
      <c r="B9" s="15" t="s">
        <v>194</v>
      </c>
      <c r="C9" s="15">
        <v>5</v>
      </c>
      <c r="D9" s="15">
        <v>245.29</v>
      </c>
      <c r="E9" s="15">
        <v>2.04</v>
      </c>
    </row>
    <row r="10" spans="1:5">
      <c r="A10" s="18" t="s">
        <v>7</v>
      </c>
      <c r="B10" s="15" t="s">
        <v>192</v>
      </c>
      <c r="C10" s="15">
        <v>467.97</v>
      </c>
      <c r="D10" s="15">
        <v>480.97</v>
      </c>
      <c r="E10" s="15">
        <v>97.3</v>
      </c>
    </row>
    <row r="11" spans="1:5">
      <c r="A11" s="18"/>
      <c r="B11" s="15" t="s">
        <v>195</v>
      </c>
      <c r="C11" s="15">
        <v>10</v>
      </c>
      <c r="D11" s="15">
        <v>480.97</v>
      </c>
      <c r="E11" s="15">
        <v>2.08</v>
      </c>
    </row>
    <row r="12" spans="1:5">
      <c r="A12" s="18"/>
      <c r="B12" s="15" t="s">
        <v>36</v>
      </c>
      <c r="C12" s="15">
        <v>3</v>
      </c>
      <c r="D12" s="15">
        <v>480.97</v>
      </c>
      <c r="E12" s="15">
        <v>0.62</v>
      </c>
    </row>
    <row r="13" spans="1:5">
      <c r="A13" s="18" t="s">
        <v>6</v>
      </c>
      <c r="B13" s="15" t="s">
        <v>192</v>
      </c>
      <c r="C13" s="15">
        <v>1230.12</v>
      </c>
      <c r="D13" s="15">
        <v>1261.68</v>
      </c>
      <c r="E13" s="15">
        <v>97.5</v>
      </c>
    </row>
    <row r="14" spans="1:5">
      <c r="A14" s="18"/>
      <c r="B14" s="15" t="s">
        <v>42</v>
      </c>
      <c r="C14" s="15">
        <v>19.56</v>
      </c>
      <c r="D14" s="15">
        <v>1261.68</v>
      </c>
      <c r="E14" s="15">
        <v>1.55</v>
      </c>
    </row>
    <row r="15" spans="1:5">
      <c r="A15" s="18"/>
      <c r="B15" s="15" t="s">
        <v>196</v>
      </c>
      <c r="C15" s="15">
        <v>10</v>
      </c>
      <c r="D15" s="15">
        <v>1261.68</v>
      </c>
      <c r="E15" s="15">
        <v>0.79</v>
      </c>
    </row>
    <row r="16" spans="1:5">
      <c r="A16" s="18"/>
      <c r="B16" s="15" t="s">
        <v>38</v>
      </c>
      <c r="C16" s="15">
        <v>2</v>
      </c>
      <c r="D16" s="15">
        <v>1261.68</v>
      </c>
      <c r="E16" s="15">
        <v>0.16</v>
      </c>
    </row>
    <row r="17" spans="1:5">
      <c r="A17" s="18" t="s">
        <v>58</v>
      </c>
      <c r="B17" s="15" t="s">
        <v>192</v>
      </c>
      <c r="C17" s="15">
        <v>18.36</v>
      </c>
      <c r="D17" s="15">
        <v>37.48</v>
      </c>
      <c r="E17" s="15">
        <v>48.99</v>
      </c>
    </row>
    <row r="18" spans="1:5">
      <c r="A18" s="18"/>
      <c r="B18" s="15" t="s">
        <v>197</v>
      </c>
      <c r="C18" s="15">
        <v>12.16</v>
      </c>
      <c r="D18" s="15">
        <v>37.48</v>
      </c>
      <c r="E18" s="15">
        <v>32.44</v>
      </c>
    </row>
    <row r="19" spans="1:5">
      <c r="A19" s="18"/>
      <c r="B19" s="15" t="s">
        <v>45</v>
      </c>
      <c r="C19" s="15">
        <v>3.81</v>
      </c>
      <c r="D19" s="15">
        <v>37.48</v>
      </c>
      <c r="E19" s="15">
        <v>10.17</v>
      </c>
    </row>
    <row r="20" spans="1:5">
      <c r="A20" s="18"/>
      <c r="B20" s="15" t="s">
        <v>198</v>
      </c>
      <c r="C20" s="15">
        <v>3.15</v>
      </c>
      <c r="D20" s="15">
        <v>37.48</v>
      </c>
      <c r="E20" s="15">
        <v>8.4</v>
      </c>
    </row>
    <row r="21" spans="1:5">
      <c r="A21" s="18" t="s">
        <v>8</v>
      </c>
      <c r="B21" s="15" t="s">
        <v>192</v>
      </c>
      <c r="C21" s="15">
        <v>396.81</v>
      </c>
      <c r="D21" s="15">
        <v>396.81</v>
      </c>
      <c r="E21" s="15">
        <v>100</v>
      </c>
    </row>
    <row r="22" spans="1:5">
      <c r="A22" s="18" t="s">
        <v>11</v>
      </c>
      <c r="B22" s="15" t="s">
        <v>192</v>
      </c>
      <c r="C22" s="15">
        <v>46</v>
      </c>
      <c r="D22" s="15">
        <v>55</v>
      </c>
      <c r="E22" s="15">
        <v>83.64</v>
      </c>
    </row>
    <row r="23" spans="1:5">
      <c r="A23" s="18"/>
      <c r="B23" s="15" t="s">
        <v>194</v>
      </c>
      <c r="C23" s="15">
        <v>9</v>
      </c>
      <c r="D23" s="15">
        <v>55</v>
      </c>
      <c r="E23" s="15">
        <v>16.36</v>
      </c>
    </row>
    <row r="24" spans="1:5">
      <c r="A24" s="18" t="s">
        <v>56</v>
      </c>
      <c r="B24" s="15" t="s">
        <v>199</v>
      </c>
      <c r="C24" s="15">
        <v>66.31</v>
      </c>
      <c r="D24" s="15">
        <v>91.3</v>
      </c>
      <c r="E24" s="15">
        <v>72.63</v>
      </c>
    </row>
    <row r="25" spans="1:5">
      <c r="A25" s="18"/>
      <c r="B25" s="15" t="s">
        <v>200</v>
      </c>
      <c r="C25" s="15">
        <v>20</v>
      </c>
      <c r="D25" s="15">
        <v>91.3</v>
      </c>
      <c r="E25" s="15">
        <v>21.91</v>
      </c>
    </row>
    <row r="26" spans="1:5">
      <c r="A26" s="18"/>
      <c r="B26" s="15" t="s">
        <v>45</v>
      </c>
      <c r="C26" s="15">
        <v>4.99</v>
      </c>
      <c r="D26" s="15">
        <v>91.3</v>
      </c>
      <c r="E26" s="15">
        <v>5.47</v>
      </c>
    </row>
  </sheetData>
  <mergeCells count="6">
    <mergeCell ref="A2:A9"/>
    <mergeCell ref="A10:A12"/>
    <mergeCell ref="A13:A16"/>
    <mergeCell ref="A17:A20"/>
    <mergeCell ref="A22:A23"/>
    <mergeCell ref="A24:A2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P8"/>
  <sheetViews>
    <sheetView workbookViewId="0">
      <selection activeCell="B13" sqref="B13"/>
    </sheetView>
  </sheetViews>
  <sheetFormatPr defaultColWidth="9" defaultRowHeight="14.4" outlineLevelRow="7"/>
  <cols>
    <col min="1" max="1" width="14.8888888888889" customWidth="1"/>
    <col min="2" max="15" width="13.25" customWidth="1"/>
  </cols>
  <sheetData>
    <row r="1" spans="1:16">
      <c r="A1" s="13" t="s">
        <v>23</v>
      </c>
      <c r="B1" s="14">
        <v>46093</v>
      </c>
      <c r="C1" s="14">
        <v>46094</v>
      </c>
      <c r="D1" s="14">
        <v>46095</v>
      </c>
      <c r="E1" s="14">
        <v>46096</v>
      </c>
      <c r="F1" s="14">
        <v>46097</v>
      </c>
      <c r="G1" s="14">
        <v>46098</v>
      </c>
      <c r="H1" s="14">
        <v>46099</v>
      </c>
      <c r="I1" s="14">
        <v>46100</v>
      </c>
      <c r="J1" s="14">
        <v>46101</v>
      </c>
      <c r="K1" s="14">
        <v>46102</v>
      </c>
      <c r="L1" s="14">
        <v>46103</v>
      </c>
      <c r="M1" s="14">
        <v>46104</v>
      </c>
      <c r="N1" s="14">
        <v>46105</v>
      </c>
      <c r="O1" s="14">
        <v>46106</v>
      </c>
      <c r="P1" s="13" t="s">
        <v>24</v>
      </c>
    </row>
    <row r="2" spans="1:16">
      <c r="A2" s="13" t="s">
        <v>6</v>
      </c>
      <c r="B2" s="15">
        <v>138.35</v>
      </c>
      <c r="C2" s="15">
        <v>135.62</v>
      </c>
      <c r="D2" s="15">
        <v>6.18</v>
      </c>
      <c r="E2" s="15">
        <v>7.07</v>
      </c>
      <c r="F2" s="15">
        <v>127.82</v>
      </c>
      <c r="G2" s="15">
        <v>134.64</v>
      </c>
      <c r="H2" s="15">
        <v>138.85</v>
      </c>
      <c r="I2" s="15">
        <v>142.64</v>
      </c>
      <c r="J2" s="15">
        <v>132.85</v>
      </c>
      <c r="K2" s="15">
        <v>16.18</v>
      </c>
      <c r="L2" s="15">
        <v>5.49</v>
      </c>
      <c r="M2" s="15">
        <v>98.43</v>
      </c>
      <c r="N2" s="15">
        <v>93.58</v>
      </c>
      <c r="O2" s="15">
        <v>84</v>
      </c>
      <c r="P2" s="15">
        <v>1261.7</v>
      </c>
    </row>
    <row r="3" spans="1:16">
      <c r="A3" s="13" t="s">
        <v>7</v>
      </c>
      <c r="B3" s="15">
        <v>49.19</v>
      </c>
      <c r="C3" s="15">
        <v>52.93</v>
      </c>
      <c r="D3" s="15">
        <v>0</v>
      </c>
      <c r="E3" s="15">
        <v>0</v>
      </c>
      <c r="F3" s="15">
        <v>49.96</v>
      </c>
      <c r="G3" s="15">
        <v>51.21</v>
      </c>
      <c r="H3" s="15">
        <v>51.25</v>
      </c>
      <c r="I3" s="15">
        <v>52.07</v>
      </c>
      <c r="J3" s="15">
        <v>48.09</v>
      </c>
      <c r="K3" s="15">
        <v>8.47</v>
      </c>
      <c r="L3" s="15">
        <v>3.12</v>
      </c>
      <c r="M3" s="15">
        <v>39.32</v>
      </c>
      <c r="N3" s="15">
        <v>39.29</v>
      </c>
      <c r="O3" s="15">
        <v>36.06</v>
      </c>
      <c r="P3" s="15">
        <v>480.96</v>
      </c>
    </row>
    <row r="4" spans="1:16">
      <c r="A4" s="13" t="s">
        <v>8</v>
      </c>
      <c r="B4" s="15">
        <v>42.52</v>
      </c>
      <c r="C4" s="15">
        <v>41.04</v>
      </c>
      <c r="D4" s="15">
        <v>3</v>
      </c>
      <c r="E4" s="15">
        <v>1</v>
      </c>
      <c r="F4" s="15">
        <v>42.18</v>
      </c>
      <c r="G4" s="15">
        <v>42.15</v>
      </c>
      <c r="H4" s="15">
        <v>42.21</v>
      </c>
      <c r="I4" s="15">
        <v>43.69</v>
      </c>
      <c r="J4" s="15">
        <v>41.56</v>
      </c>
      <c r="K4" s="15">
        <v>0</v>
      </c>
      <c r="L4" s="15">
        <v>0</v>
      </c>
      <c r="M4" s="15">
        <v>36.5</v>
      </c>
      <c r="N4" s="15">
        <v>31.48</v>
      </c>
      <c r="O4" s="15">
        <v>29.49</v>
      </c>
      <c r="P4" s="15">
        <v>396.82</v>
      </c>
    </row>
    <row r="5" spans="1:16">
      <c r="A5" s="13" t="s">
        <v>59</v>
      </c>
      <c r="B5" s="15">
        <v>25.71</v>
      </c>
      <c r="C5" s="15">
        <v>25.89</v>
      </c>
      <c r="D5" s="15">
        <v>1.04</v>
      </c>
      <c r="E5" s="15">
        <v>0</v>
      </c>
      <c r="F5" s="15">
        <v>23.85</v>
      </c>
      <c r="G5" s="15">
        <v>26.05</v>
      </c>
      <c r="H5" s="15">
        <v>25</v>
      </c>
      <c r="I5" s="15">
        <v>22.75</v>
      </c>
      <c r="J5" s="15">
        <v>24.19</v>
      </c>
      <c r="K5" s="15">
        <v>2.74</v>
      </c>
      <c r="L5" s="15">
        <v>1.1</v>
      </c>
      <c r="M5" s="15">
        <v>22.01</v>
      </c>
      <c r="N5" s="15">
        <v>22.92</v>
      </c>
      <c r="O5" s="15">
        <v>22.03</v>
      </c>
      <c r="P5" s="15">
        <v>245.28</v>
      </c>
    </row>
    <row r="6" spans="1:16">
      <c r="A6" s="13" t="s">
        <v>56</v>
      </c>
      <c r="B6" s="15">
        <v>10.08</v>
      </c>
      <c r="C6" s="15">
        <v>10</v>
      </c>
      <c r="D6" s="15">
        <v>0</v>
      </c>
      <c r="E6" s="15">
        <v>0</v>
      </c>
      <c r="F6" s="15">
        <v>10</v>
      </c>
      <c r="G6" s="15">
        <v>10</v>
      </c>
      <c r="H6" s="15">
        <v>9</v>
      </c>
      <c r="I6" s="15">
        <v>8.02</v>
      </c>
      <c r="J6" s="15">
        <v>8</v>
      </c>
      <c r="K6" s="15">
        <v>0</v>
      </c>
      <c r="L6" s="15">
        <v>0</v>
      </c>
      <c r="M6" s="15">
        <v>6.19</v>
      </c>
      <c r="N6" s="15">
        <v>10.02</v>
      </c>
      <c r="O6" s="15">
        <v>10</v>
      </c>
      <c r="P6" s="15">
        <v>91.31</v>
      </c>
    </row>
    <row r="7" spans="1:16">
      <c r="A7" s="13" t="s">
        <v>11</v>
      </c>
      <c r="B7" s="15">
        <v>5</v>
      </c>
      <c r="C7" s="15">
        <v>6</v>
      </c>
      <c r="D7" s="15">
        <v>0</v>
      </c>
      <c r="E7" s="15">
        <v>0</v>
      </c>
      <c r="F7" s="15">
        <v>6</v>
      </c>
      <c r="G7" s="15">
        <v>6</v>
      </c>
      <c r="H7" s="15">
        <v>6</v>
      </c>
      <c r="I7" s="15">
        <v>6</v>
      </c>
      <c r="J7" s="15">
        <v>6</v>
      </c>
      <c r="K7" s="15">
        <v>0</v>
      </c>
      <c r="L7" s="15">
        <v>0</v>
      </c>
      <c r="M7" s="15">
        <v>5</v>
      </c>
      <c r="N7" s="15">
        <v>5</v>
      </c>
      <c r="O7" s="15">
        <v>4</v>
      </c>
      <c r="P7" s="15">
        <v>55</v>
      </c>
    </row>
    <row r="8" spans="1:16">
      <c r="A8" s="13" t="s">
        <v>58</v>
      </c>
      <c r="B8" s="15">
        <v>3.07</v>
      </c>
      <c r="C8" s="15">
        <v>4.12</v>
      </c>
      <c r="D8" s="15">
        <v>0</v>
      </c>
      <c r="E8" s="15">
        <v>0</v>
      </c>
      <c r="F8" s="15">
        <v>3</v>
      </c>
      <c r="G8" s="15">
        <v>4.32</v>
      </c>
      <c r="H8" s="15">
        <v>4.21</v>
      </c>
      <c r="I8" s="15">
        <v>4.28</v>
      </c>
      <c r="J8" s="15">
        <v>4.41</v>
      </c>
      <c r="K8" s="15">
        <v>0</v>
      </c>
      <c r="L8" s="15">
        <v>0</v>
      </c>
      <c r="M8" s="15">
        <v>3</v>
      </c>
      <c r="N8" s="15">
        <v>4.06</v>
      </c>
      <c r="O8" s="15">
        <v>3</v>
      </c>
      <c r="P8" s="15">
        <v>37.47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8"/>
  <dimension ref="A1:F239"/>
  <sheetViews>
    <sheetView topLeftCell="A169" workbookViewId="0">
      <selection activeCell="A1" sqref="A1:F239"/>
    </sheetView>
  </sheetViews>
  <sheetFormatPr defaultColWidth="8.88888888888889" defaultRowHeight="14.4" outlineLevelCol="5"/>
  <cols>
    <col min="2" max="2" width="14.1111111111111" customWidth="1"/>
    <col min="3" max="3" width="14.8888888888889" customWidth="1"/>
    <col min="4" max="4" width="12.5555555555556" customWidth="1"/>
    <col min="5" max="5" width="12.8888888888889" style="2"/>
    <col min="6" max="6" width="14.1111111111111" style="3"/>
  </cols>
  <sheetData>
    <row r="1" spans="1:6">
      <c r="A1" s="4" t="s">
        <v>13</v>
      </c>
      <c r="B1" s="4" t="s">
        <v>1</v>
      </c>
      <c r="C1" s="4" t="s">
        <v>14</v>
      </c>
      <c r="D1" s="4" t="s">
        <v>15</v>
      </c>
      <c r="E1" s="5" t="s">
        <v>16</v>
      </c>
      <c r="F1" s="6" t="s">
        <v>17</v>
      </c>
    </row>
    <row r="2" spans="1:6">
      <c r="A2" s="7" t="s">
        <v>63</v>
      </c>
      <c r="B2" s="7" t="s">
        <v>10</v>
      </c>
      <c r="C2" s="7">
        <v>9184.08</v>
      </c>
      <c r="D2" s="7">
        <v>18.01</v>
      </c>
      <c r="E2" s="8">
        <v>10</v>
      </c>
      <c r="F2" s="9">
        <f>ABS(E2/D2-1)</f>
        <v>0.444752915047196</v>
      </c>
    </row>
    <row r="3" spans="1:6">
      <c r="A3" s="7" t="s">
        <v>64</v>
      </c>
      <c r="B3" s="7" t="s">
        <v>9</v>
      </c>
      <c r="C3" s="7">
        <v>8351.78</v>
      </c>
      <c r="D3" s="7">
        <v>16.38</v>
      </c>
      <c r="E3" s="10">
        <v>12.0000117647059</v>
      </c>
      <c r="F3" s="9">
        <f t="shared" ref="F3:F66" si="0">ABS(E3/D3-1)</f>
        <v>0.267398549163254</v>
      </c>
    </row>
    <row r="4" hidden="1" spans="1:6">
      <c r="A4" s="7" t="s">
        <v>201</v>
      </c>
      <c r="B4" s="7" t="s">
        <v>59</v>
      </c>
      <c r="C4" s="7">
        <v>8030.03</v>
      </c>
      <c r="D4" s="7">
        <v>15.75</v>
      </c>
      <c r="E4" s="8" t="e">
        <v>#N/A</v>
      </c>
      <c r="F4" s="9" t="e">
        <f t="shared" si="0"/>
        <v>#N/A</v>
      </c>
    </row>
    <row r="5" spans="1:6">
      <c r="A5" s="7" t="s">
        <v>65</v>
      </c>
      <c r="B5" s="7" t="s">
        <v>6</v>
      </c>
      <c r="C5" s="7">
        <v>7662.5</v>
      </c>
      <c r="D5" s="7">
        <v>15.02</v>
      </c>
      <c r="E5" s="8">
        <v>9</v>
      </c>
      <c r="F5" s="9">
        <f t="shared" si="0"/>
        <v>0.400798934753662</v>
      </c>
    </row>
    <row r="6" spans="1:6">
      <c r="A6" s="7" t="s">
        <v>66</v>
      </c>
      <c r="B6" s="7" t="s">
        <v>6</v>
      </c>
      <c r="C6" s="7">
        <v>7655.7</v>
      </c>
      <c r="D6" s="7">
        <v>15.01</v>
      </c>
      <c r="E6" s="8">
        <v>9.70591764705882</v>
      </c>
      <c r="F6" s="9">
        <f t="shared" si="0"/>
        <v>0.353369910255908</v>
      </c>
    </row>
    <row r="7" spans="1:6">
      <c r="A7" s="7" t="s">
        <v>18</v>
      </c>
      <c r="B7" s="7" t="s">
        <v>9</v>
      </c>
      <c r="C7" s="7">
        <v>7561.52</v>
      </c>
      <c r="D7" s="7">
        <v>14.83</v>
      </c>
      <c r="E7" s="10"/>
      <c r="F7" s="9">
        <f t="shared" si="0"/>
        <v>1</v>
      </c>
    </row>
    <row r="8" spans="1:6">
      <c r="A8" s="7" t="s">
        <v>67</v>
      </c>
      <c r="B8" s="7" t="s">
        <v>7</v>
      </c>
      <c r="C8" s="7">
        <v>7529.32</v>
      </c>
      <c r="D8" s="7">
        <v>14.76</v>
      </c>
      <c r="E8" s="10">
        <v>4</v>
      </c>
      <c r="F8" s="9">
        <f t="shared" si="0"/>
        <v>0.7289972899729</v>
      </c>
    </row>
    <row r="9" spans="1:6">
      <c r="A9" s="7" t="s">
        <v>68</v>
      </c>
      <c r="B9" s="7" t="s">
        <v>6</v>
      </c>
      <c r="C9" s="7">
        <v>7436.13</v>
      </c>
      <c r="D9" s="7">
        <v>14.58</v>
      </c>
      <c r="E9" s="8">
        <v>8.00003529411765</v>
      </c>
      <c r="F9" s="9">
        <f t="shared" si="0"/>
        <v>0.451300734285484</v>
      </c>
    </row>
    <row r="10" spans="1:6">
      <c r="A10" s="7" t="s">
        <v>69</v>
      </c>
      <c r="B10" s="7" t="s">
        <v>11</v>
      </c>
      <c r="C10" s="7">
        <v>7414.28</v>
      </c>
      <c r="D10" s="7">
        <v>14.54</v>
      </c>
      <c r="E10" s="10">
        <v>9</v>
      </c>
      <c r="F10" s="9">
        <f t="shared" si="0"/>
        <v>0.38101788170564</v>
      </c>
    </row>
    <row r="11" spans="1:6">
      <c r="A11" s="7" t="s">
        <v>202</v>
      </c>
      <c r="B11" s="7" t="s">
        <v>9</v>
      </c>
      <c r="C11" s="7">
        <v>7366.35</v>
      </c>
      <c r="D11" s="7">
        <v>14.44</v>
      </c>
      <c r="E11" s="10"/>
      <c r="F11" s="9">
        <f t="shared" si="0"/>
        <v>1</v>
      </c>
    </row>
    <row r="12" spans="1:6">
      <c r="A12" s="7" t="s">
        <v>70</v>
      </c>
      <c r="B12" s="7" t="s">
        <v>7</v>
      </c>
      <c r="C12" s="7">
        <v>7254.87</v>
      </c>
      <c r="D12" s="7">
        <v>14.23</v>
      </c>
      <c r="E12" s="8">
        <v>11</v>
      </c>
      <c r="F12" s="9">
        <f t="shared" si="0"/>
        <v>0.226985242445538</v>
      </c>
    </row>
    <row r="13" spans="1:6">
      <c r="A13" s="7" t="s">
        <v>71</v>
      </c>
      <c r="B13" s="7" t="s">
        <v>10</v>
      </c>
      <c r="C13" s="7">
        <v>7237.52</v>
      </c>
      <c r="D13" s="7">
        <v>14.19</v>
      </c>
      <c r="E13" s="10">
        <v>9</v>
      </c>
      <c r="F13" s="9">
        <f t="shared" si="0"/>
        <v>0.365750528541226</v>
      </c>
    </row>
    <row r="14" spans="1:6">
      <c r="A14" s="7" t="s">
        <v>72</v>
      </c>
      <c r="B14" s="7" t="s">
        <v>10</v>
      </c>
      <c r="C14" s="7">
        <v>7199.8</v>
      </c>
      <c r="D14" s="7">
        <v>14.12</v>
      </c>
      <c r="E14" s="10">
        <v>5.99998823529412</v>
      </c>
      <c r="F14" s="9">
        <f t="shared" si="0"/>
        <v>0.575071654724212</v>
      </c>
    </row>
    <row r="15" spans="1:6">
      <c r="A15" s="7" t="s">
        <v>73</v>
      </c>
      <c r="B15" s="7" t="s">
        <v>7</v>
      </c>
      <c r="C15" s="7">
        <v>7195.4</v>
      </c>
      <c r="D15" s="7">
        <v>14.11</v>
      </c>
      <c r="E15" s="8">
        <v>10.0980352941176</v>
      </c>
      <c r="F15" s="9">
        <f t="shared" si="0"/>
        <v>0.284334848042693</v>
      </c>
    </row>
    <row r="16" spans="1:6">
      <c r="A16" s="7" t="s">
        <v>74</v>
      </c>
      <c r="B16" s="7" t="s">
        <v>10</v>
      </c>
      <c r="C16" s="7">
        <v>7189.72</v>
      </c>
      <c r="D16" s="7">
        <v>14.1</v>
      </c>
      <c r="E16" s="8">
        <v>10</v>
      </c>
      <c r="F16" s="9">
        <f t="shared" si="0"/>
        <v>0.290780141843972</v>
      </c>
    </row>
    <row r="17" hidden="1" spans="1:6">
      <c r="A17" s="7" t="s">
        <v>203</v>
      </c>
      <c r="B17" s="7" t="s">
        <v>59</v>
      </c>
      <c r="C17" s="7">
        <v>7154.97</v>
      </c>
      <c r="D17" s="7">
        <v>14.03</v>
      </c>
      <c r="E17" s="8" t="e">
        <v>#N/A</v>
      </c>
      <c r="F17" s="9" t="e">
        <f t="shared" si="0"/>
        <v>#N/A</v>
      </c>
    </row>
    <row r="18" spans="1:6">
      <c r="A18" s="7" t="s">
        <v>75</v>
      </c>
      <c r="B18" s="7" t="s">
        <v>6</v>
      </c>
      <c r="C18" s="7">
        <v>7152.15</v>
      </c>
      <c r="D18" s="7">
        <v>14.02</v>
      </c>
      <c r="E18" s="10">
        <v>8</v>
      </c>
      <c r="F18" s="9">
        <f t="shared" si="0"/>
        <v>0.429386590584879</v>
      </c>
    </row>
    <row r="19" spans="1:6">
      <c r="A19" s="7" t="s">
        <v>76</v>
      </c>
      <c r="B19" s="7" t="s">
        <v>6</v>
      </c>
      <c r="C19" s="7">
        <v>7082.28</v>
      </c>
      <c r="D19" s="7">
        <v>13.89</v>
      </c>
      <c r="E19" s="8">
        <v>8.77451764705882</v>
      </c>
      <c r="F19" s="9">
        <f t="shared" si="0"/>
        <v>0.368285266590438</v>
      </c>
    </row>
    <row r="20" hidden="1" spans="1:6">
      <c r="A20" s="7" t="s">
        <v>204</v>
      </c>
      <c r="B20" s="7" t="s">
        <v>56</v>
      </c>
      <c r="C20" s="7">
        <v>7073.57</v>
      </c>
      <c r="D20" s="7">
        <v>13.87</v>
      </c>
      <c r="E20" s="8" t="e">
        <v>#N/A</v>
      </c>
      <c r="F20" s="9" t="e">
        <f t="shared" si="0"/>
        <v>#N/A</v>
      </c>
    </row>
    <row r="21" spans="1:6">
      <c r="A21" s="7" t="s">
        <v>77</v>
      </c>
      <c r="B21" s="7" t="s">
        <v>6</v>
      </c>
      <c r="C21" s="7">
        <v>7067.18</v>
      </c>
      <c r="D21" s="7">
        <v>13.86</v>
      </c>
      <c r="E21" s="8">
        <v>10.8235294117647</v>
      </c>
      <c r="F21" s="9">
        <f t="shared" si="0"/>
        <v>0.219081572022749</v>
      </c>
    </row>
    <row r="22" spans="1:6">
      <c r="A22" s="7" t="s">
        <v>78</v>
      </c>
      <c r="B22" s="7" t="s">
        <v>6</v>
      </c>
      <c r="C22" s="7">
        <v>7064.65</v>
      </c>
      <c r="D22" s="7">
        <v>13.85</v>
      </c>
      <c r="E22" s="10">
        <v>6</v>
      </c>
      <c r="F22" s="9">
        <f t="shared" si="0"/>
        <v>0.566787003610108</v>
      </c>
    </row>
    <row r="23" hidden="1" spans="1:6">
      <c r="A23" s="7" t="s">
        <v>205</v>
      </c>
      <c r="B23" s="7" t="s">
        <v>59</v>
      </c>
      <c r="C23" s="7">
        <v>7064.28</v>
      </c>
      <c r="D23" s="7">
        <v>13.85</v>
      </c>
      <c r="E23" s="8" t="e">
        <v>#N/A</v>
      </c>
      <c r="F23" s="9" t="e">
        <f t="shared" si="0"/>
        <v>#N/A</v>
      </c>
    </row>
    <row r="24" hidden="1" spans="1:6">
      <c r="A24" s="7" t="s">
        <v>206</v>
      </c>
      <c r="B24" s="7" t="s">
        <v>60</v>
      </c>
      <c r="C24" s="7">
        <v>7063.37</v>
      </c>
      <c r="D24" s="7">
        <v>13.85</v>
      </c>
      <c r="E24" s="8" t="e">
        <v>#N/A</v>
      </c>
      <c r="F24" s="9" t="e">
        <f t="shared" si="0"/>
        <v>#N/A</v>
      </c>
    </row>
    <row r="25" spans="1:6">
      <c r="A25" s="7" t="s">
        <v>207</v>
      </c>
      <c r="B25" s="7" t="s">
        <v>6</v>
      </c>
      <c r="C25" s="7">
        <v>7011.47</v>
      </c>
      <c r="D25" s="7">
        <v>13.75</v>
      </c>
      <c r="E25" s="8"/>
      <c r="F25" s="9">
        <f t="shared" si="0"/>
        <v>1</v>
      </c>
    </row>
    <row r="26" hidden="1" spans="1:6">
      <c r="A26" s="7" t="s">
        <v>208</v>
      </c>
      <c r="B26" s="7" t="s">
        <v>56</v>
      </c>
      <c r="C26" s="7">
        <v>7003.15</v>
      </c>
      <c r="D26" s="7">
        <v>13.73</v>
      </c>
      <c r="E26" s="8" t="e">
        <v>#N/A</v>
      </c>
      <c r="F26" s="9" t="e">
        <f t="shared" si="0"/>
        <v>#N/A</v>
      </c>
    </row>
    <row r="27" spans="1:6">
      <c r="A27" s="7" t="s">
        <v>79</v>
      </c>
      <c r="B27" s="7" t="s">
        <v>6</v>
      </c>
      <c r="C27" s="7">
        <v>7001.17</v>
      </c>
      <c r="D27" s="7">
        <v>13.73</v>
      </c>
      <c r="E27" s="8">
        <v>8.99998823529412</v>
      </c>
      <c r="F27" s="9">
        <f t="shared" si="0"/>
        <v>0.344501949359496</v>
      </c>
    </row>
    <row r="28" spans="1:6">
      <c r="A28" s="7" t="s">
        <v>80</v>
      </c>
      <c r="B28" s="7" t="s">
        <v>6</v>
      </c>
      <c r="C28" s="7">
        <v>6981.28</v>
      </c>
      <c r="D28" s="7">
        <v>13.69</v>
      </c>
      <c r="E28" s="10">
        <v>5</v>
      </c>
      <c r="F28" s="9">
        <f t="shared" si="0"/>
        <v>0.634769905040175</v>
      </c>
    </row>
    <row r="29" spans="1:6">
      <c r="A29" s="7" t="s">
        <v>81</v>
      </c>
      <c r="B29" s="7" t="s">
        <v>10</v>
      </c>
      <c r="C29" s="7">
        <v>6964.1</v>
      </c>
      <c r="D29" s="7">
        <v>13.66</v>
      </c>
      <c r="E29" s="10">
        <v>5.99998823529412</v>
      </c>
      <c r="F29" s="9">
        <f t="shared" si="0"/>
        <v>0.560762208250796</v>
      </c>
    </row>
    <row r="30" spans="1:6">
      <c r="A30" s="7" t="s">
        <v>82</v>
      </c>
      <c r="B30" s="7" t="s">
        <v>6</v>
      </c>
      <c r="C30" s="7">
        <v>6949.23</v>
      </c>
      <c r="D30" s="7">
        <v>13.63</v>
      </c>
      <c r="E30" s="8">
        <v>9.99995294117647</v>
      </c>
      <c r="F30" s="9">
        <f t="shared" si="0"/>
        <v>0.266327737257779</v>
      </c>
    </row>
    <row r="31" spans="1:6">
      <c r="A31" s="7" t="s">
        <v>83</v>
      </c>
      <c r="B31" s="7" t="s">
        <v>7</v>
      </c>
      <c r="C31" s="7">
        <v>6916.78</v>
      </c>
      <c r="D31" s="7">
        <v>13.56</v>
      </c>
      <c r="E31" s="10">
        <v>7.86274117647059</v>
      </c>
      <c r="F31" s="9">
        <f t="shared" si="0"/>
        <v>0.420151830643762</v>
      </c>
    </row>
    <row r="32" hidden="1" spans="1:6">
      <c r="A32" s="7" t="s">
        <v>209</v>
      </c>
      <c r="B32" s="7" t="s">
        <v>60</v>
      </c>
      <c r="C32" s="7">
        <v>6891.67</v>
      </c>
      <c r="D32" s="7">
        <v>13.51</v>
      </c>
      <c r="E32" s="8" t="e">
        <v>#N/A</v>
      </c>
      <c r="F32" s="9" t="e">
        <f t="shared" si="0"/>
        <v>#N/A</v>
      </c>
    </row>
    <row r="33" spans="1:6">
      <c r="A33" s="7" t="s">
        <v>84</v>
      </c>
      <c r="B33" s="7" t="s">
        <v>9</v>
      </c>
      <c r="C33" s="7">
        <v>6828.1</v>
      </c>
      <c r="D33" s="7">
        <v>13.39</v>
      </c>
      <c r="E33" s="10">
        <v>9</v>
      </c>
      <c r="F33" s="9">
        <f t="shared" si="0"/>
        <v>0.327856609410007</v>
      </c>
    </row>
    <row r="34" hidden="1" spans="1:6">
      <c r="A34" s="7" t="s">
        <v>210</v>
      </c>
      <c r="B34" s="7" t="s">
        <v>60</v>
      </c>
      <c r="C34" s="7">
        <v>6813.37</v>
      </c>
      <c r="D34" s="7">
        <v>13.36</v>
      </c>
      <c r="E34" s="8" t="e">
        <v>#N/A</v>
      </c>
      <c r="F34" s="9" t="e">
        <f t="shared" si="0"/>
        <v>#N/A</v>
      </c>
    </row>
    <row r="35" spans="1:6">
      <c r="A35" s="7" t="s">
        <v>85</v>
      </c>
      <c r="B35" s="7" t="s">
        <v>10</v>
      </c>
      <c r="C35" s="7">
        <v>6797.47</v>
      </c>
      <c r="D35" s="7">
        <v>13.33</v>
      </c>
      <c r="E35" s="8">
        <v>10</v>
      </c>
      <c r="F35" s="9">
        <f t="shared" si="0"/>
        <v>0.249812453113278</v>
      </c>
    </row>
    <row r="36" spans="1:6">
      <c r="A36" s="7" t="s">
        <v>86</v>
      </c>
      <c r="B36" s="7" t="s">
        <v>7</v>
      </c>
      <c r="C36" s="7">
        <v>6750.78</v>
      </c>
      <c r="D36" s="7">
        <v>13.24</v>
      </c>
      <c r="E36" s="8">
        <v>10.0000117647059</v>
      </c>
      <c r="F36" s="9">
        <f t="shared" si="0"/>
        <v>0.244712102363603</v>
      </c>
    </row>
    <row r="37" spans="1:6">
      <c r="A37" s="7" t="s">
        <v>211</v>
      </c>
      <c r="B37" s="7" t="s">
        <v>6</v>
      </c>
      <c r="C37" s="7">
        <v>6702.43</v>
      </c>
      <c r="D37" s="7">
        <v>13.14</v>
      </c>
      <c r="E37" s="8"/>
      <c r="F37" s="9">
        <f t="shared" si="0"/>
        <v>1</v>
      </c>
    </row>
    <row r="38" hidden="1" spans="1:6">
      <c r="A38" s="7" t="s">
        <v>212</v>
      </c>
      <c r="B38" s="7" t="s">
        <v>60</v>
      </c>
      <c r="C38" s="7">
        <v>6636.6</v>
      </c>
      <c r="D38" s="7">
        <v>13.01</v>
      </c>
      <c r="E38" s="8" t="e">
        <v>#N/A</v>
      </c>
      <c r="F38" s="9" t="e">
        <f t="shared" si="0"/>
        <v>#N/A</v>
      </c>
    </row>
    <row r="39" spans="1:6">
      <c r="A39" s="7" t="s">
        <v>87</v>
      </c>
      <c r="B39" s="7" t="s">
        <v>6</v>
      </c>
      <c r="C39" s="7">
        <v>6624.58</v>
      </c>
      <c r="D39" s="7">
        <v>12.99</v>
      </c>
      <c r="E39" s="8">
        <v>9.99995294117647</v>
      </c>
      <c r="F39" s="9">
        <f t="shared" si="0"/>
        <v>0.230180681972558</v>
      </c>
    </row>
    <row r="40" hidden="1" spans="1:6">
      <c r="A40" s="7" t="s">
        <v>213</v>
      </c>
      <c r="B40" s="7" t="s">
        <v>60</v>
      </c>
      <c r="C40" s="7">
        <v>6612.13</v>
      </c>
      <c r="D40" s="7">
        <v>12.96</v>
      </c>
      <c r="E40" s="8" t="e">
        <v>#N/A</v>
      </c>
      <c r="F40" s="9" t="e">
        <f t="shared" si="0"/>
        <v>#N/A</v>
      </c>
    </row>
    <row r="41" spans="1:6">
      <c r="A41" s="7" t="s">
        <v>88</v>
      </c>
      <c r="B41" s="7" t="s">
        <v>7</v>
      </c>
      <c r="C41" s="7">
        <v>6585.52</v>
      </c>
      <c r="D41" s="7">
        <v>12.91</v>
      </c>
      <c r="E41" s="8">
        <v>10</v>
      </c>
      <c r="F41" s="9">
        <f t="shared" si="0"/>
        <v>0.225406661502711</v>
      </c>
    </row>
    <row r="42" spans="1:6">
      <c r="A42" s="7" t="s">
        <v>89</v>
      </c>
      <c r="B42" s="7" t="s">
        <v>7</v>
      </c>
      <c r="C42" s="7">
        <v>6550.33</v>
      </c>
      <c r="D42" s="7">
        <v>12.84</v>
      </c>
      <c r="E42" s="8">
        <v>9.88235294117647</v>
      </c>
      <c r="F42" s="9">
        <f t="shared" si="0"/>
        <v>0.230346344145135</v>
      </c>
    </row>
    <row r="43" spans="1:6">
      <c r="A43" s="7" t="s">
        <v>90</v>
      </c>
      <c r="B43" s="7" t="s">
        <v>6</v>
      </c>
      <c r="C43" s="7">
        <v>6525.27</v>
      </c>
      <c r="D43" s="7">
        <v>12.79</v>
      </c>
      <c r="E43" s="10">
        <v>6.99991764705882</v>
      </c>
      <c r="F43" s="9">
        <f t="shared" si="0"/>
        <v>0.452703858713149</v>
      </c>
    </row>
    <row r="44" spans="1:6">
      <c r="A44" s="7" t="s">
        <v>91</v>
      </c>
      <c r="B44" s="7" t="s">
        <v>6</v>
      </c>
      <c r="C44" s="7">
        <v>6517.45</v>
      </c>
      <c r="D44" s="7">
        <v>12.78</v>
      </c>
      <c r="E44" s="8">
        <v>10.0588</v>
      </c>
      <c r="F44" s="9">
        <f t="shared" si="0"/>
        <v>0.212926447574335</v>
      </c>
    </row>
    <row r="45" spans="1:6">
      <c r="A45" s="7" t="s">
        <v>92</v>
      </c>
      <c r="B45" s="7" t="s">
        <v>8</v>
      </c>
      <c r="C45" s="7">
        <v>6511.07</v>
      </c>
      <c r="D45" s="7">
        <v>12.77</v>
      </c>
      <c r="E45" s="8">
        <v>9.99998823529412</v>
      </c>
      <c r="F45" s="9">
        <f t="shared" si="0"/>
        <v>0.216915564973052</v>
      </c>
    </row>
    <row r="46" hidden="1" spans="1:6">
      <c r="A46" s="7" t="s">
        <v>214</v>
      </c>
      <c r="B46" s="7" t="s">
        <v>60</v>
      </c>
      <c r="C46" s="7">
        <v>6467.08</v>
      </c>
      <c r="D46" s="7">
        <v>12.68</v>
      </c>
      <c r="E46" s="8" t="e">
        <v>#N/A</v>
      </c>
      <c r="F46" s="9" t="e">
        <f t="shared" si="0"/>
        <v>#N/A</v>
      </c>
    </row>
    <row r="47" spans="1:6">
      <c r="A47" s="7" t="s">
        <v>93</v>
      </c>
      <c r="B47" s="7" t="s">
        <v>6</v>
      </c>
      <c r="C47" s="7">
        <v>6463.47</v>
      </c>
      <c r="D47" s="7">
        <v>12.67</v>
      </c>
      <c r="E47" s="8">
        <v>9.00001176470588</v>
      </c>
      <c r="F47" s="9">
        <f t="shared" si="0"/>
        <v>0.289659687079252</v>
      </c>
    </row>
    <row r="48" spans="1:6">
      <c r="A48" s="7" t="s">
        <v>94</v>
      </c>
      <c r="B48" s="7" t="s">
        <v>10</v>
      </c>
      <c r="C48" s="7">
        <v>6432.12</v>
      </c>
      <c r="D48" s="7">
        <v>12.61</v>
      </c>
      <c r="E48" s="10">
        <v>4.70587058823529</v>
      </c>
      <c r="F48" s="9">
        <f t="shared" si="0"/>
        <v>0.626814386341373</v>
      </c>
    </row>
    <row r="49" hidden="1" spans="1:6">
      <c r="A49" s="7" t="s">
        <v>215</v>
      </c>
      <c r="B49" s="7" t="s">
        <v>60</v>
      </c>
      <c r="C49" s="7">
        <v>6402.05</v>
      </c>
      <c r="D49" s="7">
        <v>12.55</v>
      </c>
      <c r="E49" s="8" t="e">
        <v>#N/A</v>
      </c>
      <c r="F49" s="9" t="e">
        <f t="shared" si="0"/>
        <v>#N/A</v>
      </c>
    </row>
    <row r="50" hidden="1" spans="1:6">
      <c r="A50" s="7" t="s">
        <v>216</v>
      </c>
      <c r="B50" s="7" t="s">
        <v>56</v>
      </c>
      <c r="C50" s="7">
        <v>6383.23</v>
      </c>
      <c r="D50" s="7">
        <v>12.52</v>
      </c>
      <c r="E50" s="8" t="e">
        <v>#N/A</v>
      </c>
      <c r="F50" s="9" t="e">
        <f t="shared" si="0"/>
        <v>#N/A</v>
      </c>
    </row>
    <row r="51" hidden="1" spans="1:6">
      <c r="A51" s="7" t="s">
        <v>217</v>
      </c>
      <c r="B51" s="7" t="s">
        <v>60</v>
      </c>
      <c r="C51" s="7">
        <v>6370.48</v>
      </c>
      <c r="D51" s="7">
        <v>12.49</v>
      </c>
      <c r="E51" s="8" t="e">
        <v>#N/A</v>
      </c>
      <c r="F51" s="9" t="e">
        <f t="shared" si="0"/>
        <v>#N/A</v>
      </c>
    </row>
    <row r="52" spans="1:6">
      <c r="A52" s="7" t="s">
        <v>95</v>
      </c>
      <c r="B52" s="7" t="s">
        <v>6</v>
      </c>
      <c r="C52" s="7">
        <v>6366.2</v>
      </c>
      <c r="D52" s="7">
        <v>12.48</v>
      </c>
      <c r="E52" s="8">
        <v>10</v>
      </c>
      <c r="F52" s="9">
        <f t="shared" si="0"/>
        <v>0.198717948717949</v>
      </c>
    </row>
    <row r="53" hidden="1" spans="1:6">
      <c r="A53" s="7" t="s">
        <v>218</v>
      </c>
      <c r="B53" s="7" t="s">
        <v>60</v>
      </c>
      <c r="C53" s="7">
        <v>6353.85</v>
      </c>
      <c r="D53" s="7">
        <v>12.46</v>
      </c>
      <c r="E53" s="8" t="e">
        <v>#N/A</v>
      </c>
      <c r="F53" s="9" t="e">
        <f t="shared" si="0"/>
        <v>#N/A</v>
      </c>
    </row>
    <row r="54" spans="1:6">
      <c r="A54" s="7" t="s">
        <v>96</v>
      </c>
      <c r="B54" s="7" t="s">
        <v>6</v>
      </c>
      <c r="C54" s="7">
        <v>6352.75</v>
      </c>
      <c r="D54" s="7">
        <v>12.46</v>
      </c>
      <c r="E54" s="8">
        <v>9.99998823529412</v>
      </c>
      <c r="F54" s="9">
        <f t="shared" si="0"/>
        <v>0.197432725899348</v>
      </c>
    </row>
    <row r="55" spans="1:6">
      <c r="A55" s="7" t="s">
        <v>97</v>
      </c>
      <c r="B55" s="7" t="s">
        <v>9</v>
      </c>
      <c r="C55" s="7">
        <v>6320.12</v>
      </c>
      <c r="D55" s="7">
        <v>12.39</v>
      </c>
      <c r="E55" s="10">
        <v>9</v>
      </c>
      <c r="F55" s="9">
        <f t="shared" si="0"/>
        <v>0.273607748184019</v>
      </c>
    </row>
    <row r="56" hidden="1" spans="1:6">
      <c r="A56" s="7" t="s">
        <v>219</v>
      </c>
      <c r="B56" s="7" t="s">
        <v>60</v>
      </c>
      <c r="C56" s="7">
        <v>6309.53</v>
      </c>
      <c r="D56" s="7">
        <v>12.37</v>
      </c>
      <c r="E56" s="8" t="e">
        <v>#N/A</v>
      </c>
      <c r="F56" s="9" t="e">
        <f t="shared" si="0"/>
        <v>#N/A</v>
      </c>
    </row>
    <row r="57" spans="1:6">
      <c r="A57" s="7" t="s">
        <v>98</v>
      </c>
      <c r="B57" s="7" t="s">
        <v>6</v>
      </c>
      <c r="C57" s="7">
        <v>6301.7</v>
      </c>
      <c r="D57" s="7">
        <v>12.36</v>
      </c>
      <c r="E57" s="8">
        <v>9.00001176470588</v>
      </c>
      <c r="F57" s="9">
        <f t="shared" si="0"/>
        <v>0.271843708357129</v>
      </c>
    </row>
    <row r="58" spans="1:6">
      <c r="A58" s="7" t="s">
        <v>99</v>
      </c>
      <c r="B58" s="7" t="s">
        <v>6</v>
      </c>
      <c r="C58" s="7">
        <v>6295.72</v>
      </c>
      <c r="D58" s="7">
        <v>12.34</v>
      </c>
      <c r="E58" s="8">
        <v>10.7941294117647</v>
      </c>
      <c r="F58" s="9">
        <f t="shared" si="0"/>
        <v>0.125273143292974</v>
      </c>
    </row>
    <row r="59" spans="1:6">
      <c r="A59" s="7" t="s">
        <v>100</v>
      </c>
      <c r="B59" s="7" t="s">
        <v>7</v>
      </c>
      <c r="C59" s="7">
        <v>6273.47</v>
      </c>
      <c r="D59" s="7">
        <v>12.3</v>
      </c>
      <c r="E59" s="8">
        <v>10.9999882352941</v>
      </c>
      <c r="F59" s="9">
        <f t="shared" si="0"/>
        <v>0.105692013390724</v>
      </c>
    </row>
    <row r="60" hidden="1" spans="1:6">
      <c r="A60" s="7" t="s">
        <v>220</v>
      </c>
      <c r="B60" s="7" t="s">
        <v>58</v>
      </c>
      <c r="C60" s="7">
        <v>6270.77</v>
      </c>
      <c r="D60" s="7">
        <v>12.3</v>
      </c>
      <c r="E60" s="8" t="e">
        <v>#N/A</v>
      </c>
      <c r="F60" s="9" t="e">
        <f t="shared" si="0"/>
        <v>#N/A</v>
      </c>
    </row>
    <row r="61" hidden="1" spans="1:6">
      <c r="A61" s="7" t="s">
        <v>221</v>
      </c>
      <c r="B61" s="7" t="s">
        <v>56</v>
      </c>
      <c r="C61" s="7">
        <v>6267.52</v>
      </c>
      <c r="D61" s="7">
        <v>12.29</v>
      </c>
      <c r="E61" s="8" t="e">
        <v>#N/A</v>
      </c>
      <c r="F61" s="9" t="e">
        <f t="shared" si="0"/>
        <v>#N/A</v>
      </c>
    </row>
    <row r="62" spans="1:6">
      <c r="A62" s="7" t="s">
        <v>101</v>
      </c>
      <c r="B62" s="7" t="s">
        <v>6</v>
      </c>
      <c r="C62" s="7">
        <v>6255.47</v>
      </c>
      <c r="D62" s="7">
        <v>12.27</v>
      </c>
      <c r="E62" s="10">
        <v>4.29411764705882</v>
      </c>
      <c r="F62" s="9">
        <f t="shared" si="0"/>
        <v>0.650031161608898</v>
      </c>
    </row>
    <row r="63" spans="1:6">
      <c r="A63" s="7" t="s">
        <v>222</v>
      </c>
      <c r="B63" s="7" t="s">
        <v>7</v>
      </c>
      <c r="C63" s="7">
        <v>6242.2</v>
      </c>
      <c r="D63" s="7">
        <v>12.24</v>
      </c>
      <c r="E63" s="10">
        <v>2</v>
      </c>
      <c r="F63" s="9">
        <f t="shared" si="0"/>
        <v>0.836601307189543</v>
      </c>
    </row>
    <row r="64" spans="1:6">
      <c r="A64" s="7" t="s">
        <v>102</v>
      </c>
      <c r="B64" s="7" t="s">
        <v>7</v>
      </c>
      <c r="C64" s="7">
        <v>6240.6</v>
      </c>
      <c r="D64" s="7">
        <v>12.24</v>
      </c>
      <c r="E64" s="8">
        <v>8.00001176470588</v>
      </c>
      <c r="F64" s="9">
        <f t="shared" si="0"/>
        <v>0.346404267589389</v>
      </c>
    </row>
    <row r="65" hidden="1" spans="1:6">
      <c r="A65" s="7" t="s">
        <v>223</v>
      </c>
      <c r="B65" s="7" t="s">
        <v>56</v>
      </c>
      <c r="C65" s="7">
        <v>6217.12</v>
      </c>
      <c r="D65" s="7">
        <v>12.19</v>
      </c>
      <c r="E65" s="8" t="e">
        <v>#N/A</v>
      </c>
      <c r="F65" s="9" t="e">
        <f t="shared" si="0"/>
        <v>#N/A</v>
      </c>
    </row>
    <row r="66" spans="1:6">
      <c r="A66" s="11" t="s">
        <v>103</v>
      </c>
      <c r="B66" s="7" t="s">
        <v>6</v>
      </c>
      <c r="C66" s="7">
        <v>6207.47</v>
      </c>
      <c r="D66" s="7">
        <v>12.17</v>
      </c>
      <c r="E66" s="8">
        <v>11.3274941176471</v>
      </c>
      <c r="F66" s="9">
        <f t="shared" si="0"/>
        <v>0.0692280922229169</v>
      </c>
    </row>
    <row r="67" spans="1:6">
      <c r="A67" s="7" t="s">
        <v>104</v>
      </c>
      <c r="B67" s="7" t="s">
        <v>7</v>
      </c>
      <c r="C67" s="7">
        <v>6187.13</v>
      </c>
      <c r="D67" s="7">
        <v>12.13</v>
      </c>
      <c r="E67" s="8">
        <v>9.88235294117647</v>
      </c>
      <c r="F67" s="9">
        <f t="shared" ref="F67:F130" si="1">ABS(E67/D67-1)</f>
        <v>0.185296542359731</v>
      </c>
    </row>
    <row r="68" spans="1:6">
      <c r="A68" s="7" t="s">
        <v>105</v>
      </c>
      <c r="B68" s="7" t="s">
        <v>10</v>
      </c>
      <c r="C68" s="7">
        <v>6179.53</v>
      </c>
      <c r="D68" s="7">
        <v>12.12</v>
      </c>
      <c r="E68" s="8">
        <v>10</v>
      </c>
      <c r="F68" s="9">
        <f t="shared" si="1"/>
        <v>0.174917491749175</v>
      </c>
    </row>
    <row r="69" hidden="1" spans="1:6">
      <c r="A69" s="7" t="s">
        <v>224</v>
      </c>
      <c r="B69" s="7" t="s">
        <v>59</v>
      </c>
      <c r="C69" s="7">
        <v>6156.48</v>
      </c>
      <c r="D69" s="7">
        <v>12.07</v>
      </c>
      <c r="E69" s="8" t="e">
        <v>#N/A</v>
      </c>
      <c r="F69" s="9" t="e">
        <f t="shared" si="1"/>
        <v>#N/A</v>
      </c>
    </row>
    <row r="70" spans="1:6">
      <c r="A70" s="7" t="s">
        <v>106</v>
      </c>
      <c r="B70" s="7" t="s">
        <v>6</v>
      </c>
      <c r="C70" s="7">
        <v>6149.95</v>
      </c>
      <c r="D70" s="7">
        <v>12.06</v>
      </c>
      <c r="E70" s="8">
        <v>10.0980117647059</v>
      </c>
      <c r="F70" s="9">
        <f t="shared" si="1"/>
        <v>0.162685591649594</v>
      </c>
    </row>
    <row r="71" hidden="1" spans="1:6">
      <c r="A71" s="7" t="s">
        <v>225</v>
      </c>
      <c r="B71" s="7" t="s">
        <v>59</v>
      </c>
      <c r="C71" s="7">
        <v>6142.87</v>
      </c>
      <c r="D71" s="7">
        <v>12.04</v>
      </c>
      <c r="E71" s="8" t="e">
        <v>#N/A</v>
      </c>
      <c r="F71" s="9" t="e">
        <f t="shared" si="1"/>
        <v>#N/A</v>
      </c>
    </row>
    <row r="72" spans="1:6">
      <c r="A72" s="7" t="s">
        <v>107</v>
      </c>
      <c r="B72" s="7" t="s">
        <v>7</v>
      </c>
      <c r="C72" s="7">
        <v>6133.1</v>
      </c>
      <c r="D72" s="7">
        <v>12.03</v>
      </c>
      <c r="E72" s="10">
        <v>2.58823529411765</v>
      </c>
      <c r="F72" s="9">
        <f t="shared" si="1"/>
        <v>0.784851596498948</v>
      </c>
    </row>
    <row r="73" spans="1:6">
      <c r="A73" s="7" t="s">
        <v>226</v>
      </c>
      <c r="B73" s="7" t="s">
        <v>11</v>
      </c>
      <c r="C73" s="7">
        <v>6131.4</v>
      </c>
      <c r="D73" s="7">
        <v>12.02</v>
      </c>
      <c r="E73" s="10"/>
      <c r="F73" s="9">
        <f t="shared" si="1"/>
        <v>1</v>
      </c>
    </row>
    <row r="74" spans="1:6">
      <c r="A74" s="7" t="s">
        <v>108</v>
      </c>
      <c r="B74" s="7" t="s">
        <v>9</v>
      </c>
      <c r="C74" s="7">
        <v>6128.8</v>
      </c>
      <c r="D74" s="7">
        <v>12.02</v>
      </c>
      <c r="E74" s="10">
        <v>1</v>
      </c>
      <c r="F74" s="9">
        <f t="shared" si="1"/>
        <v>0.916805324459235</v>
      </c>
    </row>
    <row r="75" hidden="1" spans="1:6">
      <c r="A75" s="7" t="s">
        <v>227</v>
      </c>
      <c r="B75" s="7" t="s">
        <v>56</v>
      </c>
      <c r="C75" s="7">
        <v>6127.48</v>
      </c>
      <c r="D75" s="7">
        <v>12.01</v>
      </c>
      <c r="E75" s="8" t="e">
        <v>#N/A</v>
      </c>
      <c r="F75" s="9" t="e">
        <f t="shared" si="1"/>
        <v>#N/A</v>
      </c>
    </row>
    <row r="76" hidden="1" spans="1:6">
      <c r="A76" s="7" t="s">
        <v>228</v>
      </c>
      <c r="B76" s="7" t="s">
        <v>58</v>
      </c>
      <c r="C76" s="7">
        <v>6119.17</v>
      </c>
      <c r="D76" s="7">
        <v>12</v>
      </c>
      <c r="E76" s="8" t="e">
        <v>#N/A</v>
      </c>
      <c r="F76" s="9" t="e">
        <f t="shared" si="1"/>
        <v>#N/A</v>
      </c>
    </row>
    <row r="77" spans="1:6">
      <c r="A77" s="7" t="s">
        <v>109</v>
      </c>
      <c r="B77" s="7" t="s">
        <v>6</v>
      </c>
      <c r="C77" s="7">
        <v>6116.28</v>
      </c>
      <c r="D77" s="7">
        <v>11.99</v>
      </c>
      <c r="E77" s="10">
        <v>8</v>
      </c>
      <c r="F77" s="9">
        <f t="shared" si="1"/>
        <v>0.332777314428691</v>
      </c>
    </row>
    <row r="78" spans="1:6">
      <c r="A78" s="7" t="s">
        <v>110</v>
      </c>
      <c r="B78" s="7" t="s">
        <v>7</v>
      </c>
      <c r="C78" s="7">
        <v>6115.68</v>
      </c>
      <c r="D78" s="7">
        <v>11.99</v>
      </c>
      <c r="E78" s="8">
        <v>9.99995294117647</v>
      </c>
      <c r="F78" s="9">
        <f t="shared" si="1"/>
        <v>0.16597556787519</v>
      </c>
    </row>
    <row r="79" spans="1:6">
      <c r="A79" s="7" t="s">
        <v>111</v>
      </c>
      <c r="B79" s="7" t="s">
        <v>6</v>
      </c>
      <c r="C79" s="7">
        <v>6112.18</v>
      </c>
      <c r="D79" s="7">
        <v>11.98</v>
      </c>
      <c r="E79" s="8">
        <v>10.6078352941176</v>
      </c>
      <c r="F79" s="9">
        <f t="shared" si="1"/>
        <v>0.114537955415893</v>
      </c>
    </row>
    <row r="80" hidden="1" spans="1:6">
      <c r="A80" s="7" t="s">
        <v>229</v>
      </c>
      <c r="B80" s="7" t="s">
        <v>60</v>
      </c>
      <c r="C80" s="7">
        <v>6098.48</v>
      </c>
      <c r="D80" s="7">
        <v>11.96</v>
      </c>
      <c r="E80" s="8" t="e">
        <v>#N/A</v>
      </c>
      <c r="F80" s="9" t="e">
        <f t="shared" si="1"/>
        <v>#N/A</v>
      </c>
    </row>
    <row r="81" spans="1:6">
      <c r="A81" s="7" t="s">
        <v>112</v>
      </c>
      <c r="B81" s="7" t="s">
        <v>11</v>
      </c>
      <c r="C81" s="7">
        <v>6090.73</v>
      </c>
      <c r="D81" s="7">
        <v>11.94</v>
      </c>
      <c r="E81" s="8">
        <v>9.99996470588235</v>
      </c>
      <c r="F81" s="9">
        <f t="shared" si="1"/>
        <v>0.162482017932801</v>
      </c>
    </row>
    <row r="82" spans="1:6">
      <c r="A82" s="7" t="s">
        <v>113</v>
      </c>
      <c r="B82" s="7" t="s">
        <v>7</v>
      </c>
      <c r="C82" s="7">
        <v>6090.25</v>
      </c>
      <c r="D82" s="7">
        <v>11.94</v>
      </c>
      <c r="E82" s="10">
        <v>8</v>
      </c>
      <c r="F82" s="9">
        <f t="shared" si="1"/>
        <v>0.329983249581239</v>
      </c>
    </row>
    <row r="83" hidden="1" spans="1:6">
      <c r="A83" s="7" t="s">
        <v>230</v>
      </c>
      <c r="B83" s="7" t="s">
        <v>61</v>
      </c>
      <c r="C83" s="7">
        <v>6071.12</v>
      </c>
      <c r="D83" s="7">
        <v>11.9</v>
      </c>
      <c r="E83" s="8" t="e">
        <v>#N/A</v>
      </c>
      <c r="F83" s="9" t="e">
        <f t="shared" si="1"/>
        <v>#N/A</v>
      </c>
    </row>
    <row r="84" spans="1:6">
      <c r="A84" s="7" t="s">
        <v>114</v>
      </c>
      <c r="B84" s="7" t="s">
        <v>10</v>
      </c>
      <c r="C84" s="7">
        <v>6047.23</v>
      </c>
      <c r="D84" s="7">
        <v>11.86</v>
      </c>
      <c r="E84" s="10">
        <v>2</v>
      </c>
      <c r="F84" s="9">
        <f t="shared" si="1"/>
        <v>0.831365935919056</v>
      </c>
    </row>
    <row r="85" spans="1:6">
      <c r="A85" s="7" t="s">
        <v>115</v>
      </c>
      <c r="B85" s="7" t="s">
        <v>6</v>
      </c>
      <c r="C85" s="7">
        <v>6047.05</v>
      </c>
      <c r="D85" s="7">
        <v>11.86</v>
      </c>
      <c r="E85" s="8">
        <v>9.35294117647059</v>
      </c>
      <c r="F85" s="9">
        <f t="shared" si="1"/>
        <v>0.211387759150878</v>
      </c>
    </row>
    <row r="86" spans="1:6">
      <c r="A86" s="7" t="s">
        <v>116</v>
      </c>
      <c r="B86" s="7" t="s">
        <v>7</v>
      </c>
      <c r="C86" s="7">
        <v>6035.95</v>
      </c>
      <c r="D86" s="7">
        <v>11.84</v>
      </c>
      <c r="E86" s="10">
        <v>7</v>
      </c>
      <c r="F86" s="9">
        <f t="shared" si="1"/>
        <v>0.408783783783784</v>
      </c>
    </row>
    <row r="87" spans="1:6">
      <c r="A87" s="7" t="s">
        <v>117</v>
      </c>
      <c r="B87" s="7" t="s">
        <v>11</v>
      </c>
      <c r="C87" s="7">
        <v>6031.02</v>
      </c>
      <c r="D87" s="7">
        <v>11.83</v>
      </c>
      <c r="E87" s="10">
        <v>6</v>
      </c>
      <c r="F87" s="9">
        <f t="shared" si="1"/>
        <v>0.492814877430262</v>
      </c>
    </row>
    <row r="88" spans="1:6">
      <c r="A88" s="7" t="s">
        <v>118</v>
      </c>
      <c r="B88" s="7" t="s">
        <v>9</v>
      </c>
      <c r="C88" s="7">
        <v>6022.15</v>
      </c>
      <c r="D88" s="7">
        <v>11.81</v>
      </c>
      <c r="E88" s="10">
        <v>5.00002352941176</v>
      </c>
      <c r="F88" s="9">
        <f t="shared" si="1"/>
        <v>0.576627982268268</v>
      </c>
    </row>
    <row r="89" hidden="1" spans="1:6">
      <c r="A89" s="7" t="s">
        <v>231</v>
      </c>
      <c r="B89" s="7" t="s">
        <v>60</v>
      </c>
      <c r="C89" s="7">
        <v>6021.63</v>
      </c>
      <c r="D89" s="7">
        <v>11.81</v>
      </c>
      <c r="E89" s="8" t="e">
        <v>#N/A</v>
      </c>
      <c r="F89" s="9" t="e">
        <f t="shared" si="1"/>
        <v>#N/A</v>
      </c>
    </row>
    <row r="90" spans="1:6">
      <c r="A90" s="7" t="s">
        <v>119</v>
      </c>
      <c r="B90" s="7" t="s">
        <v>7</v>
      </c>
      <c r="C90" s="7">
        <v>6001.65</v>
      </c>
      <c r="D90" s="7">
        <v>11.77</v>
      </c>
      <c r="E90" s="10">
        <v>5.11764705882353</v>
      </c>
      <c r="F90" s="9">
        <f t="shared" si="1"/>
        <v>0.565195661952121</v>
      </c>
    </row>
    <row r="91" hidden="1" spans="1:6">
      <c r="A91" s="7" t="s">
        <v>232</v>
      </c>
      <c r="B91" s="7" t="s">
        <v>56</v>
      </c>
      <c r="C91" s="7">
        <v>5989.28</v>
      </c>
      <c r="D91" s="7">
        <v>11.74</v>
      </c>
      <c r="E91" s="8" t="e">
        <v>#N/A</v>
      </c>
      <c r="F91" s="9" t="e">
        <f t="shared" si="1"/>
        <v>#N/A</v>
      </c>
    </row>
    <row r="92" hidden="1" spans="1:6">
      <c r="A92" s="7" t="s">
        <v>233</v>
      </c>
      <c r="B92" s="7" t="s">
        <v>59</v>
      </c>
      <c r="C92" s="7">
        <v>5985.65</v>
      </c>
      <c r="D92" s="7">
        <v>11.74</v>
      </c>
      <c r="E92" s="8" t="e">
        <v>#N/A</v>
      </c>
      <c r="F92" s="9" t="e">
        <f t="shared" si="1"/>
        <v>#N/A</v>
      </c>
    </row>
    <row r="93" spans="1:6">
      <c r="A93" s="7" t="s">
        <v>234</v>
      </c>
      <c r="B93" s="7" t="s">
        <v>10</v>
      </c>
      <c r="C93" s="7">
        <v>5949.9</v>
      </c>
      <c r="D93" s="7">
        <v>11.67</v>
      </c>
      <c r="E93" s="10"/>
      <c r="F93" s="9">
        <f t="shared" si="1"/>
        <v>1</v>
      </c>
    </row>
    <row r="94" spans="1:6">
      <c r="A94" s="7" t="s">
        <v>120</v>
      </c>
      <c r="B94" s="7" t="s">
        <v>8</v>
      </c>
      <c r="C94" s="7">
        <v>5941.63</v>
      </c>
      <c r="D94" s="7">
        <v>11.65</v>
      </c>
      <c r="E94" s="8">
        <v>10.1176823529412</v>
      </c>
      <c r="F94" s="9">
        <f t="shared" si="1"/>
        <v>0.131529411764704</v>
      </c>
    </row>
    <row r="95" spans="1:6">
      <c r="A95" s="7" t="s">
        <v>121</v>
      </c>
      <c r="B95" s="7" t="s">
        <v>6</v>
      </c>
      <c r="C95" s="7">
        <v>5926.62</v>
      </c>
      <c r="D95" s="7">
        <v>11.62</v>
      </c>
      <c r="E95" s="8">
        <v>10.0000235294118</v>
      </c>
      <c r="F95" s="9">
        <f t="shared" si="1"/>
        <v>0.139412777159053</v>
      </c>
    </row>
    <row r="96" spans="1:6">
      <c r="A96" s="7" t="s">
        <v>122</v>
      </c>
      <c r="B96" s="7" t="s">
        <v>11</v>
      </c>
      <c r="C96" s="7">
        <v>5925.87</v>
      </c>
      <c r="D96" s="7">
        <v>11.62</v>
      </c>
      <c r="E96" s="8">
        <v>10</v>
      </c>
      <c r="F96" s="9">
        <f t="shared" si="1"/>
        <v>0.139414802065404</v>
      </c>
    </row>
    <row r="97" spans="1:6">
      <c r="A97" s="11" t="s">
        <v>19</v>
      </c>
      <c r="B97" s="11" t="s">
        <v>7</v>
      </c>
      <c r="C97" s="11">
        <v>5913.35</v>
      </c>
      <c r="D97" s="11">
        <v>11.59</v>
      </c>
      <c r="E97" s="12"/>
      <c r="F97" s="9">
        <f t="shared" si="1"/>
        <v>1</v>
      </c>
    </row>
    <row r="98" spans="1:6">
      <c r="A98" s="7" t="s">
        <v>123</v>
      </c>
      <c r="B98" s="7" t="s">
        <v>11</v>
      </c>
      <c r="C98" s="7">
        <v>5904.25</v>
      </c>
      <c r="D98" s="7">
        <v>11.58</v>
      </c>
      <c r="E98" s="10">
        <v>9</v>
      </c>
      <c r="F98" s="9">
        <f t="shared" si="1"/>
        <v>0.22279792746114</v>
      </c>
    </row>
    <row r="99" hidden="1" spans="1:6">
      <c r="A99" s="7" t="s">
        <v>235</v>
      </c>
      <c r="B99" s="7" t="s">
        <v>61</v>
      </c>
      <c r="C99" s="7">
        <v>5903.23</v>
      </c>
      <c r="D99" s="7">
        <v>11.57</v>
      </c>
      <c r="E99" s="8" t="e">
        <v>#N/A</v>
      </c>
      <c r="F99" s="9" t="e">
        <f t="shared" si="1"/>
        <v>#N/A</v>
      </c>
    </row>
    <row r="100" spans="1:6">
      <c r="A100" s="11" t="s">
        <v>124</v>
      </c>
      <c r="B100" s="7" t="s">
        <v>8</v>
      </c>
      <c r="C100" s="7">
        <v>5897.45</v>
      </c>
      <c r="D100" s="7">
        <v>11.56</v>
      </c>
      <c r="E100" s="8">
        <v>10.7450352941176</v>
      </c>
      <c r="F100" s="9">
        <f t="shared" si="1"/>
        <v>0.0704986769794465</v>
      </c>
    </row>
    <row r="101" spans="1:6">
      <c r="A101" s="7" t="s">
        <v>125</v>
      </c>
      <c r="B101" s="7" t="s">
        <v>7</v>
      </c>
      <c r="C101" s="7">
        <v>5889.5</v>
      </c>
      <c r="D101" s="7">
        <v>11.55</v>
      </c>
      <c r="E101" s="10">
        <v>6.00981176470588</v>
      </c>
      <c r="F101" s="9">
        <f t="shared" si="1"/>
        <v>0.479669977081742</v>
      </c>
    </row>
    <row r="102" spans="1:6">
      <c r="A102" s="7" t="s">
        <v>126</v>
      </c>
      <c r="B102" s="7" t="s">
        <v>6</v>
      </c>
      <c r="C102" s="7">
        <v>5881.78</v>
      </c>
      <c r="D102" s="7">
        <v>11.53</v>
      </c>
      <c r="E102" s="8">
        <v>8.99989411764706</v>
      </c>
      <c r="F102" s="9">
        <f t="shared" si="1"/>
        <v>0.219436763430437</v>
      </c>
    </row>
    <row r="103" spans="1:6">
      <c r="A103" s="7" t="s">
        <v>127</v>
      </c>
      <c r="B103" s="7" t="s">
        <v>11</v>
      </c>
      <c r="C103" s="7">
        <v>5875.45</v>
      </c>
      <c r="D103" s="7">
        <v>11.52</v>
      </c>
      <c r="E103" s="10">
        <v>2</v>
      </c>
      <c r="F103" s="9">
        <f t="shared" si="1"/>
        <v>0.826388888888889</v>
      </c>
    </row>
    <row r="104" spans="1:6">
      <c r="A104" s="7" t="s">
        <v>128</v>
      </c>
      <c r="B104" s="7" t="s">
        <v>6</v>
      </c>
      <c r="C104" s="7">
        <v>5859.47</v>
      </c>
      <c r="D104" s="7">
        <v>11.49</v>
      </c>
      <c r="E104" s="8">
        <v>10.0000470588235</v>
      </c>
      <c r="F104" s="9">
        <f t="shared" si="1"/>
        <v>0.129673885219887</v>
      </c>
    </row>
    <row r="105" spans="1:6">
      <c r="A105" s="7" t="s">
        <v>129</v>
      </c>
      <c r="B105" s="7" t="s">
        <v>11</v>
      </c>
      <c r="C105" s="7">
        <v>5836.78</v>
      </c>
      <c r="D105" s="7">
        <v>11.44</v>
      </c>
      <c r="E105" s="8">
        <v>10</v>
      </c>
      <c r="F105" s="9">
        <f t="shared" si="1"/>
        <v>0.125874125874126</v>
      </c>
    </row>
    <row r="106" hidden="1" spans="1:6">
      <c r="A106" s="7" t="s">
        <v>236</v>
      </c>
      <c r="B106" s="7" t="s">
        <v>61</v>
      </c>
      <c r="C106" s="7">
        <v>5832.68</v>
      </c>
      <c r="D106" s="7">
        <v>11.44</v>
      </c>
      <c r="E106" s="8" t="e">
        <v>#N/A</v>
      </c>
      <c r="F106" s="9" t="e">
        <f t="shared" si="1"/>
        <v>#N/A</v>
      </c>
    </row>
    <row r="107" hidden="1" spans="1:6">
      <c r="A107" s="7" t="s">
        <v>237</v>
      </c>
      <c r="B107" s="7" t="s">
        <v>59</v>
      </c>
      <c r="C107" s="7">
        <v>5829</v>
      </c>
      <c r="D107" s="7">
        <v>11.43</v>
      </c>
      <c r="E107" s="8" t="e">
        <v>#N/A</v>
      </c>
      <c r="F107" s="9" t="e">
        <f t="shared" si="1"/>
        <v>#N/A</v>
      </c>
    </row>
    <row r="108" spans="1:6">
      <c r="A108" s="7" t="s">
        <v>130</v>
      </c>
      <c r="B108" s="7" t="s">
        <v>10</v>
      </c>
      <c r="C108" s="7">
        <v>5828.88</v>
      </c>
      <c r="D108" s="7">
        <v>11.43</v>
      </c>
      <c r="E108" s="10">
        <v>9.94117647058824</v>
      </c>
      <c r="F108" s="9">
        <f t="shared" si="1"/>
        <v>0.130255776851422</v>
      </c>
    </row>
    <row r="109" hidden="1" spans="1:6">
      <c r="A109" s="7" t="s">
        <v>238</v>
      </c>
      <c r="B109" s="7" t="s">
        <v>59</v>
      </c>
      <c r="C109" s="7">
        <v>5816.02</v>
      </c>
      <c r="D109" s="7">
        <v>11.4</v>
      </c>
      <c r="E109" s="8" t="e">
        <v>#N/A</v>
      </c>
      <c r="F109" s="9" t="e">
        <f t="shared" si="1"/>
        <v>#N/A</v>
      </c>
    </row>
    <row r="110" spans="1:6">
      <c r="A110" s="7" t="s">
        <v>131</v>
      </c>
      <c r="B110" s="7" t="s">
        <v>7</v>
      </c>
      <c r="C110" s="7">
        <v>5810.43</v>
      </c>
      <c r="D110" s="7">
        <v>11.39</v>
      </c>
      <c r="E110" s="8">
        <v>9</v>
      </c>
      <c r="F110" s="9">
        <f t="shared" si="1"/>
        <v>0.209833187006146</v>
      </c>
    </row>
    <row r="111" spans="1:6">
      <c r="A111" s="7" t="s">
        <v>132</v>
      </c>
      <c r="B111" s="7" t="s">
        <v>6</v>
      </c>
      <c r="C111" s="7">
        <v>5810.13</v>
      </c>
      <c r="D111" s="7">
        <v>11.39</v>
      </c>
      <c r="E111" s="8">
        <v>9.82357647058824</v>
      </c>
      <c r="F111" s="9">
        <f t="shared" si="1"/>
        <v>0.137526209781542</v>
      </c>
    </row>
    <row r="112" spans="1:6">
      <c r="A112" s="7" t="s">
        <v>133</v>
      </c>
      <c r="B112" s="7" t="s">
        <v>7</v>
      </c>
      <c r="C112" s="7">
        <v>5806.62</v>
      </c>
      <c r="D112" s="7">
        <v>11.39</v>
      </c>
      <c r="E112" s="8">
        <v>9</v>
      </c>
      <c r="F112" s="9">
        <f t="shared" si="1"/>
        <v>0.209833187006146</v>
      </c>
    </row>
    <row r="113" hidden="1" spans="1:6">
      <c r="A113" s="7" t="s">
        <v>239</v>
      </c>
      <c r="B113" s="7" t="s">
        <v>60</v>
      </c>
      <c r="C113" s="7">
        <v>5790.77</v>
      </c>
      <c r="D113" s="7">
        <v>11.35</v>
      </c>
      <c r="E113" s="8" t="e">
        <v>#N/A</v>
      </c>
      <c r="F113" s="9" t="e">
        <f t="shared" si="1"/>
        <v>#N/A</v>
      </c>
    </row>
    <row r="114" spans="1:6">
      <c r="A114" s="7" t="s">
        <v>134</v>
      </c>
      <c r="B114" s="7" t="s">
        <v>7</v>
      </c>
      <c r="C114" s="7">
        <v>5781.47</v>
      </c>
      <c r="D114" s="7">
        <v>11.34</v>
      </c>
      <c r="E114" s="8">
        <v>10.0000705882353</v>
      </c>
      <c r="F114" s="9">
        <f t="shared" si="1"/>
        <v>0.118159560120344</v>
      </c>
    </row>
    <row r="115" hidden="1" spans="1:6">
      <c r="A115" s="7" t="s">
        <v>240</v>
      </c>
      <c r="B115" s="7" t="s">
        <v>56</v>
      </c>
      <c r="C115" s="7">
        <v>5773.53</v>
      </c>
      <c r="D115" s="7">
        <v>11.32</v>
      </c>
      <c r="E115" s="8" t="e">
        <v>#N/A</v>
      </c>
      <c r="F115" s="9" t="e">
        <f t="shared" si="1"/>
        <v>#N/A</v>
      </c>
    </row>
    <row r="116" spans="1:6">
      <c r="A116" s="7" t="s">
        <v>135</v>
      </c>
      <c r="B116" s="7" t="s">
        <v>10</v>
      </c>
      <c r="C116" s="7">
        <v>5766.35</v>
      </c>
      <c r="D116" s="7">
        <v>11.31</v>
      </c>
      <c r="E116" s="10">
        <v>4.99998823529412</v>
      </c>
      <c r="F116" s="9">
        <f t="shared" si="1"/>
        <v>0.557914391220679</v>
      </c>
    </row>
    <row r="117" hidden="1" spans="1:6">
      <c r="A117" s="7" t="s">
        <v>241</v>
      </c>
      <c r="B117" s="7" t="s">
        <v>59</v>
      </c>
      <c r="C117" s="7">
        <v>5762.53</v>
      </c>
      <c r="D117" s="7">
        <v>11.3</v>
      </c>
      <c r="E117" s="8" t="e">
        <v>#N/A</v>
      </c>
      <c r="F117" s="9" t="e">
        <f t="shared" si="1"/>
        <v>#N/A</v>
      </c>
    </row>
    <row r="118" hidden="1" spans="1:6">
      <c r="A118" s="7" t="s">
        <v>242</v>
      </c>
      <c r="B118" s="7" t="s">
        <v>59</v>
      </c>
      <c r="C118" s="7">
        <v>5757.58</v>
      </c>
      <c r="D118" s="7">
        <v>11.29</v>
      </c>
      <c r="E118" s="8" t="e">
        <v>#N/A</v>
      </c>
      <c r="F118" s="9" t="e">
        <f t="shared" si="1"/>
        <v>#N/A</v>
      </c>
    </row>
    <row r="119" spans="1:6">
      <c r="A119" s="7" t="s">
        <v>136</v>
      </c>
      <c r="B119" s="7" t="s">
        <v>11</v>
      </c>
      <c r="C119" s="7">
        <v>5756.57</v>
      </c>
      <c r="D119" s="7">
        <v>11.29</v>
      </c>
      <c r="E119" s="10">
        <v>8</v>
      </c>
      <c r="F119" s="9">
        <f t="shared" si="1"/>
        <v>0.29140832595217</v>
      </c>
    </row>
    <row r="120" spans="1:6">
      <c r="A120" s="7" t="s">
        <v>243</v>
      </c>
      <c r="B120" s="7" t="s">
        <v>8</v>
      </c>
      <c r="C120" s="7">
        <v>5749.65</v>
      </c>
      <c r="D120" s="7">
        <v>11.27</v>
      </c>
      <c r="E120" s="8"/>
      <c r="F120" s="9">
        <f t="shared" si="1"/>
        <v>1</v>
      </c>
    </row>
    <row r="121" spans="1:6">
      <c r="A121" s="7" t="s">
        <v>137</v>
      </c>
      <c r="B121" s="7" t="s">
        <v>11</v>
      </c>
      <c r="C121" s="7">
        <v>5744.57</v>
      </c>
      <c r="D121" s="7">
        <v>11.26</v>
      </c>
      <c r="E121" s="10">
        <v>9</v>
      </c>
      <c r="F121" s="9">
        <f t="shared" si="1"/>
        <v>0.200710479573712</v>
      </c>
    </row>
    <row r="122" hidden="1" spans="1:6">
      <c r="A122" s="7" t="s">
        <v>244</v>
      </c>
      <c r="B122" s="7" t="s">
        <v>60</v>
      </c>
      <c r="C122" s="7">
        <v>5742.37</v>
      </c>
      <c r="D122" s="7">
        <v>11.26</v>
      </c>
      <c r="E122" s="8" t="e">
        <v>#N/A</v>
      </c>
      <c r="F122" s="9" t="e">
        <f t="shared" si="1"/>
        <v>#N/A</v>
      </c>
    </row>
    <row r="123" spans="1:6">
      <c r="A123" s="7" t="s">
        <v>138</v>
      </c>
      <c r="B123" s="7" t="s">
        <v>11</v>
      </c>
      <c r="C123" s="7">
        <v>5736.48</v>
      </c>
      <c r="D123" s="7">
        <v>11.25</v>
      </c>
      <c r="E123" s="8">
        <v>10</v>
      </c>
      <c r="F123" s="9">
        <f t="shared" si="1"/>
        <v>0.111111111111111</v>
      </c>
    </row>
    <row r="124" hidden="1" spans="1:6">
      <c r="A124" s="7" t="s">
        <v>245</v>
      </c>
      <c r="B124" s="7" t="s">
        <v>60</v>
      </c>
      <c r="C124" s="7">
        <v>5724.58</v>
      </c>
      <c r="D124" s="7">
        <v>11.22</v>
      </c>
      <c r="E124" s="8" t="e">
        <v>#N/A</v>
      </c>
      <c r="F124" s="9" t="e">
        <f t="shared" si="1"/>
        <v>#N/A</v>
      </c>
    </row>
    <row r="125" spans="1:6">
      <c r="A125" s="7" t="s">
        <v>139</v>
      </c>
      <c r="B125" s="7" t="s">
        <v>7</v>
      </c>
      <c r="C125" s="7">
        <v>5723.83</v>
      </c>
      <c r="D125" s="7">
        <v>11.22</v>
      </c>
      <c r="E125" s="8">
        <v>9</v>
      </c>
      <c r="F125" s="9">
        <f t="shared" si="1"/>
        <v>0.197860962566845</v>
      </c>
    </row>
    <row r="126" spans="1:6">
      <c r="A126" s="7" t="s">
        <v>140</v>
      </c>
      <c r="B126" s="7" t="s">
        <v>6</v>
      </c>
      <c r="C126" s="7">
        <v>5716.1</v>
      </c>
      <c r="D126" s="7">
        <v>11.21</v>
      </c>
      <c r="E126" s="8">
        <v>10</v>
      </c>
      <c r="F126" s="9">
        <f t="shared" si="1"/>
        <v>0.107939339875112</v>
      </c>
    </row>
    <row r="127" spans="1:6">
      <c r="A127" s="7" t="s">
        <v>141</v>
      </c>
      <c r="B127" s="7" t="s">
        <v>10</v>
      </c>
      <c r="C127" s="7">
        <v>5715.68</v>
      </c>
      <c r="D127" s="7">
        <v>11.21</v>
      </c>
      <c r="E127" s="8">
        <v>10</v>
      </c>
      <c r="F127" s="9">
        <f t="shared" si="1"/>
        <v>0.107939339875112</v>
      </c>
    </row>
    <row r="128" hidden="1" spans="1:6">
      <c r="A128" s="7" t="s">
        <v>246</v>
      </c>
      <c r="B128" s="7" t="s">
        <v>60</v>
      </c>
      <c r="C128" s="7">
        <v>5704.85</v>
      </c>
      <c r="D128" s="7">
        <v>11.19</v>
      </c>
      <c r="E128" s="8" t="e">
        <v>#N/A</v>
      </c>
      <c r="F128" s="9" t="e">
        <f t="shared" si="1"/>
        <v>#N/A</v>
      </c>
    </row>
    <row r="129" hidden="1" spans="1:6">
      <c r="A129" s="7" t="s">
        <v>247</v>
      </c>
      <c r="B129" s="7" t="s">
        <v>60</v>
      </c>
      <c r="C129" s="7">
        <v>5698.73</v>
      </c>
      <c r="D129" s="7">
        <v>11.17</v>
      </c>
      <c r="E129" s="8" t="e">
        <v>#N/A</v>
      </c>
      <c r="F129" s="9" t="e">
        <f t="shared" si="1"/>
        <v>#N/A</v>
      </c>
    </row>
    <row r="130" spans="1:6">
      <c r="A130" s="7" t="s">
        <v>142</v>
      </c>
      <c r="B130" s="7" t="s">
        <v>11</v>
      </c>
      <c r="C130" s="7">
        <v>5693.83</v>
      </c>
      <c r="D130" s="7">
        <v>11.16</v>
      </c>
      <c r="E130" s="10">
        <v>4</v>
      </c>
      <c r="F130" s="9">
        <f t="shared" si="1"/>
        <v>0.6415770609319</v>
      </c>
    </row>
    <row r="131" spans="1:6">
      <c r="A131" s="7" t="s">
        <v>143</v>
      </c>
      <c r="B131" s="7" t="s">
        <v>6</v>
      </c>
      <c r="C131" s="7">
        <v>5688.43</v>
      </c>
      <c r="D131" s="7">
        <v>11.15</v>
      </c>
      <c r="E131" s="8">
        <v>9</v>
      </c>
      <c r="F131" s="9">
        <f t="shared" ref="F131:F194" si="2">ABS(E131/D131-1)</f>
        <v>0.192825112107623</v>
      </c>
    </row>
    <row r="132" hidden="1" spans="1:6">
      <c r="A132" s="7" t="s">
        <v>248</v>
      </c>
      <c r="B132" s="7" t="s">
        <v>60</v>
      </c>
      <c r="C132" s="7">
        <v>5678.02</v>
      </c>
      <c r="D132" s="7">
        <v>11.13</v>
      </c>
      <c r="E132" s="8" t="e">
        <v>#N/A</v>
      </c>
      <c r="F132" s="9" t="e">
        <f t="shared" si="2"/>
        <v>#N/A</v>
      </c>
    </row>
    <row r="133" hidden="1" spans="1:6">
      <c r="A133" s="7" t="s">
        <v>249</v>
      </c>
      <c r="B133" s="7" t="s">
        <v>59</v>
      </c>
      <c r="C133" s="7">
        <v>5676.62</v>
      </c>
      <c r="D133" s="7">
        <v>11.13</v>
      </c>
      <c r="E133" s="8" t="e">
        <v>#N/A</v>
      </c>
      <c r="F133" s="9" t="e">
        <f t="shared" si="2"/>
        <v>#N/A</v>
      </c>
    </row>
    <row r="134" spans="1:6">
      <c r="A134" s="7" t="s">
        <v>144</v>
      </c>
      <c r="B134" s="7" t="s">
        <v>8</v>
      </c>
      <c r="C134" s="7">
        <v>5674.02</v>
      </c>
      <c r="D134" s="7">
        <v>11.13</v>
      </c>
      <c r="E134" s="8">
        <v>9.00001176470588</v>
      </c>
      <c r="F134" s="9">
        <f t="shared" si="2"/>
        <v>0.191373606046192</v>
      </c>
    </row>
    <row r="135" spans="1:6">
      <c r="A135" s="7" t="s">
        <v>145</v>
      </c>
      <c r="B135" s="7" t="s">
        <v>10</v>
      </c>
      <c r="C135" s="7">
        <v>5665.02</v>
      </c>
      <c r="D135" s="7">
        <v>11.11</v>
      </c>
      <c r="E135" s="10">
        <v>9</v>
      </c>
      <c r="F135" s="9">
        <f t="shared" si="2"/>
        <v>0.18991899189919</v>
      </c>
    </row>
    <row r="136" spans="1:6">
      <c r="A136" s="7" t="s">
        <v>146</v>
      </c>
      <c r="B136" s="7" t="s">
        <v>11</v>
      </c>
      <c r="C136" s="7">
        <v>5661.67</v>
      </c>
      <c r="D136" s="7">
        <v>11.1</v>
      </c>
      <c r="E136" s="10">
        <v>8</v>
      </c>
      <c r="F136" s="9">
        <f t="shared" si="2"/>
        <v>0.279279279279279</v>
      </c>
    </row>
    <row r="137" spans="1:6">
      <c r="A137" s="7" t="s">
        <v>147</v>
      </c>
      <c r="B137" s="7" t="s">
        <v>7</v>
      </c>
      <c r="C137" s="7">
        <v>5659.18</v>
      </c>
      <c r="D137" s="7">
        <v>11.1</v>
      </c>
      <c r="E137" s="10">
        <v>7</v>
      </c>
      <c r="F137" s="9">
        <f t="shared" si="2"/>
        <v>0.369369369369369</v>
      </c>
    </row>
    <row r="138" hidden="1" spans="1:6">
      <c r="A138" s="7" t="s">
        <v>250</v>
      </c>
      <c r="B138" s="7" t="s">
        <v>60</v>
      </c>
      <c r="C138" s="7">
        <v>5650</v>
      </c>
      <c r="D138" s="7">
        <v>11.08</v>
      </c>
      <c r="E138" s="8" t="e">
        <v>#N/A</v>
      </c>
      <c r="F138" s="9" t="e">
        <f t="shared" si="2"/>
        <v>#N/A</v>
      </c>
    </row>
    <row r="139" hidden="1" spans="1:6">
      <c r="A139" s="7" t="s">
        <v>251</v>
      </c>
      <c r="B139" s="7" t="s">
        <v>56</v>
      </c>
      <c r="C139" s="7">
        <v>5648.18</v>
      </c>
      <c r="D139" s="7">
        <v>11.07</v>
      </c>
      <c r="E139" s="8" t="e">
        <v>#N/A</v>
      </c>
      <c r="F139" s="9" t="e">
        <f t="shared" si="2"/>
        <v>#N/A</v>
      </c>
    </row>
    <row r="140" spans="1:6">
      <c r="A140" s="7" t="s">
        <v>148</v>
      </c>
      <c r="B140" s="7" t="s">
        <v>6</v>
      </c>
      <c r="C140" s="7">
        <v>5645.92</v>
      </c>
      <c r="D140" s="7">
        <v>11.07</v>
      </c>
      <c r="E140" s="8">
        <v>9.82352941176471</v>
      </c>
      <c r="F140" s="9">
        <f t="shared" si="2"/>
        <v>0.112598969126946</v>
      </c>
    </row>
    <row r="141" spans="1:6">
      <c r="A141" s="7" t="s">
        <v>149</v>
      </c>
      <c r="B141" s="7" t="s">
        <v>6</v>
      </c>
      <c r="C141" s="7">
        <v>5629.2</v>
      </c>
      <c r="D141" s="7">
        <v>11.04</v>
      </c>
      <c r="E141" s="10">
        <v>2</v>
      </c>
      <c r="F141" s="9">
        <f t="shared" si="2"/>
        <v>0.818840579710145</v>
      </c>
    </row>
    <row r="142" spans="1:6">
      <c r="A142" s="11" t="s">
        <v>150</v>
      </c>
      <c r="B142" s="7" t="s">
        <v>6</v>
      </c>
      <c r="C142" s="7">
        <v>5628.08</v>
      </c>
      <c r="D142" s="7">
        <v>11.04</v>
      </c>
      <c r="E142" s="8">
        <v>10.2744941176471</v>
      </c>
      <c r="F142" s="9">
        <f t="shared" si="2"/>
        <v>0.0693393009377626</v>
      </c>
    </row>
    <row r="143" hidden="1" spans="1:6">
      <c r="A143" s="7" t="s">
        <v>252</v>
      </c>
      <c r="B143" s="7" t="s">
        <v>56</v>
      </c>
      <c r="C143" s="7">
        <v>5609.07</v>
      </c>
      <c r="D143" s="7">
        <v>11</v>
      </c>
      <c r="E143" s="8" t="e">
        <v>#N/A</v>
      </c>
      <c r="F143" s="9" t="e">
        <f t="shared" si="2"/>
        <v>#N/A</v>
      </c>
    </row>
    <row r="144" hidden="1" spans="1:6">
      <c r="A144" s="7" t="s">
        <v>253</v>
      </c>
      <c r="B144" s="7" t="s">
        <v>59</v>
      </c>
      <c r="C144" s="7">
        <v>5593.38</v>
      </c>
      <c r="D144" s="7">
        <v>10.97</v>
      </c>
      <c r="E144" s="8" t="e">
        <v>#N/A</v>
      </c>
      <c r="F144" s="9" t="e">
        <f t="shared" si="2"/>
        <v>#N/A</v>
      </c>
    </row>
    <row r="145" spans="1:6">
      <c r="A145" s="7" t="s">
        <v>151</v>
      </c>
      <c r="B145" s="7" t="s">
        <v>11</v>
      </c>
      <c r="C145" s="7">
        <v>5591.85</v>
      </c>
      <c r="D145" s="7">
        <v>10.96</v>
      </c>
      <c r="E145" s="10">
        <v>9</v>
      </c>
      <c r="F145" s="9">
        <f t="shared" si="2"/>
        <v>0.178832116788321</v>
      </c>
    </row>
    <row r="146" spans="1:6">
      <c r="A146" s="11" t="s">
        <v>152</v>
      </c>
      <c r="B146" s="7" t="s">
        <v>11</v>
      </c>
      <c r="C146" s="7">
        <v>5560.32</v>
      </c>
      <c r="D146" s="7">
        <v>10.9</v>
      </c>
      <c r="E146" s="8">
        <v>10</v>
      </c>
      <c r="F146" s="9">
        <f t="shared" si="2"/>
        <v>0.0825688073394496</v>
      </c>
    </row>
    <row r="147" spans="1:6">
      <c r="A147" s="7" t="s">
        <v>153</v>
      </c>
      <c r="B147" s="7" t="s">
        <v>11</v>
      </c>
      <c r="C147" s="7">
        <v>5546.35</v>
      </c>
      <c r="D147" s="7">
        <v>10.88</v>
      </c>
      <c r="E147" s="10">
        <v>7</v>
      </c>
      <c r="F147" s="9">
        <f t="shared" si="2"/>
        <v>0.356617647058824</v>
      </c>
    </row>
    <row r="148" spans="1:6">
      <c r="A148" s="11" t="s">
        <v>154</v>
      </c>
      <c r="B148" s="7" t="s">
        <v>10</v>
      </c>
      <c r="C148" s="7">
        <v>5527.75</v>
      </c>
      <c r="D148" s="7">
        <v>10.84</v>
      </c>
      <c r="E148" s="8">
        <v>10</v>
      </c>
      <c r="F148" s="9">
        <f t="shared" si="2"/>
        <v>0.077490774907749</v>
      </c>
    </row>
    <row r="149" spans="1:6">
      <c r="A149" s="11" t="s">
        <v>155</v>
      </c>
      <c r="B149" s="7" t="s">
        <v>7</v>
      </c>
      <c r="C149" s="7">
        <v>5527.72</v>
      </c>
      <c r="D149" s="7">
        <v>10.84</v>
      </c>
      <c r="E149" s="8">
        <v>10.1039176470588</v>
      </c>
      <c r="F149" s="9">
        <f t="shared" si="2"/>
        <v>0.0679042761015867</v>
      </c>
    </row>
    <row r="150" spans="1:6">
      <c r="A150" s="11" t="s">
        <v>156</v>
      </c>
      <c r="B150" s="7" t="s">
        <v>7</v>
      </c>
      <c r="C150" s="7">
        <v>5513.82</v>
      </c>
      <c r="D150" s="7">
        <v>10.81</v>
      </c>
      <c r="E150" s="8">
        <v>10</v>
      </c>
      <c r="F150" s="9">
        <f t="shared" si="2"/>
        <v>0.0749306197964847</v>
      </c>
    </row>
    <row r="151" hidden="1" spans="1:6">
      <c r="A151" s="7" t="s">
        <v>254</v>
      </c>
      <c r="B151" s="7" t="s">
        <v>56</v>
      </c>
      <c r="C151" s="7">
        <v>5513.8</v>
      </c>
      <c r="D151" s="7">
        <v>10.81</v>
      </c>
      <c r="E151" s="8" t="e">
        <v>#N/A</v>
      </c>
      <c r="F151" s="9" t="e">
        <f t="shared" si="2"/>
        <v>#N/A</v>
      </c>
    </row>
    <row r="152" spans="1:6">
      <c r="A152" s="7" t="s">
        <v>157</v>
      </c>
      <c r="B152" s="7" t="s">
        <v>7</v>
      </c>
      <c r="C152" s="7">
        <v>5510.8</v>
      </c>
      <c r="D152" s="7">
        <v>10.81</v>
      </c>
      <c r="E152" s="8">
        <v>9.23529411764706</v>
      </c>
      <c r="F152" s="9">
        <f t="shared" si="2"/>
        <v>0.145671219459106</v>
      </c>
    </row>
    <row r="153" hidden="1" spans="1:6">
      <c r="A153" s="7" t="s">
        <v>255</v>
      </c>
      <c r="B153" s="7" t="s">
        <v>60</v>
      </c>
      <c r="C153" s="7">
        <v>5510.08</v>
      </c>
      <c r="D153" s="7">
        <v>10.8</v>
      </c>
      <c r="E153" s="8" t="e">
        <v>#N/A</v>
      </c>
      <c r="F153" s="9" t="e">
        <f t="shared" si="2"/>
        <v>#N/A</v>
      </c>
    </row>
    <row r="154" hidden="1" spans="1:6">
      <c r="A154" s="7" t="s">
        <v>256</v>
      </c>
      <c r="B154" s="7" t="s">
        <v>58</v>
      </c>
      <c r="C154" s="7">
        <v>5509.45</v>
      </c>
      <c r="D154" s="7">
        <v>10.8</v>
      </c>
      <c r="E154" s="8" t="e">
        <v>#N/A</v>
      </c>
      <c r="F154" s="9" t="e">
        <f t="shared" si="2"/>
        <v>#N/A</v>
      </c>
    </row>
    <row r="155" spans="1:6">
      <c r="A155" s="7" t="s">
        <v>158</v>
      </c>
      <c r="B155" s="7" t="s">
        <v>7</v>
      </c>
      <c r="C155" s="7">
        <v>5508.53</v>
      </c>
      <c r="D155" s="7">
        <v>10.8</v>
      </c>
      <c r="E155" s="8">
        <v>9</v>
      </c>
      <c r="F155" s="9">
        <f t="shared" si="2"/>
        <v>0.166666666666667</v>
      </c>
    </row>
    <row r="156" hidden="1" spans="1:6">
      <c r="A156" s="7" t="s">
        <v>257</v>
      </c>
      <c r="B156" s="7" t="s">
        <v>61</v>
      </c>
      <c r="C156" s="7">
        <v>5490.02</v>
      </c>
      <c r="D156" s="7">
        <v>10.76</v>
      </c>
      <c r="E156" s="8" t="e">
        <v>#N/A</v>
      </c>
      <c r="F156" s="9" t="e">
        <f t="shared" si="2"/>
        <v>#N/A</v>
      </c>
    </row>
    <row r="157" hidden="1" spans="1:6">
      <c r="A157" s="7" t="s">
        <v>258</v>
      </c>
      <c r="B157" s="7" t="s">
        <v>59</v>
      </c>
      <c r="C157" s="7">
        <v>5489.18</v>
      </c>
      <c r="D157" s="7">
        <v>10.76</v>
      </c>
      <c r="E157" s="8" t="e">
        <v>#N/A</v>
      </c>
      <c r="F157" s="9" t="e">
        <f t="shared" si="2"/>
        <v>#N/A</v>
      </c>
    </row>
    <row r="158" hidden="1" spans="1:6">
      <c r="A158" s="7" t="s">
        <v>259</v>
      </c>
      <c r="B158" s="7" t="s">
        <v>59</v>
      </c>
      <c r="C158" s="7">
        <v>5475.7</v>
      </c>
      <c r="D158" s="7">
        <v>10.74</v>
      </c>
      <c r="E158" s="8" t="e">
        <v>#N/A</v>
      </c>
      <c r="F158" s="9" t="e">
        <f t="shared" si="2"/>
        <v>#N/A</v>
      </c>
    </row>
    <row r="159" hidden="1" spans="1:6">
      <c r="A159" s="7" t="s">
        <v>260</v>
      </c>
      <c r="B159" s="7" t="s">
        <v>58</v>
      </c>
      <c r="C159" s="7">
        <v>5471.55</v>
      </c>
      <c r="D159" s="7">
        <v>10.73</v>
      </c>
      <c r="E159" s="8" t="e">
        <v>#N/A</v>
      </c>
      <c r="F159" s="9" t="e">
        <f t="shared" si="2"/>
        <v>#N/A</v>
      </c>
    </row>
    <row r="160" spans="1:6">
      <c r="A160" s="11" t="s">
        <v>159</v>
      </c>
      <c r="B160" s="7" t="s">
        <v>6</v>
      </c>
      <c r="C160" s="7">
        <v>5469.22</v>
      </c>
      <c r="D160" s="7">
        <v>10.72</v>
      </c>
      <c r="E160" s="8">
        <v>10.0000352941176</v>
      </c>
      <c r="F160" s="9">
        <f t="shared" si="2"/>
        <v>0.0671608867427612</v>
      </c>
    </row>
    <row r="161" spans="1:6">
      <c r="A161" s="7" t="s">
        <v>160</v>
      </c>
      <c r="B161" s="7" t="s">
        <v>11</v>
      </c>
      <c r="C161" s="7">
        <v>5439.82</v>
      </c>
      <c r="D161" s="7">
        <v>10.67</v>
      </c>
      <c r="E161" s="10">
        <v>9</v>
      </c>
      <c r="F161" s="9">
        <f t="shared" si="2"/>
        <v>0.15651358950328</v>
      </c>
    </row>
    <row r="162" spans="1:6">
      <c r="A162" s="7" t="s">
        <v>161</v>
      </c>
      <c r="B162" s="7" t="s">
        <v>11</v>
      </c>
      <c r="C162" s="7">
        <v>5417.07</v>
      </c>
      <c r="D162" s="7">
        <v>10.62</v>
      </c>
      <c r="E162" s="10">
        <v>9</v>
      </c>
      <c r="F162" s="9">
        <f t="shared" si="2"/>
        <v>0.152542372881356</v>
      </c>
    </row>
    <row r="163" hidden="1" spans="1:6">
      <c r="A163" s="7" t="s">
        <v>261</v>
      </c>
      <c r="B163" s="7" t="s">
        <v>56</v>
      </c>
      <c r="C163" s="7">
        <v>5394.38</v>
      </c>
      <c r="D163" s="7">
        <v>10.58</v>
      </c>
      <c r="E163" s="8" t="e">
        <v>#N/A</v>
      </c>
      <c r="F163" s="9" t="e">
        <f t="shared" si="2"/>
        <v>#N/A</v>
      </c>
    </row>
    <row r="164" spans="1:6">
      <c r="A164" s="7" t="s">
        <v>262</v>
      </c>
      <c r="B164" s="7" t="s">
        <v>7</v>
      </c>
      <c r="C164" s="7">
        <v>5376.83</v>
      </c>
      <c r="D164" s="7">
        <v>10.54</v>
      </c>
      <c r="E164" s="8"/>
      <c r="F164" s="9">
        <f t="shared" si="2"/>
        <v>1</v>
      </c>
    </row>
    <row r="165" spans="1:6">
      <c r="A165" s="7" t="s">
        <v>162</v>
      </c>
      <c r="B165" s="7" t="s">
        <v>6</v>
      </c>
      <c r="C165" s="7">
        <v>5362.95</v>
      </c>
      <c r="D165" s="7">
        <v>10.52</v>
      </c>
      <c r="E165" s="10">
        <v>5.99998823529412</v>
      </c>
      <c r="F165" s="9">
        <f t="shared" si="2"/>
        <v>0.429658912994855</v>
      </c>
    </row>
    <row r="166" hidden="1" spans="1:6">
      <c r="A166" s="7" t="s">
        <v>263</v>
      </c>
      <c r="B166" s="7" t="s">
        <v>59</v>
      </c>
      <c r="C166" s="7">
        <v>5351.55</v>
      </c>
      <c r="D166" s="7">
        <v>10.49</v>
      </c>
      <c r="E166" s="8" t="e">
        <v>#N/A</v>
      </c>
      <c r="F166" s="9" t="e">
        <f t="shared" si="2"/>
        <v>#N/A</v>
      </c>
    </row>
    <row r="167" hidden="1" spans="1:6">
      <c r="A167" s="7" t="s">
        <v>264</v>
      </c>
      <c r="B167" s="7" t="s">
        <v>57</v>
      </c>
      <c r="C167" s="7">
        <v>5333.5</v>
      </c>
      <c r="D167" s="7">
        <v>10.46</v>
      </c>
      <c r="E167" s="8" t="e">
        <v>#N/A</v>
      </c>
      <c r="F167" s="9" t="e">
        <f t="shared" si="2"/>
        <v>#N/A</v>
      </c>
    </row>
    <row r="168" spans="1:6">
      <c r="A168" s="7" t="s">
        <v>163</v>
      </c>
      <c r="B168" s="7" t="s">
        <v>9</v>
      </c>
      <c r="C168" s="7">
        <v>5333</v>
      </c>
      <c r="D168" s="7">
        <v>10.46</v>
      </c>
      <c r="E168" s="10">
        <v>1</v>
      </c>
      <c r="F168" s="9">
        <f t="shared" si="2"/>
        <v>0.904397705544933</v>
      </c>
    </row>
    <row r="169" spans="1:6">
      <c r="A169" s="7" t="s">
        <v>164</v>
      </c>
      <c r="B169" s="7" t="s">
        <v>6</v>
      </c>
      <c r="C169" s="7">
        <v>5329.25</v>
      </c>
      <c r="D169" s="7">
        <v>10.45</v>
      </c>
      <c r="E169" s="8">
        <v>9</v>
      </c>
      <c r="F169" s="9">
        <f t="shared" si="2"/>
        <v>0.138755980861244</v>
      </c>
    </row>
    <row r="170" hidden="1" spans="1:6">
      <c r="A170" s="7" t="s">
        <v>265</v>
      </c>
      <c r="B170" s="7" t="s">
        <v>61</v>
      </c>
      <c r="C170" s="7">
        <v>5326.27</v>
      </c>
      <c r="D170" s="7">
        <v>10.44</v>
      </c>
      <c r="E170" s="8" t="e">
        <v>#N/A</v>
      </c>
      <c r="F170" s="9" t="e">
        <f t="shared" si="2"/>
        <v>#N/A</v>
      </c>
    </row>
    <row r="171" spans="1:6">
      <c r="A171" s="7" t="s">
        <v>165</v>
      </c>
      <c r="B171" s="7" t="s">
        <v>6</v>
      </c>
      <c r="C171" s="7">
        <v>5310.65</v>
      </c>
      <c r="D171" s="7">
        <v>10.41</v>
      </c>
      <c r="E171" s="10">
        <v>5</v>
      </c>
      <c r="F171" s="9">
        <f t="shared" si="2"/>
        <v>0.51969260326609</v>
      </c>
    </row>
    <row r="172" hidden="1" spans="1:6">
      <c r="A172" s="7" t="s">
        <v>266</v>
      </c>
      <c r="B172" s="7" t="s">
        <v>60</v>
      </c>
      <c r="C172" s="7">
        <v>5309.03</v>
      </c>
      <c r="D172" s="7">
        <v>10.41</v>
      </c>
      <c r="E172" s="8" t="e">
        <v>#N/A</v>
      </c>
      <c r="F172" s="9" t="e">
        <f t="shared" si="2"/>
        <v>#N/A</v>
      </c>
    </row>
    <row r="173" hidden="1" spans="1:6">
      <c r="A173" s="7" t="s">
        <v>267</v>
      </c>
      <c r="B173" s="7" t="s">
        <v>56</v>
      </c>
      <c r="C173" s="7">
        <v>5297.92</v>
      </c>
      <c r="D173" s="7">
        <v>10.39</v>
      </c>
      <c r="E173" s="8" t="e">
        <v>#N/A</v>
      </c>
      <c r="F173" s="9" t="e">
        <f t="shared" si="2"/>
        <v>#N/A</v>
      </c>
    </row>
    <row r="174" spans="1:6">
      <c r="A174" s="11" t="s">
        <v>166</v>
      </c>
      <c r="B174" s="7" t="s">
        <v>6</v>
      </c>
      <c r="C174" s="7">
        <v>5293.65</v>
      </c>
      <c r="D174" s="7">
        <v>10.38</v>
      </c>
      <c r="E174" s="8">
        <v>10.4705529411765</v>
      </c>
      <c r="F174" s="9">
        <f t="shared" si="2"/>
        <v>0.00872379009407509</v>
      </c>
    </row>
    <row r="175" spans="1:6">
      <c r="A175" s="7" t="s">
        <v>167</v>
      </c>
      <c r="B175" s="7" t="s">
        <v>6</v>
      </c>
      <c r="C175" s="7">
        <v>5279.83</v>
      </c>
      <c r="D175" s="7">
        <v>10.35</v>
      </c>
      <c r="E175" s="8">
        <v>9</v>
      </c>
      <c r="F175" s="9">
        <f t="shared" si="2"/>
        <v>0.130434782608696</v>
      </c>
    </row>
    <row r="176" hidden="1" spans="1:6">
      <c r="A176" s="7" t="s">
        <v>268</v>
      </c>
      <c r="B176" s="7" t="s">
        <v>59</v>
      </c>
      <c r="C176" s="7">
        <v>5268.8</v>
      </c>
      <c r="D176" s="7">
        <v>10.33</v>
      </c>
      <c r="E176" s="8" t="e">
        <v>#N/A</v>
      </c>
      <c r="F176" s="9" t="e">
        <f t="shared" si="2"/>
        <v>#N/A</v>
      </c>
    </row>
    <row r="177" hidden="1" spans="1:6">
      <c r="A177" s="7" t="s">
        <v>269</v>
      </c>
      <c r="B177" s="7" t="s">
        <v>57</v>
      </c>
      <c r="C177" s="7">
        <v>5224.78</v>
      </c>
      <c r="D177" s="7">
        <v>10.24</v>
      </c>
      <c r="E177" s="8" t="e">
        <v>#N/A</v>
      </c>
      <c r="F177" s="9" t="e">
        <f t="shared" si="2"/>
        <v>#N/A</v>
      </c>
    </row>
    <row r="178" spans="1:6">
      <c r="A178" s="7" t="s">
        <v>168</v>
      </c>
      <c r="B178" s="7" t="s">
        <v>11</v>
      </c>
      <c r="C178" s="7">
        <v>5200.9</v>
      </c>
      <c r="D178" s="7">
        <v>10.2</v>
      </c>
      <c r="E178" s="10">
        <v>7.5</v>
      </c>
      <c r="F178" s="9">
        <f t="shared" si="2"/>
        <v>0.264705882352941</v>
      </c>
    </row>
    <row r="179" spans="1:6">
      <c r="A179" s="7" t="s">
        <v>169</v>
      </c>
      <c r="B179" s="7" t="s">
        <v>6</v>
      </c>
      <c r="C179" s="7">
        <v>5191.1</v>
      </c>
      <c r="D179" s="7">
        <v>10.18</v>
      </c>
      <c r="E179" s="10">
        <v>7.01958823529412</v>
      </c>
      <c r="F179" s="9">
        <f t="shared" si="2"/>
        <v>0.310453022073269</v>
      </c>
    </row>
    <row r="180" spans="1:6">
      <c r="A180" s="7" t="s">
        <v>170</v>
      </c>
      <c r="B180" s="7" t="s">
        <v>6</v>
      </c>
      <c r="C180" s="7">
        <v>5149.95</v>
      </c>
      <c r="D180" s="7">
        <v>10.1</v>
      </c>
      <c r="E180" s="10">
        <v>6.99998823529412</v>
      </c>
      <c r="F180" s="9">
        <f t="shared" si="2"/>
        <v>0.306931857891671</v>
      </c>
    </row>
    <row r="181" spans="1:6">
      <c r="A181" s="7" t="s">
        <v>171</v>
      </c>
      <c r="B181" s="7" t="s">
        <v>6</v>
      </c>
      <c r="C181" s="7">
        <v>5117.78</v>
      </c>
      <c r="D181" s="7">
        <v>10.03</v>
      </c>
      <c r="E181" s="10">
        <v>8</v>
      </c>
      <c r="F181" s="9">
        <f t="shared" si="2"/>
        <v>0.202392821535394</v>
      </c>
    </row>
    <row r="182" spans="1:6">
      <c r="A182" s="7" t="s">
        <v>172</v>
      </c>
      <c r="B182" s="7" t="s">
        <v>11</v>
      </c>
      <c r="C182" s="7">
        <v>5083.12</v>
      </c>
      <c r="D182" s="7">
        <v>9.97</v>
      </c>
      <c r="E182" s="10">
        <v>7</v>
      </c>
      <c r="F182" s="9">
        <f t="shared" si="2"/>
        <v>0.297893681043129</v>
      </c>
    </row>
    <row r="183" spans="1:6">
      <c r="A183" s="11" t="s">
        <v>173</v>
      </c>
      <c r="B183" s="7" t="s">
        <v>6</v>
      </c>
      <c r="C183" s="7">
        <v>5034.98</v>
      </c>
      <c r="D183" s="7">
        <v>9.87</v>
      </c>
      <c r="E183" s="8">
        <v>8.99998823529412</v>
      </c>
      <c r="F183" s="9">
        <f t="shared" si="2"/>
        <v>0.0881470886226827</v>
      </c>
    </row>
    <row r="184" hidden="1" spans="1:6">
      <c r="A184" s="7" t="s">
        <v>270</v>
      </c>
      <c r="B184" s="7" t="s">
        <v>59</v>
      </c>
      <c r="C184" s="7">
        <v>5011.13</v>
      </c>
      <c r="D184" s="7">
        <v>9.83</v>
      </c>
      <c r="E184" s="8" t="e">
        <v>#N/A</v>
      </c>
      <c r="F184" s="9" t="e">
        <f t="shared" si="2"/>
        <v>#N/A</v>
      </c>
    </row>
    <row r="185" spans="1:6">
      <c r="A185" s="7" t="s">
        <v>174</v>
      </c>
      <c r="B185" s="7" t="s">
        <v>7</v>
      </c>
      <c r="C185" s="7">
        <v>5006.67</v>
      </c>
      <c r="D185" s="7">
        <v>9.82</v>
      </c>
      <c r="E185" s="10">
        <v>7.99997647058823</v>
      </c>
      <c r="F185" s="9">
        <f t="shared" si="2"/>
        <v>0.185338444950282</v>
      </c>
    </row>
    <row r="186" hidden="1" spans="1:6">
      <c r="A186" s="7" t="s">
        <v>271</v>
      </c>
      <c r="B186" s="7" t="s">
        <v>61</v>
      </c>
      <c r="C186" s="7">
        <v>4970.98</v>
      </c>
      <c r="D186" s="7">
        <v>9.75</v>
      </c>
      <c r="E186" s="8" t="e">
        <v>#N/A</v>
      </c>
      <c r="F186" s="9" t="e">
        <f t="shared" si="2"/>
        <v>#N/A</v>
      </c>
    </row>
    <row r="187" spans="1:6">
      <c r="A187" s="11" t="s">
        <v>175</v>
      </c>
      <c r="B187" s="7" t="s">
        <v>10</v>
      </c>
      <c r="C187" s="7">
        <v>4968.37</v>
      </c>
      <c r="D187" s="7">
        <v>9.74</v>
      </c>
      <c r="E187" s="8">
        <v>10</v>
      </c>
      <c r="F187" s="9">
        <f t="shared" si="2"/>
        <v>0.0266940451745379</v>
      </c>
    </row>
    <row r="188" spans="1:6">
      <c r="A188" s="7" t="s">
        <v>176</v>
      </c>
      <c r="B188" s="7" t="s">
        <v>10</v>
      </c>
      <c r="C188" s="7">
        <v>4885.15</v>
      </c>
      <c r="D188" s="7">
        <v>9.58</v>
      </c>
      <c r="E188" s="8">
        <v>10.7647058823529</v>
      </c>
      <c r="F188" s="9">
        <f t="shared" si="2"/>
        <v>0.123664497114081</v>
      </c>
    </row>
    <row r="189" hidden="1" spans="1:6">
      <c r="A189" s="7" t="s">
        <v>272</v>
      </c>
      <c r="B189" s="7" t="s">
        <v>58</v>
      </c>
      <c r="C189" s="7">
        <v>4828.9</v>
      </c>
      <c r="D189" s="7">
        <v>9.47</v>
      </c>
      <c r="E189" s="8" t="e">
        <v>#N/A</v>
      </c>
      <c r="F189" s="9" t="e">
        <f t="shared" si="2"/>
        <v>#N/A</v>
      </c>
    </row>
    <row r="190" spans="1:6">
      <c r="A190" s="7" t="s">
        <v>177</v>
      </c>
      <c r="B190" s="7" t="s">
        <v>11</v>
      </c>
      <c r="C190" s="7">
        <v>4816.07</v>
      </c>
      <c r="D190" s="7">
        <v>9.44</v>
      </c>
      <c r="E190" s="10">
        <v>6</v>
      </c>
      <c r="F190" s="9">
        <f t="shared" si="2"/>
        <v>0.364406779661017</v>
      </c>
    </row>
    <row r="191" hidden="1" spans="1:6">
      <c r="A191" s="7" t="s">
        <v>273</v>
      </c>
      <c r="B191" s="7" t="s">
        <v>59</v>
      </c>
      <c r="C191" s="7">
        <v>4754.42</v>
      </c>
      <c r="D191" s="7">
        <v>9.32</v>
      </c>
      <c r="E191" s="8" t="e">
        <v>#N/A</v>
      </c>
      <c r="F191" s="9" t="e">
        <f t="shared" si="2"/>
        <v>#N/A</v>
      </c>
    </row>
    <row r="192" hidden="1" spans="1:6">
      <c r="A192" s="7" t="s">
        <v>274</v>
      </c>
      <c r="B192" s="7" t="s">
        <v>60</v>
      </c>
      <c r="C192" s="7">
        <v>4685.33</v>
      </c>
      <c r="D192" s="7">
        <v>9.19</v>
      </c>
      <c r="E192" s="8" t="e">
        <v>#N/A</v>
      </c>
      <c r="F192" s="9" t="e">
        <f t="shared" si="2"/>
        <v>#N/A</v>
      </c>
    </row>
    <row r="193" spans="1:6">
      <c r="A193" s="11" t="s">
        <v>178</v>
      </c>
      <c r="B193" s="7" t="s">
        <v>11</v>
      </c>
      <c r="C193" s="7">
        <v>4680.27</v>
      </c>
      <c r="D193" s="7">
        <v>9.18</v>
      </c>
      <c r="E193" s="8">
        <v>9</v>
      </c>
      <c r="F193" s="9">
        <f t="shared" si="2"/>
        <v>0.0196078431372548</v>
      </c>
    </row>
    <row r="194" hidden="1" spans="1:6">
      <c r="A194" s="7" t="s">
        <v>275</v>
      </c>
      <c r="B194" s="7" t="s">
        <v>59</v>
      </c>
      <c r="C194" s="7">
        <v>4664.73</v>
      </c>
      <c r="D194" s="7">
        <v>9.15</v>
      </c>
      <c r="E194" s="8" t="e">
        <v>#N/A</v>
      </c>
      <c r="F194" s="9" t="e">
        <f t="shared" si="2"/>
        <v>#N/A</v>
      </c>
    </row>
    <row r="195" hidden="1" spans="1:6">
      <c r="A195" s="7" t="s">
        <v>276</v>
      </c>
      <c r="B195" s="7" t="s">
        <v>60</v>
      </c>
      <c r="C195" s="7">
        <v>4661.73</v>
      </c>
      <c r="D195" s="7">
        <v>9.14</v>
      </c>
      <c r="E195" s="8" t="e">
        <v>#N/A</v>
      </c>
      <c r="F195" s="9" t="e">
        <f t="shared" ref="F195:F239" si="3">ABS(E195/D195-1)</f>
        <v>#N/A</v>
      </c>
    </row>
    <row r="196" hidden="1" spans="1:6">
      <c r="A196" s="7" t="s">
        <v>277</v>
      </c>
      <c r="B196" s="7" t="s">
        <v>60</v>
      </c>
      <c r="C196" s="7">
        <v>4649.67</v>
      </c>
      <c r="D196" s="7">
        <v>9.12</v>
      </c>
      <c r="E196" s="8" t="e">
        <v>#N/A</v>
      </c>
      <c r="F196" s="9" t="e">
        <f t="shared" si="3"/>
        <v>#N/A</v>
      </c>
    </row>
    <row r="197" hidden="1" spans="1:6">
      <c r="A197" s="7" t="s">
        <v>278</v>
      </c>
      <c r="B197" s="7" t="s">
        <v>57</v>
      </c>
      <c r="C197" s="7">
        <v>4637.38</v>
      </c>
      <c r="D197" s="7">
        <v>9.09</v>
      </c>
      <c r="E197" s="8" t="e">
        <v>#N/A</v>
      </c>
      <c r="F197" s="9" t="e">
        <f t="shared" si="3"/>
        <v>#N/A</v>
      </c>
    </row>
    <row r="198" s="1" customFormat="1" spans="1:6">
      <c r="A198" s="11" t="s">
        <v>179</v>
      </c>
      <c r="B198" s="7" t="s">
        <v>10</v>
      </c>
      <c r="C198" s="7">
        <v>4604.32</v>
      </c>
      <c r="D198" s="7">
        <v>9.03</v>
      </c>
      <c r="E198" s="10">
        <v>8.99998823529412</v>
      </c>
      <c r="F198" s="9">
        <f t="shared" si="3"/>
        <v>0.00332356198293238</v>
      </c>
    </row>
    <row r="199" spans="1:6">
      <c r="A199" s="7" t="s">
        <v>180</v>
      </c>
      <c r="B199" s="7" t="s">
        <v>6</v>
      </c>
      <c r="C199" s="7">
        <v>4598.58</v>
      </c>
      <c r="D199" s="7">
        <v>9.02</v>
      </c>
      <c r="E199" s="10">
        <v>6.99998823529412</v>
      </c>
      <c r="F199" s="9">
        <f t="shared" si="3"/>
        <v>0.223948089213512</v>
      </c>
    </row>
    <row r="200" s="1" customFormat="1" spans="1:6">
      <c r="A200" s="7" t="s">
        <v>181</v>
      </c>
      <c r="B200" s="7" t="s">
        <v>11</v>
      </c>
      <c r="C200" s="7">
        <v>4584</v>
      </c>
      <c r="D200" s="7">
        <v>8.99</v>
      </c>
      <c r="E200" s="10">
        <v>8</v>
      </c>
      <c r="F200" s="9">
        <f t="shared" si="3"/>
        <v>0.110122358175751</v>
      </c>
    </row>
    <row r="201" hidden="1" spans="1:6">
      <c r="A201" s="7" t="s">
        <v>279</v>
      </c>
      <c r="B201" s="7" t="s">
        <v>59</v>
      </c>
      <c r="C201" s="7">
        <v>4572.18</v>
      </c>
      <c r="D201" s="7">
        <v>8.97</v>
      </c>
      <c r="E201" s="8" t="e">
        <v>#N/A</v>
      </c>
      <c r="F201" s="9" t="e">
        <f t="shared" si="3"/>
        <v>#N/A</v>
      </c>
    </row>
    <row r="202" spans="1:6">
      <c r="A202" s="7" t="s">
        <v>182</v>
      </c>
      <c r="B202" s="7" t="s">
        <v>6</v>
      </c>
      <c r="C202" s="7">
        <v>4548.1</v>
      </c>
      <c r="D202" s="7">
        <v>8.92</v>
      </c>
      <c r="E202" s="10">
        <v>7</v>
      </c>
      <c r="F202" s="9">
        <f t="shared" si="3"/>
        <v>0.2152466367713</v>
      </c>
    </row>
    <row r="203" hidden="1" spans="1:6">
      <c r="A203" s="7" t="s">
        <v>280</v>
      </c>
      <c r="B203" s="7" t="s">
        <v>60</v>
      </c>
      <c r="C203" s="7">
        <v>4527.08</v>
      </c>
      <c r="D203" s="7">
        <v>8.88</v>
      </c>
      <c r="E203" s="8" t="e">
        <v>#N/A</v>
      </c>
      <c r="F203" s="9" t="e">
        <f t="shared" si="3"/>
        <v>#N/A</v>
      </c>
    </row>
    <row r="204" s="1" customFormat="1" spans="1:6">
      <c r="A204" s="11" t="s">
        <v>183</v>
      </c>
      <c r="B204" s="7" t="s">
        <v>11</v>
      </c>
      <c r="C204" s="7">
        <v>4497.12</v>
      </c>
      <c r="D204" s="7">
        <v>8.82</v>
      </c>
      <c r="E204" s="10">
        <v>8</v>
      </c>
      <c r="F204" s="9">
        <f t="shared" si="3"/>
        <v>0.0929705215419502</v>
      </c>
    </row>
    <row r="205" hidden="1" spans="1:6">
      <c r="A205" s="7" t="s">
        <v>281</v>
      </c>
      <c r="B205" s="7" t="s">
        <v>59</v>
      </c>
      <c r="C205" s="7">
        <v>4487.57</v>
      </c>
      <c r="D205" s="7">
        <v>8.8</v>
      </c>
      <c r="E205" s="8" t="e">
        <v>#N/A</v>
      </c>
      <c r="F205" s="9" t="e">
        <f t="shared" si="3"/>
        <v>#N/A</v>
      </c>
    </row>
    <row r="206" hidden="1" spans="1:6">
      <c r="A206" s="7" t="s">
        <v>282</v>
      </c>
      <c r="B206" s="7" t="s">
        <v>57</v>
      </c>
      <c r="C206" s="7">
        <v>4477.52</v>
      </c>
      <c r="D206" s="7">
        <v>8.78</v>
      </c>
      <c r="E206" s="8" t="e">
        <v>#N/A</v>
      </c>
      <c r="F206" s="9" t="e">
        <f t="shared" si="3"/>
        <v>#N/A</v>
      </c>
    </row>
    <row r="207" hidden="1" spans="1:6">
      <c r="A207" s="7" t="s">
        <v>283</v>
      </c>
      <c r="B207" s="7" t="s">
        <v>57</v>
      </c>
      <c r="C207" s="7">
        <v>4456.13</v>
      </c>
      <c r="D207" s="7">
        <v>8.74</v>
      </c>
      <c r="E207" s="8" t="e">
        <v>#N/A</v>
      </c>
      <c r="F207" s="9" t="e">
        <f t="shared" si="3"/>
        <v>#N/A</v>
      </c>
    </row>
    <row r="208" hidden="1" spans="1:6">
      <c r="A208" s="7" t="s">
        <v>284</v>
      </c>
      <c r="B208" s="7" t="s">
        <v>58</v>
      </c>
      <c r="C208" s="7">
        <v>4357.97</v>
      </c>
      <c r="D208" s="7">
        <v>8.55</v>
      </c>
      <c r="E208" s="8" t="e">
        <v>#N/A</v>
      </c>
      <c r="F208" s="9" t="e">
        <f t="shared" si="3"/>
        <v>#N/A</v>
      </c>
    </row>
    <row r="209" hidden="1" spans="1:6">
      <c r="A209" s="7" t="s">
        <v>285</v>
      </c>
      <c r="B209" s="7" t="s">
        <v>61</v>
      </c>
      <c r="C209" s="7">
        <v>4290.57</v>
      </c>
      <c r="D209" s="7">
        <v>8.41</v>
      </c>
      <c r="E209" s="8" t="e">
        <v>#N/A</v>
      </c>
      <c r="F209" s="9" t="e">
        <f t="shared" si="3"/>
        <v>#N/A</v>
      </c>
    </row>
    <row r="210" hidden="1" spans="1:6">
      <c r="A210" s="7" t="s">
        <v>286</v>
      </c>
      <c r="B210" s="7" t="s">
        <v>57</v>
      </c>
      <c r="C210" s="7">
        <v>4281.97</v>
      </c>
      <c r="D210" s="7">
        <v>8.4</v>
      </c>
      <c r="E210" s="8" t="e">
        <v>#N/A</v>
      </c>
      <c r="F210" s="9" t="e">
        <f t="shared" si="3"/>
        <v>#N/A</v>
      </c>
    </row>
    <row r="211" spans="1:6">
      <c r="A211" s="7" t="s">
        <v>184</v>
      </c>
      <c r="B211" s="7" t="s">
        <v>6</v>
      </c>
      <c r="C211" s="7">
        <v>4242.63</v>
      </c>
      <c r="D211" s="7">
        <v>8.32</v>
      </c>
      <c r="E211" s="10">
        <v>7.05492941176471</v>
      </c>
      <c r="F211" s="9">
        <f t="shared" si="3"/>
        <v>0.152051753393665</v>
      </c>
    </row>
    <row r="212" spans="1:6">
      <c r="A212" s="7" t="s">
        <v>185</v>
      </c>
      <c r="B212" s="7" t="s">
        <v>7</v>
      </c>
      <c r="C212" s="7">
        <v>4237.88</v>
      </c>
      <c r="D212" s="7">
        <v>8.31</v>
      </c>
      <c r="E212" s="8">
        <v>9.88235294117647</v>
      </c>
      <c r="F212" s="9">
        <f t="shared" si="3"/>
        <v>0.189212146952644</v>
      </c>
    </row>
    <row r="213" spans="1:6">
      <c r="A213" s="11" t="s">
        <v>186</v>
      </c>
      <c r="B213" s="7" t="s">
        <v>6</v>
      </c>
      <c r="C213" s="7">
        <v>3987.35</v>
      </c>
      <c r="D213" s="7">
        <v>7.82</v>
      </c>
      <c r="E213" s="10">
        <v>7.94117647058824</v>
      </c>
      <c r="F213" s="9">
        <f t="shared" si="3"/>
        <v>0.0154957123514372</v>
      </c>
    </row>
    <row r="214" hidden="1" spans="1:6">
      <c r="A214" s="7" t="s">
        <v>287</v>
      </c>
      <c r="B214" s="7" t="s">
        <v>57</v>
      </c>
      <c r="C214" s="7">
        <v>3956.8</v>
      </c>
      <c r="D214" s="7">
        <v>7.76</v>
      </c>
      <c r="E214" s="8" t="e">
        <v>#N/A</v>
      </c>
      <c r="F214" s="9" t="e">
        <f t="shared" si="3"/>
        <v>#N/A</v>
      </c>
    </row>
    <row r="215" s="1" customFormat="1" spans="1:6">
      <c r="A215" s="7" t="s">
        <v>20</v>
      </c>
      <c r="B215" s="7" t="s">
        <v>9</v>
      </c>
      <c r="C215" s="7">
        <v>3918.62</v>
      </c>
      <c r="D215" s="7">
        <v>7.68</v>
      </c>
      <c r="E215" s="10"/>
      <c r="F215" s="9">
        <f t="shared" si="3"/>
        <v>1</v>
      </c>
    </row>
    <row r="216" spans="1:6">
      <c r="A216" s="11" t="s">
        <v>187</v>
      </c>
      <c r="B216" s="7" t="s">
        <v>7</v>
      </c>
      <c r="C216" s="7">
        <v>3873.38</v>
      </c>
      <c r="D216" s="7">
        <v>7.59</v>
      </c>
      <c r="E216" s="8">
        <v>8.00004705882353</v>
      </c>
      <c r="F216" s="9">
        <f t="shared" si="3"/>
        <v>0.0540246454312951</v>
      </c>
    </row>
    <row r="217" hidden="1" spans="1:6">
      <c r="A217" s="7" t="s">
        <v>288</v>
      </c>
      <c r="B217" s="7" t="s">
        <v>57</v>
      </c>
      <c r="C217" s="7">
        <v>3867.2</v>
      </c>
      <c r="D217" s="7">
        <v>7.58</v>
      </c>
      <c r="E217" s="8" t="e">
        <v>#N/A</v>
      </c>
      <c r="F217" s="9" t="e">
        <f t="shared" si="3"/>
        <v>#N/A</v>
      </c>
    </row>
    <row r="218" s="1" customFormat="1" spans="1:6">
      <c r="A218" s="11" t="s">
        <v>188</v>
      </c>
      <c r="B218" s="7" t="s">
        <v>11</v>
      </c>
      <c r="C218" s="7">
        <v>3848.03</v>
      </c>
      <c r="D218" s="7">
        <v>7.55</v>
      </c>
      <c r="E218" s="10">
        <v>7</v>
      </c>
      <c r="F218" s="9">
        <f t="shared" si="3"/>
        <v>0.0728476821192052</v>
      </c>
    </row>
    <row r="219" hidden="1" spans="1:6">
      <c r="A219" s="7" t="s">
        <v>289</v>
      </c>
      <c r="B219" s="7" t="s">
        <v>57</v>
      </c>
      <c r="C219" s="7">
        <v>3787.3</v>
      </c>
      <c r="D219" s="7">
        <v>7.43</v>
      </c>
      <c r="E219" s="8" t="e">
        <v>#N/A</v>
      </c>
      <c r="F219" s="9" t="e">
        <f t="shared" si="3"/>
        <v>#N/A</v>
      </c>
    </row>
    <row r="220" spans="1:6">
      <c r="A220" s="7" t="s">
        <v>189</v>
      </c>
      <c r="B220" s="7" t="s">
        <v>6</v>
      </c>
      <c r="C220" s="7">
        <v>3574.23</v>
      </c>
      <c r="D220" s="7">
        <v>7.01</v>
      </c>
      <c r="E220" s="10">
        <v>6</v>
      </c>
      <c r="F220" s="9">
        <f t="shared" si="3"/>
        <v>0.144079885877318</v>
      </c>
    </row>
    <row r="221" s="1" customFormat="1" spans="1:6">
      <c r="A221" s="7" t="s">
        <v>190</v>
      </c>
      <c r="B221" s="7" t="s">
        <v>11</v>
      </c>
      <c r="C221" s="7">
        <v>3517.67</v>
      </c>
      <c r="D221" s="7">
        <v>6.9</v>
      </c>
      <c r="E221" s="10">
        <v>10</v>
      </c>
      <c r="F221" s="9">
        <f t="shared" si="3"/>
        <v>0.449275362318841</v>
      </c>
    </row>
    <row r="222" hidden="1" spans="1:6">
      <c r="A222" s="7" t="s">
        <v>290</v>
      </c>
      <c r="B222" s="7" t="s">
        <v>60</v>
      </c>
      <c r="C222" s="7">
        <v>3346.6</v>
      </c>
      <c r="D222" s="7">
        <v>6.56</v>
      </c>
      <c r="E222" s="8" t="e">
        <v>#N/A</v>
      </c>
      <c r="F222" s="9" t="e">
        <f t="shared" si="3"/>
        <v>#N/A</v>
      </c>
    </row>
    <row r="223" hidden="1" spans="1:6">
      <c r="A223" s="7" t="s">
        <v>291</v>
      </c>
      <c r="B223" s="7" t="s">
        <v>57</v>
      </c>
      <c r="C223" s="7">
        <v>3044.93</v>
      </c>
      <c r="D223" s="7">
        <v>5.97</v>
      </c>
      <c r="E223" s="8" t="e">
        <v>#N/A</v>
      </c>
      <c r="F223" s="9" t="e">
        <f t="shared" si="3"/>
        <v>#N/A</v>
      </c>
    </row>
    <row r="224" hidden="1" spans="1:6">
      <c r="A224" s="7" t="s">
        <v>292</v>
      </c>
      <c r="B224" s="7" t="s">
        <v>58</v>
      </c>
      <c r="C224" s="7">
        <v>2628.48</v>
      </c>
      <c r="D224" s="7">
        <v>5.15</v>
      </c>
      <c r="E224" s="8" t="e">
        <v>#N/A</v>
      </c>
      <c r="F224" s="9" t="e">
        <f t="shared" si="3"/>
        <v>#N/A</v>
      </c>
    </row>
    <row r="225" hidden="1" spans="1:6">
      <c r="A225" s="7" t="s">
        <v>293</v>
      </c>
      <c r="B225" s="7" t="s">
        <v>60</v>
      </c>
      <c r="C225" s="7">
        <v>2345.28</v>
      </c>
      <c r="D225" s="7">
        <v>4.6</v>
      </c>
      <c r="E225" s="8" t="e">
        <v>#N/A</v>
      </c>
      <c r="F225" s="9" t="e">
        <f t="shared" si="3"/>
        <v>#N/A</v>
      </c>
    </row>
    <row r="226" hidden="1" spans="1:6">
      <c r="A226" s="7" t="s">
        <v>294</v>
      </c>
      <c r="B226" s="7" t="s">
        <v>58</v>
      </c>
      <c r="C226" s="7">
        <v>2169.82</v>
      </c>
      <c r="D226" s="7">
        <v>4.25</v>
      </c>
      <c r="E226" s="8" t="e">
        <v>#N/A</v>
      </c>
      <c r="F226" s="9" t="e">
        <f t="shared" si="3"/>
        <v>#N/A</v>
      </c>
    </row>
    <row r="227" hidden="1" spans="1:6">
      <c r="A227" s="7" t="s">
        <v>295</v>
      </c>
      <c r="B227" s="7" t="s">
        <v>56</v>
      </c>
      <c r="C227" s="7">
        <v>2077.75</v>
      </c>
      <c r="D227" s="7">
        <v>4.07</v>
      </c>
      <c r="E227" s="8" t="e">
        <v>#N/A</v>
      </c>
      <c r="F227" s="9" t="e">
        <f t="shared" si="3"/>
        <v>#N/A</v>
      </c>
    </row>
    <row r="228" hidden="1" spans="1:6">
      <c r="A228" s="7" t="s">
        <v>296</v>
      </c>
      <c r="B228" s="7" t="s">
        <v>56</v>
      </c>
      <c r="C228" s="7">
        <v>2068.4</v>
      </c>
      <c r="D228" s="7">
        <v>4.06</v>
      </c>
      <c r="E228" s="8" t="e">
        <v>#N/A</v>
      </c>
      <c r="F228" s="9" t="e">
        <f t="shared" si="3"/>
        <v>#N/A</v>
      </c>
    </row>
    <row r="229" hidden="1" spans="1:6">
      <c r="A229" s="7" t="s">
        <v>297</v>
      </c>
      <c r="B229" s="7" t="s">
        <v>56</v>
      </c>
      <c r="C229" s="7">
        <v>1815.78</v>
      </c>
      <c r="D229" s="7">
        <v>3.56</v>
      </c>
      <c r="E229" s="8" t="e">
        <v>#N/A</v>
      </c>
      <c r="F229" s="9" t="e">
        <f t="shared" si="3"/>
        <v>#N/A</v>
      </c>
    </row>
    <row r="230" hidden="1" spans="1:6">
      <c r="A230" s="7" t="s">
        <v>298</v>
      </c>
      <c r="B230" s="7" t="s">
        <v>56</v>
      </c>
      <c r="C230" s="7">
        <v>1657.15</v>
      </c>
      <c r="D230" s="7">
        <v>3.25</v>
      </c>
      <c r="E230" s="8" t="e">
        <v>#N/A</v>
      </c>
      <c r="F230" s="9" t="e">
        <f t="shared" si="3"/>
        <v>#N/A</v>
      </c>
    </row>
    <row r="231" spans="1:6">
      <c r="A231" s="11" t="s">
        <v>191</v>
      </c>
      <c r="B231" s="11" t="s">
        <v>6</v>
      </c>
      <c r="C231" s="11">
        <v>1220.38</v>
      </c>
      <c r="D231" s="11">
        <v>2.39</v>
      </c>
      <c r="E231" s="12"/>
      <c r="F231" s="9">
        <f t="shared" si="3"/>
        <v>1</v>
      </c>
    </row>
    <row r="232" hidden="1" spans="1:6">
      <c r="A232" s="7" t="s">
        <v>299</v>
      </c>
      <c r="B232" s="7" t="s">
        <v>56</v>
      </c>
      <c r="C232" s="7">
        <v>664.5</v>
      </c>
      <c r="D232" s="7">
        <v>1.3</v>
      </c>
      <c r="E232" s="8" t="e">
        <v>#N/A</v>
      </c>
      <c r="F232" s="9" t="e">
        <f t="shared" si="3"/>
        <v>#N/A</v>
      </c>
    </row>
    <row r="233" hidden="1" spans="1:6">
      <c r="A233" s="7" t="s">
        <v>300</v>
      </c>
      <c r="B233" s="7" t="s">
        <v>56</v>
      </c>
      <c r="C233" s="7">
        <v>660.77</v>
      </c>
      <c r="D233" s="7">
        <v>1.3</v>
      </c>
      <c r="E233" s="8" t="e">
        <v>#N/A</v>
      </c>
      <c r="F233" s="9" t="e">
        <f t="shared" si="3"/>
        <v>#N/A</v>
      </c>
    </row>
    <row r="234" hidden="1" spans="1:6">
      <c r="A234" s="7" t="s">
        <v>301</v>
      </c>
      <c r="B234" s="7" t="s">
        <v>57</v>
      </c>
      <c r="C234" s="7">
        <v>579.25</v>
      </c>
      <c r="D234" s="7">
        <v>1.14</v>
      </c>
      <c r="E234" s="8" t="e">
        <v>#N/A</v>
      </c>
      <c r="F234" s="9" t="e">
        <f t="shared" si="3"/>
        <v>#N/A</v>
      </c>
    </row>
    <row r="235" hidden="1" spans="1:6">
      <c r="A235" s="7" t="s">
        <v>302</v>
      </c>
      <c r="B235" s="7" t="s">
        <v>56</v>
      </c>
      <c r="C235" s="7">
        <v>34.53</v>
      </c>
      <c r="D235" s="7">
        <v>0.07</v>
      </c>
      <c r="E235" s="8" t="e">
        <v>#N/A</v>
      </c>
      <c r="F235" s="9" t="e">
        <f t="shared" si="3"/>
        <v>#N/A</v>
      </c>
    </row>
    <row r="236" hidden="1" spans="1:6">
      <c r="A236" s="7" t="s">
        <v>303</v>
      </c>
      <c r="B236" s="7" t="s">
        <v>56</v>
      </c>
      <c r="C236" s="7">
        <v>0</v>
      </c>
      <c r="D236" s="7">
        <v>0</v>
      </c>
      <c r="E236" s="8" t="e">
        <v>#N/A</v>
      </c>
      <c r="F236" s="9" t="e">
        <f t="shared" si="3"/>
        <v>#N/A</v>
      </c>
    </row>
    <row r="237" hidden="1" spans="1:6">
      <c r="A237" s="7" t="s">
        <v>304</v>
      </c>
      <c r="B237" s="7" t="s">
        <v>60</v>
      </c>
      <c r="C237" s="7">
        <v>0</v>
      </c>
      <c r="D237" s="7">
        <v>0</v>
      </c>
      <c r="E237" s="8" t="e">
        <v>#N/A</v>
      </c>
      <c r="F237" s="9" t="e">
        <f t="shared" si="3"/>
        <v>#N/A</v>
      </c>
    </row>
    <row r="238" hidden="1" spans="1:6">
      <c r="A238" s="7" t="s">
        <v>305</v>
      </c>
      <c r="B238" s="7" t="s">
        <v>56</v>
      </c>
      <c r="C238" s="7">
        <v>0</v>
      </c>
      <c r="D238" s="7">
        <v>0</v>
      </c>
      <c r="E238" s="8" t="e">
        <v>#N/A</v>
      </c>
      <c r="F238" s="9" t="e">
        <f t="shared" si="3"/>
        <v>#N/A</v>
      </c>
    </row>
    <row r="239" spans="1:6">
      <c r="A239" s="7" t="s">
        <v>306</v>
      </c>
      <c r="B239" s="7" t="s">
        <v>7</v>
      </c>
      <c r="C239" s="7">
        <v>0</v>
      </c>
      <c r="D239" s="7">
        <v>0</v>
      </c>
      <c r="E239" s="8"/>
      <c r="F239" s="9" t="e">
        <f t="shared" si="3"/>
        <v>#DIV/0!</v>
      </c>
    </row>
  </sheetData>
  <autoFilter ref="A1:F239">
    <filterColumn colId="1">
      <filters>
        <filter val="数据平台部"/>
        <filter val="数据开发部"/>
        <filter val="数据测试部"/>
        <filter val="智能平台部"/>
        <filter val="智能应用一部"/>
        <filter val="智能应用二部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报工不规范问题</vt:lpstr>
      <vt:lpstr>行员_总体事项统计</vt:lpstr>
      <vt:lpstr>行员_科室日期人天汇总</vt:lpstr>
      <vt:lpstr>行员_科室事项人天统计</vt:lpstr>
      <vt:lpstr>报工和考勤数据</vt:lpstr>
      <vt:lpstr>厂商_科室事项人天统计</vt:lpstr>
      <vt:lpstr>厂商_科室日期人天汇总</vt:lpstr>
      <vt:lpstr>行员数据-8.5小时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宋子夜</cp:lastModifiedBy>
  <dcterms:created xsi:type="dcterms:W3CDTF">2026-03-26T11:11:00Z</dcterms:created>
  <dcterms:modified xsi:type="dcterms:W3CDTF">2026-04-02T00:56:04Z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