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EHR_BOSC\基础数据\员工360画像素材\开管数据\"/>
    </mc:Choice>
  </mc:AlternateContent>
  <xr:revisionPtr revIDLastSave="0" documentId="13_ncr:1_{508F2678-32AA-455A-B222-C798B8AEED98}" xr6:coauthVersionLast="47" xr6:coauthVersionMax="47" xr10:uidLastSave="{00000000-0000-0000-0000-000000000000}"/>
  <bookViews>
    <workbookView xWindow="-120" yWindow="-120" windowWidth="29040" windowHeight="15720" firstSheet="1" activeTab="1" xr2:uid="{00000000-000D-0000-FFFF-FFFF00000000}"/>
  </bookViews>
  <sheets>
    <sheet name="Sheet4" sheetId="5" state="hidden" r:id="rId1"/>
    <sheet name="数管部工时明细" sheetId="1" r:id="rId2"/>
    <sheet name="人员清单-202603" sheetId="6" r:id="rId3"/>
  </sheets>
  <definedNames>
    <definedName name="_xlnm._FilterDatabase" localSheetId="2" hidden="1">'人员清单-202603'!$A$1:$K$230</definedName>
    <definedName name="_xlnm._FilterDatabase" localSheetId="1" hidden="1">数管部工时明细!$A$1:$L$218</definedName>
  </definedNames>
  <calcPr calcId="191029"/>
  <pivotCaches>
    <pivotCache cacheId="4" r:id="rId4"/>
  </pivotCaches>
</workbook>
</file>

<file path=xl/calcChain.xml><?xml version="1.0" encoding="utf-8"?>
<calcChain xmlns="http://schemas.openxmlformats.org/spreadsheetml/2006/main">
  <c r="K230" i="6" l="1"/>
  <c r="K229" i="6"/>
  <c r="K228" i="6"/>
  <c r="K227" i="6"/>
  <c r="K226" i="6"/>
  <c r="K225" i="6"/>
  <c r="K224" i="6"/>
  <c r="K223" i="6"/>
  <c r="K222" i="6"/>
  <c r="K221" i="6"/>
  <c r="K220" i="6"/>
  <c r="K219" i="6"/>
  <c r="K218" i="6"/>
  <c r="K217" i="6"/>
  <c r="K216" i="6"/>
  <c r="K215" i="6"/>
  <c r="K214" i="6"/>
  <c r="K213" i="6"/>
  <c r="K212" i="6"/>
  <c r="K211" i="6"/>
  <c r="K210" i="6"/>
  <c r="K209" i="6"/>
  <c r="K208" i="6"/>
  <c r="K207" i="6"/>
  <c r="K206" i="6"/>
  <c r="K205" i="6"/>
  <c r="K204" i="6"/>
  <c r="K203" i="6"/>
  <c r="K202" i="6"/>
  <c r="K201" i="6"/>
  <c r="K200" i="6"/>
  <c r="K199" i="6"/>
  <c r="K198" i="6"/>
  <c r="K197" i="6"/>
  <c r="K196" i="6"/>
  <c r="K195" i="6"/>
  <c r="K194" i="6"/>
  <c r="K193" i="6"/>
  <c r="K192" i="6"/>
  <c r="K191" i="6"/>
  <c r="K190" i="6"/>
  <c r="K189" i="6"/>
  <c r="K188" i="6"/>
  <c r="K187" i="6"/>
  <c r="K186" i="6"/>
  <c r="K185" i="6"/>
  <c r="K184" i="6"/>
  <c r="K183" i="6"/>
  <c r="K182" i="6"/>
  <c r="K181" i="6"/>
  <c r="K180" i="6"/>
  <c r="K179" i="6"/>
  <c r="K178" i="6"/>
  <c r="K177" i="6"/>
  <c r="K176" i="6"/>
  <c r="K175" i="6"/>
  <c r="K174" i="6"/>
  <c r="K173" i="6"/>
  <c r="K172" i="6"/>
  <c r="K171" i="6"/>
  <c r="K170" i="6"/>
  <c r="K169" i="6"/>
  <c r="K168" i="6"/>
  <c r="K167" i="6"/>
  <c r="K166" i="6"/>
  <c r="K165" i="6"/>
  <c r="K164" i="6"/>
  <c r="K163" i="6"/>
  <c r="K162" i="6"/>
  <c r="K161" i="6"/>
  <c r="K160" i="6"/>
  <c r="K159" i="6"/>
  <c r="K158" i="6"/>
  <c r="K157" i="6"/>
  <c r="K156" i="6"/>
  <c r="K155" i="6"/>
  <c r="K154" i="6"/>
  <c r="K153" i="6"/>
  <c r="K152" i="6"/>
  <c r="K151" i="6"/>
  <c r="K150" i="6"/>
  <c r="K149" i="6"/>
  <c r="K148" i="6"/>
  <c r="K147" i="6"/>
  <c r="K146" i="6"/>
  <c r="K145" i="6"/>
  <c r="K144" i="6"/>
  <c r="K143" i="6"/>
  <c r="K142" i="6"/>
  <c r="K141" i="6"/>
  <c r="K140" i="6"/>
  <c r="K139" i="6"/>
  <c r="K138" i="6"/>
  <c r="K137" i="6"/>
  <c r="K136" i="6"/>
  <c r="K135" i="6"/>
  <c r="K134" i="6"/>
  <c r="K133" i="6"/>
  <c r="K132" i="6"/>
  <c r="K131" i="6"/>
  <c r="K130" i="6"/>
  <c r="K129" i="6"/>
  <c r="K128" i="6"/>
  <c r="K127" i="6"/>
  <c r="K126" i="6"/>
  <c r="K125" i="6"/>
  <c r="K124" i="6"/>
  <c r="K123" i="6"/>
  <c r="K122" i="6"/>
  <c r="K121" i="6"/>
  <c r="K120" i="6"/>
  <c r="K119" i="6"/>
  <c r="K118" i="6"/>
  <c r="K117" i="6"/>
  <c r="K116" i="6"/>
  <c r="K115" i="6"/>
  <c r="K114" i="6"/>
  <c r="K113" i="6"/>
  <c r="K112" i="6"/>
  <c r="K111" i="6"/>
  <c r="K110" i="6"/>
  <c r="K109" i="6"/>
  <c r="K108" i="6"/>
  <c r="K107" i="6"/>
  <c r="K106" i="6"/>
  <c r="K105" i="6"/>
  <c r="K104" i="6"/>
  <c r="K103" i="6"/>
  <c r="K102" i="6"/>
  <c r="K101" i="6"/>
  <c r="K100" i="6"/>
  <c r="K99" i="6"/>
  <c r="K98" i="6"/>
  <c r="K97" i="6"/>
  <c r="K96" i="6"/>
  <c r="K95" i="6"/>
  <c r="K94" i="6"/>
  <c r="K93" i="6"/>
  <c r="K92" i="6"/>
  <c r="K91" i="6"/>
  <c r="K90" i="6"/>
  <c r="K89" i="6"/>
  <c r="K88" i="6"/>
  <c r="K87" i="6"/>
  <c r="K86" i="6"/>
  <c r="K85" i="6"/>
  <c r="K84" i="6"/>
  <c r="K83" i="6"/>
  <c r="K82" i="6"/>
  <c r="K81" i="6"/>
  <c r="K80" i="6"/>
  <c r="K79" i="6"/>
  <c r="K78" i="6"/>
  <c r="K77" i="6"/>
  <c r="K76" i="6"/>
  <c r="K75" i="6"/>
  <c r="K74" i="6"/>
  <c r="K73" i="6"/>
  <c r="K72" i="6"/>
  <c r="K71" i="6"/>
  <c r="K70" i="6"/>
  <c r="K69" i="6"/>
  <c r="K68" i="6"/>
  <c r="K67" i="6"/>
  <c r="K66" i="6"/>
  <c r="K65" i="6"/>
  <c r="K64" i="6"/>
  <c r="K63" i="6"/>
  <c r="K62" i="6"/>
  <c r="K61" i="6"/>
  <c r="K60" i="6"/>
  <c r="K59" i="6"/>
  <c r="K58" i="6"/>
  <c r="K57" i="6"/>
  <c r="K56" i="6"/>
  <c r="K55" i="6"/>
  <c r="K54" i="6"/>
  <c r="K53" i="6"/>
  <c r="K52" i="6"/>
  <c r="K51" i="6"/>
  <c r="K50" i="6"/>
  <c r="K49" i="6"/>
  <c r="K48" i="6"/>
  <c r="K47" i="6"/>
  <c r="K46" i="6"/>
  <c r="K45" i="6"/>
  <c r="K44" i="6"/>
  <c r="K43" i="6"/>
  <c r="K42" i="6"/>
  <c r="K41" i="6"/>
  <c r="K40" i="6"/>
  <c r="K39" i="6"/>
  <c r="K38" i="6"/>
  <c r="K37" i="6"/>
  <c r="K36" i="6"/>
  <c r="K35" i="6"/>
  <c r="K34" i="6"/>
  <c r="K33" i="6"/>
  <c r="K32" i="6"/>
  <c r="K31" i="6"/>
  <c r="K30" i="6"/>
  <c r="K29" i="6"/>
  <c r="K28" i="6"/>
  <c r="K27" i="6"/>
  <c r="K26" i="6"/>
  <c r="K25" i="6"/>
  <c r="K24" i="6"/>
  <c r="K23" i="6"/>
  <c r="K22" i="6"/>
  <c r="K21" i="6"/>
  <c r="K20" i="6"/>
  <c r="K19" i="6"/>
  <c r="K18" i="6"/>
  <c r="K17" i="6"/>
  <c r="K16" i="6"/>
  <c r="K15" i="6"/>
  <c r="K14" i="6"/>
  <c r="K13" i="6"/>
  <c r="K12" i="6"/>
  <c r="K11" i="6"/>
  <c r="K10" i="6"/>
  <c r="K9" i="6"/>
  <c r="K8" i="6"/>
  <c r="K7" i="6"/>
  <c r="K6" i="6"/>
  <c r="K5" i="6"/>
  <c r="K4" i="6"/>
  <c r="K3" i="6"/>
  <c r="K2" i="6"/>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 r="K10" i="5"/>
  <c r="L10" i="5" s="1"/>
  <c r="I10" i="5"/>
  <c r="K9" i="5"/>
  <c r="I9" i="5"/>
  <c r="L9" i="5" s="1"/>
  <c r="K8" i="5"/>
  <c r="I8" i="5"/>
  <c r="L8" i="5" s="1"/>
  <c r="K7" i="5"/>
  <c r="L7" i="5" s="1"/>
  <c r="I7" i="5"/>
  <c r="K6" i="5"/>
  <c r="L6" i="5" s="1"/>
  <c r="I6" i="5"/>
  <c r="K5" i="5"/>
  <c r="L5" i="5" s="1"/>
  <c r="I5" i="5"/>
</calcChain>
</file>

<file path=xl/sharedStrings.xml><?xml version="1.0" encoding="utf-8"?>
<sst xmlns="http://schemas.openxmlformats.org/spreadsheetml/2006/main" count="7341" uniqueCount="626">
  <si>
    <t>事项类型</t>
  </si>
  <si>
    <t>(多项)</t>
  </si>
  <si>
    <t>所属的ADPM需求</t>
  </si>
  <si>
    <t>用人科室</t>
  </si>
  <si>
    <t>求和项:工时（小时）</t>
  </si>
  <si>
    <t>总人天数</t>
  </si>
  <si>
    <t>应关联ADPM人天数</t>
  </si>
  <si>
    <t>关联ADPM需求工时数量</t>
  </si>
  <si>
    <t>关联ADPM需求人天数量</t>
  </si>
  <si>
    <t>比例</t>
  </si>
  <si>
    <t>数据开发部</t>
  </si>
  <si>
    <t>数据测试部</t>
  </si>
  <si>
    <t>数据平台部</t>
  </si>
  <si>
    <t>信息管理部</t>
  </si>
  <si>
    <t>智能应用二部</t>
  </si>
  <si>
    <t>智能平台部</t>
  </si>
  <si>
    <t>智能应用一部</t>
  </si>
  <si>
    <t>总计</t>
  </si>
  <si>
    <t>工作日期</t>
  </si>
  <si>
    <t>姓名</t>
  </si>
  <si>
    <t>工号</t>
  </si>
  <si>
    <t>所属科室</t>
  </si>
  <si>
    <t>所属分组</t>
  </si>
  <si>
    <t>任务描述</t>
  </si>
  <si>
    <t>应用系统</t>
  </si>
  <si>
    <t>批次</t>
  </si>
  <si>
    <t>工作类型</t>
  </si>
  <si>
    <t>工时（小时）</t>
  </si>
  <si>
    <t>高源</t>
  </si>
  <si>
    <t>开发（含模型、应用、数仓等）</t>
  </si>
  <si>
    <t>综合管理部</t>
  </si>
  <si>
    <t>可行性分析</t>
  </si>
  <si>
    <t>王正超</t>
  </si>
  <si>
    <t>303471</t>
  </si>
  <si>
    <t>项目管理（含外包管理）</t>
  </si>
  <si>
    <t>评审（含架构评审、代码评审、CAB等）</t>
  </si>
  <si>
    <t>李禹凝</t>
  </si>
  <si>
    <t>306190</t>
  </si>
  <si>
    <t>张雅淇</t>
  </si>
  <si>
    <t>303482</t>
  </si>
  <si>
    <t>其他</t>
  </si>
  <si>
    <t>设计（含可行性方案、概设、详设等）</t>
  </si>
  <si>
    <t>生产运维</t>
  </si>
  <si>
    <t>胡雯</t>
  </si>
  <si>
    <t>304805</t>
  </si>
  <si>
    <t>需求澄清与分析</t>
  </si>
  <si>
    <t>陈晨</t>
  </si>
  <si>
    <t>306545</t>
  </si>
  <si>
    <t>崔建文</t>
  </si>
  <si>
    <t>304059</t>
  </si>
  <si>
    <t>反诈机器学习模型0327版本开发测试</t>
  </si>
  <si>
    <t>关于反电诈管理项目的需求</t>
  </si>
  <si>
    <t>智能创新部</t>
  </si>
  <si>
    <t>数据治理部</t>
  </si>
  <si>
    <t>培训学习</t>
  </si>
  <si>
    <t>王言哲</t>
  </si>
  <si>
    <t>304765</t>
  </si>
  <si>
    <t>沈子新</t>
  </si>
  <si>
    <t>307311</t>
  </si>
  <si>
    <t>信贷场景MVP版本327版本开发</t>
  </si>
  <si>
    <t>马亦沁</t>
  </si>
  <si>
    <t>305419</t>
  </si>
  <si>
    <t>任欣宇</t>
  </si>
  <si>
    <t>307135</t>
  </si>
  <si>
    <t>魏佳翔</t>
  </si>
  <si>
    <t>306836</t>
  </si>
  <si>
    <t>测试（含模型、应用、数仓等）</t>
  </si>
  <si>
    <t>陆凌姣</t>
  </si>
  <si>
    <t>大模型智能体</t>
  </si>
  <si>
    <t>周影</t>
  </si>
  <si>
    <t>303060</t>
  </si>
  <si>
    <t>评审会议</t>
  </si>
  <si>
    <t>吴越</t>
  </si>
  <si>
    <t>307139</t>
  </si>
  <si>
    <t>阮靖龙</t>
  </si>
  <si>
    <t>306523</t>
  </si>
  <si>
    <t>张雨轩</t>
  </si>
  <si>
    <t>307357</t>
  </si>
  <si>
    <t>生产_智能问数实体召回策略优化</t>
  </si>
  <si>
    <t>吕晶</t>
  </si>
  <si>
    <t>307442</t>
  </si>
  <si>
    <t>中试基地材料准备</t>
  </si>
  <si>
    <t>陆凯华</t>
  </si>
  <si>
    <t>304826</t>
  </si>
  <si>
    <t>郑卞钰</t>
  </si>
  <si>
    <t>304792</t>
  </si>
  <si>
    <t>窦博文</t>
  </si>
  <si>
    <t>303569</t>
  </si>
  <si>
    <t>李卓辉</t>
  </si>
  <si>
    <t>302476</t>
  </si>
  <si>
    <t>黄哲睿</t>
  </si>
  <si>
    <t>302570</t>
  </si>
  <si>
    <t>邹小芳</t>
  </si>
  <si>
    <t>305042</t>
  </si>
  <si>
    <t>王萌萌</t>
  </si>
  <si>
    <t>306175</t>
  </si>
  <si>
    <t>周龙</t>
  </si>
  <si>
    <t>301732</t>
  </si>
  <si>
    <t>梅凯磊</t>
  </si>
  <si>
    <t>304855</t>
  </si>
  <si>
    <t>陈逸枫</t>
  </si>
  <si>
    <t>冯晓煜</t>
  </si>
  <si>
    <t>303436</t>
  </si>
  <si>
    <t>林幸</t>
  </si>
  <si>
    <t>304814</t>
  </si>
  <si>
    <t>卫彩萍</t>
  </si>
  <si>
    <t>306527</t>
  </si>
  <si>
    <t>赵家乐</t>
  </si>
  <si>
    <t>307628</t>
  </si>
  <si>
    <t>流水鉴真场景327版本开发</t>
  </si>
  <si>
    <t>陈科宇</t>
  </si>
  <si>
    <t>303447</t>
  </si>
  <si>
    <t>王春雨</t>
  </si>
  <si>
    <t>马富强</t>
  </si>
  <si>
    <t>305026</t>
  </si>
  <si>
    <t>鞠爱宁</t>
  </si>
  <si>
    <t>302551</t>
  </si>
  <si>
    <t>张必歌</t>
  </si>
  <si>
    <t>304793</t>
  </si>
  <si>
    <t>濮敏</t>
  </si>
  <si>
    <t>303930</t>
  </si>
  <si>
    <t>嵇雅娟</t>
  </si>
  <si>
    <t>305131</t>
  </si>
  <si>
    <t>刘梦颖</t>
  </si>
  <si>
    <t>305907</t>
  </si>
  <si>
    <t>陈笑轩</t>
  </si>
  <si>
    <t>304812</t>
  </si>
  <si>
    <t>李莉</t>
  </si>
  <si>
    <t>蒋书润</t>
  </si>
  <si>
    <t>306762</t>
  </si>
  <si>
    <t>于中宝</t>
  </si>
  <si>
    <t>303439</t>
  </si>
  <si>
    <t>佟嘉欣</t>
  </si>
  <si>
    <t>307134</t>
  </si>
  <si>
    <t>张放</t>
  </si>
  <si>
    <t>305337</t>
  </si>
  <si>
    <t>连静</t>
  </si>
  <si>
    <t>306532</t>
  </si>
  <si>
    <t>陈彦百</t>
  </si>
  <si>
    <t>307310</t>
  </si>
  <si>
    <t>智能问数标准化取数工具封装(基于Langchain)</t>
  </si>
  <si>
    <t>AI需求分发/评审</t>
  </si>
  <si>
    <t>景丞</t>
  </si>
  <si>
    <t>305888</t>
  </si>
  <si>
    <t>丁晨</t>
  </si>
  <si>
    <t>304795</t>
  </si>
  <si>
    <t>潘修滔</t>
  </si>
  <si>
    <t>305341</t>
  </si>
  <si>
    <t>朱嘉玮</t>
  </si>
  <si>
    <t>307441</t>
  </si>
  <si>
    <t>创景AI客户经营</t>
  </si>
  <si>
    <t>叶胜</t>
  </si>
  <si>
    <t>胡庆</t>
  </si>
  <si>
    <t>306171</t>
  </si>
  <si>
    <t>蒋捷</t>
  </si>
  <si>
    <t>郭子瑞</t>
  </si>
  <si>
    <t>祁鑫</t>
  </si>
  <si>
    <t>304932</t>
  </si>
  <si>
    <t>信贷场景MVP327版本上线准备</t>
  </si>
  <si>
    <t>裴佳翔</t>
  </si>
  <si>
    <t>龚毅磊</t>
  </si>
  <si>
    <t>306066</t>
  </si>
  <si>
    <t>对公信贷智能化提升项目</t>
  </si>
  <si>
    <t>黄亦豪</t>
  </si>
  <si>
    <t>306529</t>
  </si>
  <si>
    <t>钱德鑫</t>
  </si>
  <si>
    <t>陆文捷</t>
  </si>
  <si>
    <t>306544</t>
  </si>
  <si>
    <t>李维浩</t>
  </si>
  <si>
    <t>刁磊</t>
  </si>
  <si>
    <t>徐倩茹</t>
  </si>
  <si>
    <t>307138</t>
  </si>
  <si>
    <t>张顺</t>
  </si>
  <si>
    <t>307136</t>
  </si>
  <si>
    <t>赵雅婷</t>
  </si>
  <si>
    <t>306177</t>
  </si>
  <si>
    <t>陈睿菁</t>
  </si>
  <si>
    <t>307451</t>
  </si>
  <si>
    <t>曹翔</t>
  </si>
  <si>
    <t>306530</t>
  </si>
  <si>
    <t>安新宜</t>
  </si>
  <si>
    <t>305188</t>
  </si>
  <si>
    <t>刘惠</t>
  </si>
  <si>
    <t>305266</t>
  </si>
  <si>
    <t>张依然</t>
  </si>
  <si>
    <t>冯潇</t>
  </si>
  <si>
    <t>304085</t>
  </si>
  <si>
    <t>伍恒</t>
  </si>
  <si>
    <t>302573</t>
  </si>
  <si>
    <t>沈志贇</t>
  </si>
  <si>
    <t>305350</t>
  </si>
  <si>
    <t>关于优化AI原生的智能化尽调的需求</t>
  </si>
  <si>
    <t>万珊红</t>
  </si>
  <si>
    <t>304077</t>
  </si>
  <si>
    <t>郭旖霏</t>
  </si>
  <si>
    <t>梅苏源</t>
  </si>
  <si>
    <t>306525</t>
  </si>
  <si>
    <t>张倩</t>
  </si>
  <si>
    <t>305396</t>
  </si>
  <si>
    <t>康冉</t>
  </si>
  <si>
    <t>303473</t>
  </si>
  <si>
    <t>宛蕾</t>
  </si>
  <si>
    <t>307447</t>
  </si>
  <si>
    <t>【AI客户经营】智能外呼分析</t>
  </si>
  <si>
    <t>钱磊</t>
  </si>
  <si>
    <t>305087</t>
  </si>
  <si>
    <t>刘金良</t>
  </si>
  <si>
    <t>307351</t>
  </si>
  <si>
    <t>程润铎</t>
  </si>
  <si>
    <t>王曦东</t>
  </si>
  <si>
    <t>陈世辉</t>
  </si>
  <si>
    <t>306537</t>
  </si>
  <si>
    <t>朱笛</t>
  </si>
  <si>
    <t>高天宁</t>
  </si>
  <si>
    <t>张佳</t>
  </si>
  <si>
    <t>周亦婷</t>
  </si>
  <si>
    <t>许天凝</t>
  </si>
  <si>
    <t>306180</t>
  </si>
  <si>
    <t>【办公助手】测评与知识运营协助</t>
  </si>
  <si>
    <t>张镓奇</t>
  </si>
  <si>
    <t>304773</t>
  </si>
  <si>
    <t>郭逊</t>
  </si>
  <si>
    <t>姚志环</t>
  </si>
  <si>
    <t>303494</t>
  </si>
  <si>
    <t>杨婧</t>
  </si>
  <si>
    <t>304304</t>
  </si>
  <si>
    <t xml:space="preserve">	0327版本服务器申请与上线评审准备</t>
  </si>
  <si>
    <t>尽调报告助手</t>
  </si>
  <si>
    <t>长文本智能分析mq更换</t>
  </si>
  <si>
    <t>陈朗</t>
  </si>
  <si>
    <t>306526</t>
  </si>
  <si>
    <t>于俊杰</t>
  </si>
  <si>
    <t>305414</t>
  </si>
  <si>
    <t>需求分析</t>
  </si>
  <si>
    <t>诸倩铷</t>
  </si>
  <si>
    <t>306187</t>
  </si>
  <si>
    <t>胡帆</t>
  </si>
  <si>
    <t>304775</t>
  </si>
  <si>
    <t>对公客户经理工作台建设项目</t>
  </si>
  <si>
    <t>绿色金融业务管理项目大模型场景费用预算与资源规划</t>
  </si>
  <si>
    <t>绿色金融业务管理系统</t>
  </si>
  <si>
    <t>曹婕</t>
  </si>
  <si>
    <t>305401</t>
  </si>
  <si>
    <t>居振宇</t>
  </si>
  <si>
    <t>汪子健</t>
  </si>
  <si>
    <t>占桐</t>
  </si>
  <si>
    <t>307307</t>
  </si>
  <si>
    <t>数据测试</t>
  </si>
  <si>
    <t>陈玉思</t>
  </si>
  <si>
    <t>306538</t>
  </si>
  <si>
    <t>远银场景大模型</t>
  </si>
  <si>
    <t>吴小倩</t>
  </si>
  <si>
    <t>304799</t>
  </si>
  <si>
    <t>李凯文</t>
  </si>
  <si>
    <t>305481</t>
  </si>
  <si>
    <t>田振宇</t>
  </si>
  <si>
    <t>305405</t>
  </si>
  <si>
    <t>【例行工作】知识运营</t>
  </si>
  <si>
    <t>王双钰</t>
  </si>
  <si>
    <t>305184</t>
  </si>
  <si>
    <t>本体论智能问数接口配合开发</t>
  </si>
  <si>
    <t>问数、报告生成场景涉及deepseek r1模型切换及效果调优</t>
  </si>
  <si>
    <t>资产托管dify平台大模型知识库</t>
  </si>
  <si>
    <t>王友轩</t>
  </si>
  <si>
    <t>306985</t>
  </si>
  <si>
    <t>【通用】培训</t>
  </si>
  <si>
    <t>李天卓</t>
  </si>
  <si>
    <t>303450</t>
  </si>
  <si>
    <t>【授信全流程】skill更新</t>
  </si>
  <si>
    <t>智能问数二期项目架构调整与需求书修改</t>
  </si>
  <si>
    <t>陆慧</t>
  </si>
  <si>
    <t>306252</t>
  </si>
  <si>
    <t>吕丽丽</t>
  </si>
  <si>
    <t>306191</t>
  </si>
  <si>
    <t>李敏吉</t>
  </si>
  <si>
    <t>306531</t>
  </si>
  <si>
    <t>徐旻涵</t>
  </si>
  <si>
    <t>陈佳宁</t>
  </si>
  <si>
    <t>307133</t>
  </si>
  <si>
    <t>罗仁杰</t>
  </si>
  <si>
    <t>319957</t>
  </si>
  <si>
    <t>【AI手机银行】法律合规文件</t>
  </si>
  <si>
    <t>杜乐</t>
  </si>
  <si>
    <t>306534</t>
  </si>
  <si>
    <t>王子枫</t>
  </si>
  <si>
    <t>305473</t>
  </si>
  <si>
    <t>2026新行员培训材料准备</t>
  </si>
  <si>
    <t>客服辅助项目-智能工单场景</t>
  </si>
  <si>
    <t>王伟</t>
  </si>
  <si>
    <t>智能问数0320投产</t>
  </si>
  <si>
    <t>张子璐</t>
  </si>
  <si>
    <t>305363</t>
  </si>
  <si>
    <t>数据分析_智能外呼</t>
  </si>
  <si>
    <t>兰昕蕾</t>
  </si>
  <si>
    <t>304064</t>
  </si>
  <si>
    <t>【通用】科室例会</t>
  </si>
  <si>
    <t>【长尾客户分群】可行性测试</t>
  </si>
  <si>
    <t>学习GIT使用并整理指南</t>
  </si>
  <si>
    <t>史朋飞</t>
  </si>
  <si>
    <t>307234</t>
  </si>
  <si>
    <t>【通用】外部交流</t>
  </si>
  <si>
    <t>A模式POC验证-信雅达</t>
  </si>
  <si>
    <t>白迪</t>
  </si>
  <si>
    <t>303028</t>
  </si>
  <si>
    <t>A模式POC-信雅达-转账场景</t>
  </si>
  <si>
    <t>火山NL2SQL产品POC测试</t>
  </si>
  <si>
    <t>骆静龙</t>
  </si>
  <si>
    <t>305421</t>
  </si>
  <si>
    <t>行内大模型问答助手测试调优</t>
  </si>
  <si>
    <t>会话式人工智能技改功能研究</t>
  </si>
  <si>
    <t>会话式人工智能服务</t>
  </si>
  <si>
    <t>【中试基地】材料准备</t>
  </si>
  <si>
    <t>刘晓丹</t>
  </si>
  <si>
    <t>305424</t>
  </si>
  <si>
    <t>【大模型客服】实时工单</t>
  </si>
  <si>
    <t>李响</t>
  </si>
  <si>
    <t>306860</t>
  </si>
  <si>
    <t>AIGC生成式技术综合应用之企业级知识问答体系建设</t>
  </si>
  <si>
    <t>Openclaw框架调研</t>
  </si>
  <si>
    <t>流水鉴真规则梳理</t>
  </si>
  <si>
    <t>廖宇杰</t>
  </si>
  <si>
    <t>307450</t>
  </si>
  <si>
    <t>朱文川</t>
  </si>
  <si>
    <t>305484</t>
  </si>
  <si>
    <t>袁凯</t>
  </si>
  <si>
    <t>305432</t>
  </si>
  <si>
    <t>A模式人力POC-信雅达</t>
  </si>
  <si>
    <t>【AI手机银行】需求讨论</t>
  </si>
  <si>
    <t>智能问数功能测试及测试评审</t>
  </si>
  <si>
    <t>需求对接-需求评审自动化流程</t>
  </si>
  <si>
    <t>项目管理</t>
  </si>
  <si>
    <t>【例行工作】项目管理</t>
  </si>
  <si>
    <t>AIGC生成式技术综合应用之企业级知识问答体系建设_DQAA</t>
  </si>
  <si>
    <t>智能问数助手</t>
  </si>
  <si>
    <t>ADPM需求-X20240327000020[第8批]</t>
  </si>
  <si>
    <t>实际内设部</t>
  </si>
  <si>
    <t>EHR内设部</t>
  </si>
  <si>
    <t>内设部是否变动</t>
  </si>
  <si>
    <t>现岗位</t>
  </si>
  <si>
    <t>拟岗位</t>
  </si>
  <si>
    <t>岗位是否变动</t>
  </si>
  <si>
    <t>现角色标签
（组长/骨干）</t>
  </si>
  <si>
    <t>拟分组</t>
  </si>
  <si>
    <t>舒宝龙</t>
  </si>
  <si>
    <t>305069</t>
  </si>
  <si>
    <t>数据分析</t>
  </si>
  <si>
    <t>组长</t>
  </si>
  <si>
    <t>负责人</t>
  </si>
  <si>
    <t>任若琳</t>
  </si>
  <si>
    <t>307309</t>
  </si>
  <si>
    <t>服务管理组</t>
  </si>
  <si>
    <t>成绘茜</t>
  </si>
  <si>
    <t>307444</t>
  </si>
  <si>
    <t>陆应佳玥</t>
  </si>
  <si>
    <t>305199</t>
  </si>
  <si>
    <t xml:space="preserve">服务管理组    </t>
  </si>
  <si>
    <t>李小萌</t>
  </si>
  <si>
    <t>306533</t>
  </si>
  <si>
    <t>宋轲</t>
  </si>
  <si>
    <t>307028</t>
  </si>
  <si>
    <t>服务支持组</t>
  </si>
  <si>
    <t>张文婉</t>
  </si>
  <si>
    <t>304804</t>
  </si>
  <si>
    <t>刘雅雯</t>
  </si>
  <si>
    <t>307443</t>
  </si>
  <si>
    <t>孙菡悦</t>
  </si>
  <si>
    <t>305446</t>
  </si>
  <si>
    <t xml:space="preserve">服务支持组    </t>
  </si>
  <si>
    <t>刘思言</t>
  </si>
  <si>
    <t>305409</t>
  </si>
  <si>
    <t>谢丹伶</t>
  </si>
  <si>
    <t>305588</t>
  </si>
  <si>
    <t>杨萍</t>
  </si>
  <si>
    <t>306253</t>
  </si>
  <si>
    <t>测试管理组</t>
  </si>
  <si>
    <t>骨干</t>
  </si>
  <si>
    <t>顾恺</t>
  </si>
  <si>
    <t>319914</t>
  </si>
  <si>
    <t>杨青</t>
  </si>
  <si>
    <t>302330</t>
  </si>
  <si>
    <t>数据研发</t>
  </si>
  <si>
    <t>架构管理</t>
  </si>
  <si>
    <t>协管</t>
  </si>
  <si>
    <t>模型设计组</t>
  </si>
  <si>
    <t>数仓开发组</t>
  </si>
  <si>
    <t>数据接入组</t>
  </si>
  <si>
    <t>应用开发组</t>
  </si>
  <si>
    <t>吴证</t>
  </si>
  <si>
    <t>306844</t>
  </si>
  <si>
    <t>曹宁远</t>
  </si>
  <si>
    <t>303401</t>
  </si>
  <si>
    <t>应用研发</t>
  </si>
  <si>
    <t>工具开发组</t>
  </si>
  <si>
    <t>数据服务组</t>
  </si>
  <si>
    <t>周浩</t>
  </si>
  <si>
    <t>303415</t>
  </si>
  <si>
    <t>王新蕾</t>
  </si>
  <si>
    <t>306539</t>
  </si>
  <si>
    <t>运维支持组</t>
  </si>
  <si>
    <t>单曙兵</t>
  </si>
  <si>
    <t>305249</t>
  </si>
  <si>
    <t>刘燕玲</t>
  </si>
  <si>
    <t>306774</t>
  </si>
  <si>
    <t>数据治理</t>
  </si>
  <si>
    <t>标准资产组</t>
  </si>
  <si>
    <t>于璐</t>
  </si>
  <si>
    <t>302547</t>
  </si>
  <si>
    <t>傅潜林</t>
  </si>
  <si>
    <t>307232</t>
  </si>
  <si>
    <t>王玉祥</t>
  </si>
  <si>
    <t>307238</t>
  </si>
  <si>
    <t>庄家宙</t>
  </si>
  <si>
    <t>319909</t>
  </si>
  <si>
    <t>数据安全</t>
  </si>
  <si>
    <t>架构安全组</t>
  </si>
  <si>
    <t>李凯达</t>
  </si>
  <si>
    <t>305383</t>
  </si>
  <si>
    <t>米俊文</t>
  </si>
  <si>
    <t>306811</t>
  </si>
  <si>
    <t>李焕彰</t>
  </si>
  <si>
    <t>302390</t>
  </si>
  <si>
    <t>郭骏</t>
  </si>
  <si>
    <t>305189</t>
  </si>
  <si>
    <t>非零BP</t>
  </si>
  <si>
    <t>胡承萱</t>
  </si>
  <si>
    <t>304612</t>
  </si>
  <si>
    <t>林子琪</t>
  </si>
  <si>
    <t>306445</t>
  </si>
  <si>
    <t>俞振飞</t>
  </si>
  <si>
    <t>304813</t>
  </si>
  <si>
    <t>李瑞敏</t>
  </si>
  <si>
    <t>306541</t>
  </si>
  <si>
    <t>韩统优</t>
  </si>
  <si>
    <t>306521</t>
  </si>
  <si>
    <t>汪乐乐</t>
  </si>
  <si>
    <t>305397</t>
  </si>
  <si>
    <t>蒋嘉石</t>
  </si>
  <si>
    <t>305605</t>
  </si>
  <si>
    <t>罗辰昊</t>
  </si>
  <si>
    <t>307445</t>
  </si>
  <si>
    <t>曹婉茹</t>
  </si>
  <si>
    <t>303467</t>
  </si>
  <si>
    <t>零售BP</t>
  </si>
  <si>
    <t>刘子昕</t>
  </si>
  <si>
    <t>306524</t>
  </si>
  <si>
    <t>俞筱晨</t>
  </si>
  <si>
    <t>306174</t>
  </si>
  <si>
    <t>杨陆</t>
  </si>
  <si>
    <t>304778</t>
  </si>
  <si>
    <t>王璐珊</t>
  </si>
  <si>
    <t>304071</t>
  </si>
  <si>
    <t>魏榕慧</t>
  </si>
  <si>
    <t>305531</t>
  </si>
  <si>
    <t>路立静</t>
  </si>
  <si>
    <t>305443</t>
  </si>
  <si>
    <t>周叶珉</t>
  </si>
  <si>
    <t>306189</t>
  </si>
  <si>
    <t>张鑫</t>
  </si>
  <si>
    <t>307278</t>
  </si>
  <si>
    <t>施怡伶</t>
  </si>
  <si>
    <t>307308</t>
  </si>
  <si>
    <t>范佳</t>
  </si>
  <si>
    <t>306270</t>
  </si>
  <si>
    <t>信息统计部</t>
  </si>
  <si>
    <t>贺文军</t>
  </si>
  <si>
    <t>300523</t>
  </si>
  <si>
    <t>胡楚</t>
  </si>
  <si>
    <t>304973</t>
  </si>
  <si>
    <t>风险BP</t>
  </si>
  <si>
    <t>李虎</t>
  </si>
  <si>
    <t>305346</t>
  </si>
  <si>
    <t>姚陈潇</t>
  </si>
  <si>
    <t>307448</t>
  </si>
  <si>
    <t>朱宇畅</t>
  </si>
  <si>
    <t>307449</t>
  </si>
  <si>
    <t>马文杰</t>
  </si>
  <si>
    <t>307382</t>
  </si>
  <si>
    <t>李梦霄</t>
  </si>
  <si>
    <t>303493</t>
  </si>
  <si>
    <t>王素雅</t>
  </si>
  <si>
    <t>303422</t>
  </si>
  <si>
    <t>管理信息应用</t>
  </si>
  <si>
    <t>姚蜜</t>
  </si>
  <si>
    <t>304095</t>
  </si>
  <si>
    <t>向治蓉</t>
  </si>
  <si>
    <t>304769</t>
  </si>
  <si>
    <t>张海濛</t>
  </si>
  <si>
    <t>304931</t>
  </si>
  <si>
    <t>王晓璇</t>
  </si>
  <si>
    <t>304816</t>
  </si>
  <si>
    <t>曾世杰</t>
  </si>
  <si>
    <t>306535</t>
  </si>
  <si>
    <t>张伟亮</t>
  </si>
  <si>
    <t>303064</t>
  </si>
  <si>
    <t>监管统计</t>
  </si>
  <si>
    <t>监管数据治理</t>
  </si>
  <si>
    <t>张梦琦</t>
  </si>
  <si>
    <t>304764</t>
  </si>
  <si>
    <t>王笑丹</t>
  </si>
  <si>
    <t>305088</t>
  </si>
  <si>
    <t>王书祥</t>
  </si>
  <si>
    <t>306813</t>
  </si>
  <si>
    <t>刘智超</t>
  </si>
  <si>
    <t>303025</t>
  </si>
  <si>
    <t>王新</t>
  </si>
  <si>
    <t>306863</t>
  </si>
  <si>
    <t>严彬华</t>
  </si>
  <si>
    <t>315767</t>
  </si>
  <si>
    <t>李然</t>
  </si>
  <si>
    <t>301846</t>
  </si>
  <si>
    <t>周逸晨</t>
  </si>
  <si>
    <t>301766</t>
  </si>
  <si>
    <t>李亦佳</t>
  </si>
  <si>
    <t>303463</t>
  </si>
  <si>
    <t>陈倩</t>
  </si>
  <si>
    <t>302127</t>
  </si>
  <si>
    <t>赵超</t>
  </si>
  <si>
    <t>305049</t>
  </si>
  <si>
    <t>徐陶然</t>
  </si>
  <si>
    <t>305375</t>
  </si>
  <si>
    <t>周静</t>
  </si>
  <si>
    <t>305831</t>
  </si>
  <si>
    <t>段少楠</t>
  </si>
  <si>
    <t>研发管理部</t>
  </si>
  <si>
    <t>刘异</t>
  </si>
  <si>
    <t>董玉兰</t>
  </si>
  <si>
    <t>项目管理组</t>
  </si>
  <si>
    <t>孟文文</t>
  </si>
  <si>
    <t>综合管理</t>
  </si>
  <si>
    <t>王宇琦</t>
  </si>
  <si>
    <t>陈晶</t>
  </si>
  <si>
    <t>综合管理组</t>
  </si>
  <si>
    <t>赵锦栋</t>
  </si>
  <si>
    <t>张宇桐</t>
  </si>
  <si>
    <t>胡申民</t>
  </si>
  <si>
    <t>307298</t>
  </si>
  <si>
    <t>贾世林</t>
  </si>
  <si>
    <t>305278</t>
  </si>
  <si>
    <t>算法工程</t>
  </si>
  <si>
    <t>模型运营组</t>
  </si>
  <si>
    <t>张峰</t>
  </si>
  <si>
    <t>305269</t>
  </si>
  <si>
    <t>平台研发组</t>
  </si>
  <si>
    <t>陈嘉琳</t>
  </si>
  <si>
    <t>风险模型组</t>
  </si>
  <si>
    <t>基础模型组</t>
  </si>
  <si>
    <t>应用组</t>
  </si>
  <si>
    <t>杨晓彦</t>
  </si>
  <si>
    <t>302577</t>
  </si>
  <si>
    <t>对公应用组</t>
  </si>
  <si>
    <t>零售应用组</t>
  </si>
  <si>
    <t>马胤</t>
  </si>
  <si>
    <t>乐洋</t>
  </si>
  <si>
    <t>302273</t>
  </si>
  <si>
    <t>曾敏锐</t>
  </si>
  <si>
    <t>304615</t>
  </si>
  <si>
    <t>陆雨欣</t>
  </si>
  <si>
    <t>303477</t>
  </si>
  <si>
    <t>王枫</t>
  </si>
  <si>
    <t>301835</t>
  </si>
  <si>
    <t>黄佳佳</t>
  </si>
  <si>
    <t>302853</t>
  </si>
  <si>
    <t>刘召龙</t>
  </si>
  <si>
    <t>319813</t>
  </si>
  <si>
    <t>顾小萍</t>
  </si>
  <si>
    <t>312494</t>
  </si>
  <si>
    <t>武燕蓉</t>
  </si>
  <si>
    <t>315249</t>
  </si>
  <si>
    <t>许阿云</t>
  </si>
  <si>
    <t>303423</t>
  </si>
  <si>
    <t>胡超亭</t>
  </si>
  <si>
    <t>304063</t>
  </si>
  <si>
    <t>宋子夜</t>
  </si>
  <si>
    <t>304781</t>
  </si>
  <si>
    <t>刘雅昕</t>
  </si>
  <si>
    <t>306540</t>
  </si>
  <si>
    <t>DataFun论坛</t>
  </si>
  <si>
    <t>材料撰写</t>
  </si>
  <si>
    <t>追一理想机器人功能评审会议</t>
  </si>
  <si>
    <t>智能问数分行BP场景0424开发</t>
  </si>
  <si>
    <t>智能问数DQAA信创改造方案</t>
  </si>
  <si>
    <t>【客服辅助项目】知识精调</t>
  </si>
  <si>
    <t>尽调报告0424开发</t>
  </si>
  <si>
    <t xml:space="preserve">	0424尽调场景上线打包</t>
  </si>
  <si>
    <t>超级工作台工作</t>
  </si>
  <si>
    <t>【项目通用】AI长尾客户运营</t>
  </si>
  <si>
    <t>客户经理超级工作台MVP版本</t>
  </si>
  <si>
    <t>智能体规划设计与评审</t>
  </si>
  <si>
    <t>绿色金融智能体POC</t>
  </si>
  <si>
    <t>尽调报告（集团业务）智能体测试及调优</t>
  </si>
  <si>
    <t xml:space="preserve">	0424流水鉴真代码迭代</t>
  </si>
  <si>
    <t>中试基地材料撰写</t>
  </si>
  <si>
    <t>行内办公助手开发</t>
  </si>
  <si>
    <t>east数据检核分析报告智能体优化</t>
  </si>
  <si>
    <t>客户经理超级工作台-需求澄清与对齐</t>
  </si>
  <si>
    <t>尽调＆流水场景MVP版本分享材料准备</t>
  </si>
  <si>
    <t>信雅达POC第二次</t>
  </si>
  <si>
    <t>智能问数接口对接hiagent评测功能</t>
  </si>
  <si>
    <t>【零小海】原信义贷项目技改</t>
  </si>
  <si>
    <t>授信政策规则抽取</t>
  </si>
  <si>
    <t>对公信贷智能化提升项目-外围系统方案明确</t>
  </si>
  <si>
    <t>尽调场景0424智能体开发</t>
  </si>
  <si>
    <t>智能问数NL2SQL测试环境部署及测试</t>
  </si>
  <si>
    <t>绿色金融系统建设和AI赋能会议</t>
  </si>
  <si>
    <t>AI创意比赛PPT</t>
  </si>
  <si>
    <t>灵云机器人和追一机器人功能对比</t>
  </si>
  <si>
    <t>【客服辅助项目】知识生成</t>
  </si>
  <si>
    <t>授信政策知识体系建设讨论</t>
  </si>
  <si>
    <t>east数据质量AI分析报告</t>
  </si>
  <si>
    <t>外呼意向判断</t>
  </si>
  <si>
    <t>信贷场景0426需求梳理</t>
  </si>
  <si>
    <t>流水鉴真-重保</t>
  </si>
  <si>
    <t>对公营销助手-火山引擎poc</t>
  </si>
  <si>
    <t>JSON转代码可执行性验证</t>
  </si>
  <si>
    <t>外搜接口采购评标</t>
  </si>
  <si>
    <t>【客服辅助项目】知识问答</t>
  </si>
  <si>
    <t>4家市属集团0420司库验收</t>
  </si>
  <si>
    <t>追一机器人功能测评</t>
  </si>
  <si>
    <t>智能问数行内/司库0327上线</t>
  </si>
  <si>
    <t>反电诈建模项目0327模型上线准备</t>
  </si>
  <si>
    <t>信用卡智能后督需求评审</t>
  </si>
  <si>
    <t/>
  </si>
  <si>
    <t>公共智能体工作站</t>
  </si>
  <si>
    <t>运维（含应用推广、答疑）</t>
  </si>
  <si>
    <t>进度跟踪</t>
  </si>
  <si>
    <t>项目管理（含行员管理、外包管理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</si>
</sst>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7" formatCode="#,##0.00_ "/>
    <numFmt numFmtId="179" formatCode="yyyy\-mm\-dd\ h:mm:ss"/>
  </numFmts>
  <fonts count="10" x14ac:knownFonts="1">
    <font>
      <sz val="11"/>
      <color theme="1"/>
      <name val="宋体"/>
      <charset val="134"/>
      <scheme val="minor"/>
    </font>
    <font>
      <sz val="14"/>
      <color theme="1"/>
      <name val="黑体"/>
      <family val="3"/>
      <charset val="134"/>
    </font>
    <font>
      <b/>
      <sz val="11"/>
      <color theme="1"/>
      <name val="宋体"/>
      <family val="3"/>
      <charset val="134"/>
      <scheme val="minor"/>
    </font>
    <font>
      <sz val="14"/>
      <color theme="1"/>
      <name val="仿宋"/>
      <family val="3"/>
      <charset val="134"/>
    </font>
    <font>
      <sz val="10"/>
      <color rgb="FF000000"/>
      <name val="黑体"/>
      <family val="3"/>
      <charset val="134"/>
    </font>
    <font>
      <b/>
      <sz val="14"/>
      <color rgb="FF000000"/>
      <name val="黑体"/>
      <family val="3"/>
      <charset val="134"/>
    </font>
    <font>
      <sz val="14"/>
      <color rgb="FF000000"/>
      <name val="仿宋"/>
      <family val="3"/>
      <charset val="134"/>
    </font>
    <font>
      <b/>
      <sz val="14"/>
      <color rgb="FF000000"/>
      <name val="仿宋"/>
      <family val="3"/>
      <charset val="134"/>
    </font>
    <font>
      <sz val="11"/>
      <color theme="1"/>
      <name val="宋体"/>
      <family val="3"/>
      <charset val="134"/>
      <scheme val="minor"/>
    </font>
    <font>
      <sz val="9"/>
      <name val="宋体"/>
      <family val="3"/>
      <charset val="134"/>
      <scheme val="min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4" tint="0.79995117038483843"/>
        <bgColor theme="4" tint="0.79995117038483843"/>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9" fontId="8" fillId="0" borderId="0" applyFont="0" applyFill="0" applyBorder="0" applyAlignment="0" applyProtection="0">
      <alignment vertical="center"/>
    </xf>
  </cellStyleXfs>
  <cellXfs count="41">
    <xf numFmtId="0" fontId="0" fillId="0" borderId="0" xfId="0"/>
    <xf numFmtId="0" fontId="1" fillId="0" borderId="0" xfId="0" applyFont="1" applyAlignment="1">
      <alignment vertical="center" wrapText="1"/>
    </xf>
    <xf numFmtId="0" fontId="0" fillId="0" borderId="0" xfId="0" applyAlignment="1">
      <alignment vertical="center"/>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7" fillId="2" borderId="1" xfId="0" applyFont="1" applyFill="1" applyBorder="1" applyAlignment="1">
      <alignment horizontal="center" vertical="center"/>
    </xf>
    <xf numFmtId="0" fontId="6" fillId="3"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7" fillId="3" borderId="1" xfId="0" applyFont="1" applyFill="1" applyBorder="1" applyAlignment="1">
      <alignment horizontal="center" vertical="center"/>
    </xf>
    <xf numFmtId="0" fontId="6" fillId="4"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7"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1" fillId="0" borderId="0" xfId="0" applyFont="1" applyAlignment="1">
      <alignment horizontal="left" vertical="center" wrapText="1"/>
    </xf>
    <xf numFmtId="0" fontId="3" fillId="3" borderId="2" xfId="0" applyFont="1" applyFill="1" applyBorder="1" applyAlignment="1">
      <alignment horizontal="center" vertical="center"/>
    </xf>
    <xf numFmtId="0" fontId="3" fillId="3" borderId="1" xfId="0" applyFont="1" applyFill="1" applyBorder="1" applyAlignment="1">
      <alignment horizontal="center" vertical="center"/>
    </xf>
    <xf numFmtId="0" fontId="6" fillId="4" borderId="2"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4"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0" fillId="2" borderId="0" xfId="0" applyFill="1"/>
    <xf numFmtId="179" fontId="0" fillId="0" borderId="0" xfId="0" applyNumberFormat="1"/>
    <xf numFmtId="0" fontId="2" fillId="5" borderId="1" xfId="0" applyFont="1" applyFill="1" applyBorder="1"/>
    <xf numFmtId="177" fontId="2" fillId="5" borderId="1" xfId="0" applyNumberFormat="1" applyFont="1" applyFill="1" applyBorder="1"/>
    <xf numFmtId="0" fontId="0" fillId="0" borderId="1" xfId="0" applyBorder="1"/>
    <xf numFmtId="177" fontId="0" fillId="0" borderId="1" xfId="0" applyNumberFormat="1" applyBorder="1"/>
    <xf numFmtId="177" fontId="0" fillId="0" borderId="1" xfId="1" applyNumberFormat="1" applyFill="1" applyBorder="1" applyAlignment="1"/>
    <xf numFmtId="10" fontId="0" fillId="0" borderId="1" xfId="1" applyNumberFormat="1" applyBorder="1" applyAlignment="1"/>
  </cellXfs>
  <cellStyles count="2">
    <cellStyle name="百分比" xfId="1" builtinId="5"/>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gzy1" refreshedDate="46112.668888888897" createdVersion="5" refreshedVersion="5" minRefreshableVersion="3" recordCount="4946" xr:uid="{00000000-000A-0000-FFFF-FFFF00000000}">
  <cacheSource type="worksheet">
    <worksheetSource ref="A1:D218" sheet="数管部工时明细"/>
  </cacheSource>
  <cacheFields count="33">
    <cacheField name="工作日期" numFmtId="179">
      <sharedItems containsSemiMixedTypes="0" containsNonDate="0" containsDate="1" containsString="0" minDate="2026-03-12T07:00:18" maxDate="2026-03-25T23:59:59" count="4052">
        <d v="2026-03-25T23:59:59"/>
        <d v="2026-03-25T23:07:49"/>
        <d v="2026-03-25T22:00:48"/>
        <d v="2026-03-25T21:41:09"/>
        <d v="2026-03-25T21:26:07"/>
        <d v="2026-03-25T20:38:58"/>
        <d v="2026-03-25T20:37:09"/>
        <d v="2026-03-25T20:36:56"/>
        <d v="2026-03-25T20:36:50"/>
        <d v="2026-03-25T20:08:03"/>
        <d v="2026-03-25T20:07:51"/>
        <d v="2026-03-25T19:50:54"/>
        <d v="2026-03-25T19:31:21"/>
        <d v="2026-03-25T18:53:48"/>
        <d v="2026-03-25T18:51:37"/>
        <d v="2026-03-25T18:35:40"/>
        <d v="2026-03-25T18:33:13"/>
        <d v="2026-03-25T18:30:22"/>
        <d v="2026-03-25T18:22:44"/>
        <d v="2026-03-25T18:22:03"/>
        <d v="2026-03-25T18:20:26"/>
        <d v="2026-03-25T18:12:24"/>
        <d v="2026-03-25T18:07:24"/>
        <d v="2026-03-25T18:05:21"/>
        <d v="2026-03-25T18:05:09"/>
        <d v="2026-03-25T17:52:03"/>
        <d v="2026-03-25T17:49:04"/>
        <d v="2026-03-25T17:47:23"/>
        <d v="2026-03-25T17:33:19"/>
        <d v="2026-03-25T17:31:42"/>
        <d v="2026-03-25T17:24:20"/>
        <d v="2026-03-25T17:22:56"/>
        <d v="2026-03-25T17:17:39"/>
        <d v="2026-03-25T17:15:51"/>
        <d v="2026-03-25T17:14:33"/>
        <d v="2026-03-25T17:13:59"/>
        <d v="2026-03-25T17:10:52"/>
        <d v="2026-03-25T17:06:43"/>
        <d v="2026-03-25T17:06:22"/>
        <d v="2026-03-25T17:05:59"/>
        <d v="2026-03-25T17:04:57"/>
        <d v="2026-03-25T17:01:54"/>
        <d v="2026-03-25T16:59:49"/>
        <d v="2026-03-25T16:59:30"/>
        <d v="2026-03-25T16:58:17"/>
        <d v="2026-03-25T16:56:30"/>
        <d v="2026-03-25T16:55:24"/>
        <d v="2026-03-25T16:55:21"/>
        <d v="2026-03-25T16:54:17"/>
        <d v="2026-03-25T16:52:38"/>
        <d v="2026-03-25T16:52:00"/>
        <d v="2026-03-25T16:51:28"/>
        <d v="2026-03-25T16:50:04"/>
        <d v="2026-03-25T16:48:45"/>
        <d v="2026-03-25T16:46:29"/>
        <d v="2026-03-25T16:46:04"/>
        <d v="2026-03-25T16:29:49"/>
        <d v="2026-03-25T16:16:32"/>
        <d v="2026-03-25T16:12:55"/>
        <d v="2026-03-25T16:05:52"/>
        <d v="2026-03-25T16:02:25"/>
        <d v="2026-03-25T15:58:31"/>
        <d v="2026-03-25T15:51:53"/>
        <d v="2026-03-25T15:47:58"/>
        <d v="2026-03-25T15:46:55"/>
        <d v="2026-03-25T15:44:09"/>
        <d v="2026-03-25T15:43:49"/>
        <d v="2026-03-25T15:42:51"/>
        <d v="2026-03-25T15:40:04"/>
        <d v="2026-03-25T15:40:00"/>
        <d v="2026-03-25T15:35:28"/>
        <d v="2026-03-25T15:21:20"/>
        <d v="2026-03-25T15:16:16"/>
        <d v="2026-03-25T15:01:08"/>
        <d v="2026-03-25T14:55:45"/>
        <d v="2026-03-25T14:47:30"/>
        <d v="2026-03-25T14:42:06"/>
        <d v="2026-03-25T14:32:37"/>
        <d v="2026-03-25T14:27:52"/>
        <d v="2026-03-25T14:24:46"/>
        <d v="2026-03-25T14:24:42"/>
        <d v="2026-03-25T14:24:41"/>
        <d v="2026-03-25T14:20:34"/>
        <d v="2026-03-25T14:20:29"/>
        <d v="2026-03-25T14:20:12"/>
        <d v="2026-03-25T14:20:07"/>
        <d v="2026-03-25T14:19:55"/>
        <d v="2026-03-25T14:19:46"/>
        <d v="2026-03-25T14:18:24"/>
        <d v="2026-03-25T14:17:49"/>
        <d v="2026-03-25T14:16:35"/>
        <d v="2026-03-25T14:14:15"/>
        <d v="2026-03-25T13:59:42"/>
        <d v="2026-03-25T13:53:58"/>
        <d v="2026-03-25T13:52:23"/>
        <d v="2026-03-25T13:50:13"/>
        <d v="2026-03-25T13:48:08"/>
        <d v="2026-03-25T13:48:05"/>
        <d v="2026-03-25T13:47:55"/>
        <d v="2026-03-25T13:44:40"/>
        <d v="2026-03-25T11:53:33"/>
        <d v="2026-03-25T11:53:25"/>
        <d v="2026-03-25T11:53:18"/>
        <d v="2026-03-25T11:16:43"/>
        <d v="2026-03-25T11:07:08"/>
        <d v="2026-03-25T10:57:27"/>
        <d v="2026-03-25T10:57:11"/>
        <d v="2026-03-25T10:56:57"/>
        <d v="2026-03-25T10:56:51"/>
        <d v="2026-03-25T10:48:53"/>
        <d v="2026-03-25T10:48:44"/>
        <d v="2026-03-25T10:44:53"/>
        <d v="2026-03-25T10:44:49"/>
        <d v="2026-03-25T10:44:47"/>
        <d v="2026-03-25T10:44:41"/>
        <d v="2026-03-25T10:44:35"/>
        <d v="2026-03-25T10:44:32"/>
        <d v="2026-03-25T10:44:24"/>
        <d v="2026-03-25T10:44:14"/>
        <d v="2026-03-25T10:42:39"/>
        <d v="2026-03-25T10:42:16"/>
        <d v="2026-03-25T10:37:45"/>
        <d v="2026-03-25T10:33:54"/>
        <d v="2026-03-25T10:33:48"/>
        <d v="2026-03-25T10:28:54"/>
        <d v="2026-03-25T10:27:20"/>
        <d v="2026-03-25T10:26:40"/>
        <d v="2026-03-25T10:23:31"/>
        <d v="2026-03-25T10:22:59"/>
        <d v="2026-03-25T10:19:26"/>
        <d v="2026-03-25T10:14:59"/>
        <d v="2026-03-25T10:10:45"/>
        <d v="2026-03-25T10:01:59"/>
        <d v="2026-03-25T10:00:53"/>
        <d v="2026-03-25T09:59:29"/>
        <d v="2026-03-25T09:58:51"/>
        <d v="2026-03-25T09:53:40"/>
        <d v="2026-03-25T09:53:18"/>
        <d v="2026-03-25T09:43:11"/>
        <d v="2026-03-25T09:40:53"/>
        <d v="2026-03-25T09:38:20"/>
        <d v="2026-03-25T09:38:04"/>
        <d v="2026-03-25T09:36:47"/>
        <d v="2026-03-25T09:35:45"/>
        <d v="2026-03-25T09:31:33"/>
        <d v="2026-03-25T09:27:30"/>
        <d v="2026-03-25T09:26:11"/>
        <d v="2026-03-25T09:26:07"/>
        <d v="2026-03-25T09:26:03"/>
        <d v="2026-03-25T09:25:51"/>
        <d v="2026-03-25T09:25:48"/>
        <d v="2026-03-25T09:25:29"/>
        <d v="2026-03-25T09:24:25"/>
        <d v="2026-03-25T09:23:21"/>
        <d v="2026-03-25T09:22:34"/>
        <d v="2026-03-25T09:22:18"/>
        <d v="2026-03-25T09:21:10"/>
        <d v="2026-03-25T09:20:52"/>
        <d v="2026-03-25T09:20:07"/>
        <d v="2026-03-25T09:20:05"/>
        <d v="2026-03-25T09:19:50"/>
        <d v="2026-03-25T09:19:43"/>
        <d v="2026-03-25T09:19:41"/>
        <d v="2026-03-25T09:19:40"/>
        <d v="2026-03-25T09:19:18"/>
        <d v="2026-03-25T09:18:10"/>
        <d v="2026-03-25T09:17:52"/>
        <d v="2026-03-25T09:17:21"/>
        <d v="2026-03-25T09:17:01"/>
        <d v="2026-03-25T09:14:46"/>
        <d v="2026-03-25T09:12:56"/>
        <d v="2026-03-25T09:12:51"/>
        <d v="2026-03-25T09:12:31"/>
        <d v="2026-03-25T09:10:41"/>
        <d v="2026-03-25T09:10:23"/>
        <d v="2026-03-25T09:10:20"/>
        <d v="2026-03-25T09:09:42"/>
        <d v="2026-03-25T09:09:22"/>
        <d v="2026-03-25T09:08:53"/>
        <d v="2026-03-25T09:08:08"/>
        <d v="2026-03-25T09:07:42"/>
        <d v="2026-03-25T09:07:36"/>
        <d v="2026-03-25T09:07:00"/>
        <d v="2026-03-25T09:06:44"/>
        <d v="2026-03-25T09:06:21"/>
        <d v="2026-03-25T09:05:50"/>
        <d v="2026-03-25T09:04:53"/>
        <d v="2026-03-25T09:03:03"/>
        <d v="2026-03-25T09:02:58"/>
        <d v="2026-03-25T09:02:49"/>
        <d v="2026-03-25T09:02:42"/>
        <d v="2026-03-25T09:02:03"/>
        <d v="2026-03-25T09:01:35"/>
        <d v="2026-03-25T09:01:21"/>
        <d v="2026-03-25T09:00:56"/>
        <d v="2026-03-25T09:00:54"/>
        <d v="2026-03-25T09:00:52"/>
        <d v="2026-03-25T09:00:29"/>
        <d v="2026-03-25T09:00:14"/>
        <d v="2026-03-25T09:00:07"/>
        <d v="2026-03-25T09:00:04"/>
        <d v="2026-03-25T09:00:03"/>
        <d v="2026-03-25T08:59:56"/>
        <d v="2026-03-25T08:59:54"/>
        <d v="2026-03-25T08:59:52"/>
        <d v="2026-03-25T08:59:48"/>
        <d v="2026-03-25T08:59:46"/>
        <d v="2026-03-25T08:59:28"/>
        <d v="2026-03-25T08:59:16"/>
        <d v="2026-03-25T08:59:11"/>
        <d v="2026-03-25T08:58:45"/>
        <d v="2026-03-25T08:58:42"/>
        <d v="2026-03-25T08:58:31"/>
        <d v="2026-03-25T08:58:19"/>
        <d v="2026-03-25T08:58:17"/>
        <d v="2026-03-25T08:58:15"/>
        <d v="2026-03-25T08:57:54"/>
        <d v="2026-03-25T08:57:36"/>
        <d v="2026-03-25T08:56:43"/>
        <d v="2026-03-25T08:56:39"/>
        <d v="2026-03-25T08:56:29"/>
        <d v="2026-03-25T08:56:25"/>
        <d v="2026-03-25T08:56:21"/>
        <d v="2026-03-25T08:56:17"/>
        <d v="2026-03-25T08:55:08"/>
        <d v="2026-03-25T08:55:06"/>
        <d v="2026-03-25T08:55:01"/>
        <d v="2026-03-25T08:54:58"/>
        <d v="2026-03-25T08:54:05"/>
        <d v="2026-03-25T08:54:01"/>
        <d v="2026-03-25T08:53:57"/>
        <d v="2026-03-25T08:53:53"/>
        <d v="2026-03-25T08:53:51"/>
        <d v="2026-03-25T08:53:44"/>
        <d v="2026-03-25T08:53:15"/>
        <d v="2026-03-25T08:52:59"/>
        <d v="2026-03-25T08:52:35"/>
        <d v="2026-03-25T08:52:24"/>
        <d v="2026-03-25T08:52:06"/>
        <d v="2026-03-25T08:51:51"/>
        <d v="2026-03-25T08:51:46"/>
        <d v="2026-03-25T08:51:22"/>
        <d v="2026-03-25T08:51:08"/>
        <d v="2026-03-25T08:50:47"/>
        <d v="2026-03-25T08:50:22"/>
        <d v="2026-03-25T08:50:01"/>
        <d v="2026-03-25T08:49:26"/>
        <d v="2026-03-25T08:49:22"/>
        <d v="2026-03-25T08:49:00"/>
        <d v="2026-03-25T08:48:50"/>
        <d v="2026-03-25T08:48:47"/>
        <d v="2026-03-25T08:48:42"/>
        <d v="2026-03-25T08:48:40"/>
        <d v="2026-03-25T08:48:38"/>
        <d v="2026-03-25T08:48:36"/>
        <d v="2026-03-25T08:48:25"/>
        <d v="2026-03-25T08:48:18"/>
        <d v="2026-03-25T08:48:12"/>
        <d v="2026-03-25T08:47:37"/>
        <d v="2026-03-25T08:47:26"/>
        <d v="2026-03-25T08:47:24"/>
        <d v="2026-03-25T08:47:15"/>
        <d v="2026-03-25T08:47:05"/>
        <d v="2026-03-25T08:46:59"/>
        <d v="2026-03-25T08:46:42"/>
        <d v="2026-03-25T08:46:35"/>
        <d v="2026-03-25T08:46:23"/>
        <d v="2026-03-25T08:46:21"/>
        <d v="2026-03-25T08:46:16"/>
        <d v="2026-03-25T08:45:35"/>
        <d v="2026-03-25T08:45:33"/>
        <d v="2026-03-25T08:45:30"/>
        <d v="2026-03-25T08:45:26"/>
        <d v="2026-03-25T08:45:25"/>
        <d v="2026-03-25T08:45:23"/>
        <d v="2026-03-25T08:44:27"/>
        <d v="2026-03-25T08:44:18"/>
        <d v="2026-03-25T08:44:12"/>
        <d v="2026-03-25T08:43:36"/>
        <d v="2026-03-25T08:43:23"/>
        <d v="2026-03-25T08:43:15"/>
        <d v="2026-03-25T08:43:08"/>
        <d v="2026-03-25T08:43:03"/>
        <d v="2026-03-25T08:42:57"/>
        <d v="2026-03-25T08:42:31"/>
        <d v="2026-03-25T08:42:03"/>
        <d v="2026-03-25T08:41:55"/>
        <d v="2026-03-25T08:41:48"/>
        <d v="2026-03-25T08:41:10"/>
        <d v="2026-03-25T08:40:59"/>
        <d v="2026-03-25T08:40:48"/>
        <d v="2026-03-25T08:40:45"/>
        <d v="2026-03-25T08:40:44"/>
        <d v="2026-03-25T08:40:20"/>
        <d v="2026-03-25T08:40:13"/>
        <d v="2026-03-25T08:40:02"/>
        <d v="2026-03-25T08:39:34"/>
        <d v="2026-03-25T08:39:30"/>
        <d v="2026-03-25T08:39:09"/>
        <d v="2026-03-25T08:39:00"/>
        <d v="2026-03-25T08:38:51"/>
        <d v="2026-03-25T08:38:20"/>
        <d v="2026-03-25T08:37:42"/>
        <d v="2026-03-25T08:37:20"/>
        <d v="2026-03-25T08:37:01"/>
        <d v="2026-03-25T08:36:58"/>
        <d v="2026-03-25T08:36:06"/>
        <d v="2026-03-25T08:36:00"/>
        <d v="2026-03-25T08:35:58"/>
        <d v="2026-03-25T08:35:56"/>
        <d v="2026-03-25T08:35:32"/>
        <d v="2026-03-25T08:34:54"/>
        <d v="2026-03-25T08:34:28"/>
        <d v="2026-03-25T08:34:16"/>
        <d v="2026-03-25T08:33:50"/>
        <d v="2026-03-25T08:32:55"/>
        <d v="2026-03-25T08:32:52"/>
        <d v="2026-03-25T08:32:26"/>
        <d v="2026-03-25T08:32:00"/>
        <d v="2026-03-25T08:31:41"/>
        <d v="2026-03-25T08:31:04"/>
        <d v="2026-03-25T08:30:44"/>
        <d v="2026-03-25T08:30:12"/>
        <d v="2026-03-25T08:29:59"/>
        <d v="2026-03-25T08:29:48"/>
        <d v="2026-03-25T08:28:42"/>
        <d v="2026-03-25T08:28:10"/>
        <d v="2026-03-25T08:27:30"/>
        <d v="2026-03-25T08:25:21"/>
        <d v="2026-03-25T08:23:53"/>
        <d v="2026-03-25T08:23:49"/>
        <d v="2026-03-25T08:23:47"/>
        <d v="2026-03-25T08:23:19"/>
        <d v="2026-03-25T08:22:57"/>
        <d v="2026-03-25T08:22:50"/>
        <d v="2026-03-25T08:21:36"/>
        <d v="2026-03-25T08:20:49"/>
        <d v="2026-03-25T08:19:08"/>
        <d v="2026-03-25T08:03:06"/>
        <d v="2026-03-25T08:03:03"/>
        <d v="2026-03-25T08:03:00"/>
        <d v="2026-03-25T08:02:58"/>
        <d v="2026-03-25T08:02:18"/>
        <d v="2026-03-25T07:50:08"/>
        <d v="2026-03-25T07:42:05"/>
        <d v="2026-03-25T07:41:49"/>
        <d v="2026-03-24T23:59:59"/>
        <d v="2026-03-24T22:54:24"/>
        <d v="2026-03-24T22:36:29"/>
        <d v="2026-03-24T22:14:28"/>
        <d v="2026-03-24T21:41:46"/>
        <d v="2026-03-24T21:32:35"/>
        <d v="2026-03-24T21:10:40"/>
        <d v="2026-03-24T19:38:54"/>
        <d v="2026-03-24T19:35:15"/>
        <d v="2026-03-24T19:01:53"/>
        <d v="2026-03-24T19:01:47"/>
        <d v="2026-03-24T19:01:43"/>
        <d v="2026-03-24T18:41:41"/>
        <d v="2026-03-24T18:27:43"/>
        <d v="2026-03-24T18:20:49"/>
        <d v="2026-03-24T18:13:16"/>
        <d v="2026-03-24T18:12:41"/>
        <d v="2026-03-24T18:12:24"/>
        <d v="2026-03-24T18:05:21"/>
        <d v="2026-03-24T18:03:57"/>
        <d v="2026-03-24T17:59:23"/>
        <d v="2026-03-24T17:55:53"/>
        <d v="2026-03-24T17:54:14"/>
        <d v="2026-03-24T17:48:30"/>
        <d v="2026-03-24T17:40:27"/>
        <d v="2026-03-24T17:40:03"/>
        <d v="2026-03-24T17:33:20"/>
        <d v="2026-03-24T17:32:51"/>
        <d v="2026-03-24T17:32:14"/>
        <d v="2026-03-24T17:31:19"/>
        <d v="2026-03-24T17:26:27"/>
        <d v="2026-03-24T17:24:54"/>
        <d v="2026-03-24T17:24:29"/>
        <d v="2026-03-24T17:21:31"/>
        <d v="2026-03-24T17:20:38"/>
        <d v="2026-03-24T17:17:48"/>
        <d v="2026-03-24T17:12:06"/>
        <d v="2026-03-24T17:11:47"/>
        <d v="2026-03-24T17:06:31"/>
        <d v="2026-03-24T17:06:21"/>
        <d v="2026-03-24T17:04:38"/>
        <d v="2026-03-24T17:04:28"/>
        <d v="2026-03-24T17:03:08"/>
        <d v="2026-03-24T17:02:05"/>
        <d v="2026-03-24T17:01:53"/>
        <d v="2026-03-24T17:00:43"/>
        <d v="2026-03-24T16:58:59"/>
        <d v="2026-03-24T16:58:44"/>
        <d v="2026-03-24T16:58:40"/>
        <d v="2026-03-24T16:57:53"/>
        <d v="2026-03-24T16:56:03"/>
        <d v="2026-03-24T16:52:45"/>
        <d v="2026-03-24T16:52:33"/>
        <d v="2026-03-24T16:51:35"/>
        <d v="2026-03-24T16:48:45"/>
        <d v="2026-03-24T16:43:35"/>
        <d v="2026-03-24T16:42:01"/>
        <d v="2026-03-24T16:39:51"/>
        <d v="2026-03-24T16:39:32"/>
        <d v="2026-03-24T16:38:31"/>
        <d v="2026-03-24T16:33:41"/>
        <d v="2026-03-24T16:27:22"/>
        <d v="2026-03-24T16:19:19"/>
        <d v="2026-03-24T16:17:45"/>
        <d v="2026-03-24T16:16:40"/>
        <d v="2026-03-24T16:12:20"/>
        <d v="2026-03-24T16:11:41"/>
        <d v="2026-03-24T16:08:08"/>
        <d v="2026-03-24T16:01:32"/>
        <d v="2026-03-24T15:56:00"/>
        <d v="2026-03-24T15:54:21"/>
        <d v="2026-03-24T15:52:29"/>
        <d v="2026-03-24T15:49:10"/>
        <d v="2026-03-24T15:46:09"/>
        <d v="2026-03-24T15:24:58"/>
        <d v="2026-03-24T15:20:00"/>
        <d v="2026-03-24T15:15:48"/>
        <d v="2026-03-24T15:15:32"/>
        <d v="2026-03-24T15:14:32"/>
        <d v="2026-03-24T15:03:43"/>
        <d v="2026-03-24T14:42:06"/>
        <d v="2026-03-24T14:39:40"/>
        <d v="2026-03-24T14:34:11"/>
        <d v="2026-03-24T14:33:23"/>
        <d v="2026-03-24T14:31:46"/>
        <d v="2026-03-24T14:29:01"/>
        <d v="2026-03-24T14:18:24"/>
        <d v="2026-03-24T14:15:33"/>
        <d v="2026-03-24T14:04:11"/>
        <d v="2026-03-24T14:00:43"/>
        <d v="2026-03-24T13:59:42"/>
        <d v="2026-03-24T13:56:48"/>
        <d v="2026-03-24T13:43:11"/>
        <d v="2026-03-24T13:43:07"/>
        <d v="2026-03-24T13:41:22"/>
        <d v="2026-03-24T13:41:17"/>
        <d v="2026-03-24T13:41:01"/>
        <d v="2026-03-24T13:40:56"/>
        <d v="2026-03-24T13:40:13"/>
        <d v="2026-03-24T13:39:39"/>
        <d v="2026-03-24T13:15:00"/>
        <d v="2026-03-24T13:14:50"/>
        <d v="2026-03-24T13:13:53"/>
        <d v="2026-03-24T11:48:03"/>
        <d v="2026-03-24T11:47:57"/>
        <d v="2026-03-24T11:16:30"/>
        <d v="2026-03-24T11:12:23"/>
        <d v="2026-03-24T11:11:05"/>
        <d v="2026-03-24T11:11:03"/>
        <d v="2026-03-24T11:09:34"/>
        <d v="2026-03-24T11:08:14"/>
        <d v="2026-03-24T11:07:12"/>
        <d v="2026-03-24T11:07:08"/>
        <d v="2026-03-24T11:06:46"/>
        <d v="2026-03-24T11:06:43"/>
        <d v="2026-03-24T11:06:36"/>
        <d v="2026-03-24T11:06:35"/>
        <d v="2026-03-24T11:06:29"/>
        <d v="2026-03-24T11:06:28"/>
        <d v="2026-03-24T11:06:27"/>
        <d v="2026-03-24T11:06:25"/>
        <d v="2026-03-24T11:06:23"/>
        <d v="2026-03-24T11:06:21"/>
        <d v="2026-03-24T11:04:00"/>
        <d v="2026-03-24T11:01:39"/>
        <d v="2026-03-24T11:00:59"/>
        <d v="2026-03-24T10:57:18"/>
        <d v="2026-03-24T10:54:32"/>
        <d v="2026-03-24T10:54:19"/>
        <d v="2026-03-24T10:52:57"/>
        <d v="2026-03-24T10:51:52"/>
        <d v="2026-03-24T10:50:38"/>
        <d v="2026-03-24T10:45:24"/>
        <d v="2026-03-24T10:44:20"/>
        <d v="2026-03-24T10:43:39"/>
        <d v="2026-03-24T10:38:13"/>
        <d v="2026-03-24T10:33:22"/>
        <d v="2026-03-24T10:29:59"/>
        <d v="2026-03-24T10:27:59"/>
        <d v="2026-03-24T10:23:31"/>
        <d v="2026-03-24T10:21:44"/>
        <d v="2026-03-24T10:13:31"/>
        <d v="2026-03-24T10:11:34"/>
        <d v="2026-03-24T10:09:35"/>
        <d v="2026-03-24T10:08:26"/>
        <d v="2026-03-24T10:08:13"/>
        <d v="2026-03-24T10:07:52"/>
        <d v="2026-03-24T10:06:55"/>
        <d v="2026-03-24T10:06:53"/>
        <d v="2026-03-24T10:00:31"/>
        <d v="2026-03-24T09:58:21"/>
        <d v="2026-03-24T09:57:25"/>
        <d v="2026-03-24T09:56:33"/>
        <d v="2026-03-24T09:55:43"/>
        <d v="2026-03-24T09:55:24"/>
        <d v="2026-03-24T09:55:21"/>
        <d v="2026-03-24T09:53:27"/>
        <d v="2026-03-24T09:51:39"/>
        <d v="2026-03-24T09:51:25"/>
        <d v="2026-03-24T09:50:07"/>
        <d v="2026-03-24T09:49:58"/>
        <d v="2026-03-24T09:49:32"/>
        <d v="2026-03-24T09:49:29"/>
        <d v="2026-03-24T09:48:17"/>
        <d v="2026-03-24T09:47:08"/>
        <d v="2026-03-24T09:47:01"/>
        <d v="2026-03-24T09:46:58"/>
        <d v="2026-03-24T09:46:56"/>
        <d v="2026-03-24T09:46:49"/>
        <d v="2026-03-24T09:46:48"/>
        <d v="2026-03-24T09:45:00"/>
        <d v="2026-03-24T09:44:38"/>
        <d v="2026-03-24T09:43:34"/>
        <d v="2026-03-24T09:41:46"/>
        <d v="2026-03-24T09:41:41"/>
        <d v="2026-03-24T09:41:35"/>
        <d v="2026-03-24T09:37:10"/>
        <d v="2026-03-24T09:35:56"/>
        <d v="2026-03-24T09:34:41"/>
        <d v="2026-03-24T09:33:14"/>
        <d v="2026-03-24T09:32:25"/>
        <d v="2026-03-24T09:32:03"/>
        <d v="2026-03-24T09:30:41"/>
        <d v="2026-03-24T09:30:05"/>
        <d v="2026-03-24T09:29:49"/>
        <d v="2026-03-24T09:29:11"/>
        <d v="2026-03-24T09:28:00"/>
        <d v="2026-03-24T09:27:58"/>
        <d v="2026-03-24T09:27:21"/>
        <d v="2026-03-24T09:25:37"/>
        <d v="2026-03-24T09:24:39"/>
        <d v="2026-03-24T09:24:06"/>
        <d v="2026-03-24T09:20:26"/>
        <d v="2026-03-24T09:20:04"/>
        <d v="2026-03-24T09:19:40"/>
        <d v="2026-03-24T09:18:15"/>
        <d v="2026-03-24T09:17:09"/>
        <d v="2026-03-24T09:16:50"/>
        <d v="2026-03-24T09:16:00"/>
        <d v="2026-03-24T09:15:04"/>
        <d v="2026-03-24T09:14:10"/>
        <d v="2026-03-24T09:13:59"/>
        <d v="2026-03-24T09:13:52"/>
        <d v="2026-03-24T09:13:47"/>
        <d v="2026-03-24T09:13:34"/>
        <d v="2026-03-24T09:12:39"/>
        <d v="2026-03-24T09:12:09"/>
        <d v="2026-03-24T09:12:07"/>
        <d v="2026-03-24T09:12:05"/>
        <d v="2026-03-24T09:11:37"/>
        <d v="2026-03-24T09:11:04"/>
        <d v="2026-03-24T09:10:59"/>
        <d v="2026-03-24T09:10:48"/>
        <d v="2026-03-24T09:10:37"/>
        <d v="2026-03-24T09:10:20"/>
        <d v="2026-03-24T09:09:31"/>
        <d v="2026-03-24T09:09:29"/>
        <d v="2026-03-24T09:09:27"/>
        <d v="2026-03-24T09:09:25"/>
        <d v="2026-03-24T09:09:23"/>
        <d v="2026-03-24T09:09:20"/>
        <d v="2026-03-24T09:09:15"/>
        <d v="2026-03-24T09:09:10"/>
        <d v="2026-03-24T09:09:09"/>
        <d v="2026-03-24T09:09:06"/>
        <d v="2026-03-24T09:09:05"/>
        <d v="2026-03-24T09:09:04"/>
        <d v="2026-03-24T09:09:02"/>
        <d v="2026-03-24T09:08:39"/>
        <d v="2026-03-24T09:08:28"/>
        <d v="2026-03-24T09:07:34"/>
        <d v="2026-03-24T09:07:21"/>
        <d v="2026-03-24T09:06:34"/>
        <d v="2026-03-24T09:05:50"/>
        <d v="2026-03-24T09:03:57"/>
        <d v="2026-03-24T09:02:47"/>
        <d v="2026-03-24T09:02:45"/>
        <d v="2026-03-24T09:02:43"/>
        <d v="2026-03-24T09:02:08"/>
        <d v="2026-03-24T09:01:35"/>
        <d v="2026-03-24T09:00:05"/>
        <d v="2026-03-24T09:00:00"/>
        <d v="2026-03-24T08:57:54"/>
        <d v="2026-03-24T08:57:43"/>
        <d v="2026-03-24T08:57:42"/>
        <d v="2026-03-24T08:57:40"/>
        <d v="2026-03-24T08:57:39"/>
        <d v="2026-03-24T08:57:35"/>
        <d v="2026-03-24T08:57:27"/>
        <d v="2026-03-24T08:56:55"/>
        <d v="2026-03-24T08:56:38"/>
        <d v="2026-03-24T08:55:18"/>
        <d v="2026-03-24T08:55:05"/>
        <d v="2026-03-24T08:55:03"/>
        <d v="2026-03-24T08:55:01"/>
        <d v="2026-03-24T08:54:59"/>
        <d v="2026-03-24T08:53:55"/>
        <d v="2026-03-24T08:53:48"/>
        <d v="2026-03-24T08:53:28"/>
        <d v="2026-03-24T08:52:20"/>
        <d v="2026-03-24T08:52:04"/>
        <d v="2026-03-24T08:52:01"/>
        <d v="2026-03-24T08:51:54"/>
        <d v="2026-03-24T08:51:49"/>
        <d v="2026-03-24T08:51:47"/>
        <d v="2026-03-24T08:51:38"/>
        <d v="2026-03-24T08:50:52"/>
        <d v="2026-03-24T08:50:48"/>
        <d v="2026-03-24T08:50:46"/>
        <d v="2026-03-24T08:50:35"/>
        <d v="2026-03-24T08:50:18"/>
        <d v="2026-03-24T08:49:42"/>
        <d v="2026-03-24T08:49:09"/>
        <d v="2026-03-24T08:48:40"/>
        <d v="2026-03-24T08:48:02"/>
        <d v="2026-03-24T08:47:58"/>
        <d v="2026-03-24T08:47:31"/>
        <d v="2026-03-24T08:47:16"/>
        <d v="2026-03-24T08:46:57"/>
        <d v="2026-03-24T08:46:55"/>
        <d v="2026-03-24T08:46:47"/>
        <d v="2026-03-24T08:46:40"/>
        <d v="2026-03-24T08:46:38"/>
        <d v="2026-03-24T08:46:35"/>
        <d v="2026-03-24T08:46:34"/>
        <d v="2026-03-24T08:46:31"/>
        <d v="2026-03-24T08:46:28"/>
        <d v="2026-03-24T08:46:24"/>
        <d v="2026-03-24T08:46:23"/>
        <d v="2026-03-24T08:46:21"/>
        <d v="2026-03-24T08:46:14"/>
        <d v="2026-03-24T08:46:04"/>
        <d v="2026-03-24T08:45:57"/>
        <d v="2026-03-24T08:45:56"/>
        <d v="2026-03-24T08:45:53"/>
        <d v="2026-03-24T08:45:46"/>
        <d v="2026-03-24T08:45:34"/>
        <d v="2026-03-24T08:45:32"/>
        <d v="2026-03-24T08:45:19"/>
        <d v="2026-03-24T08:45:14"/>
        <d v="2026-03-24T08:45:11"/>
        <d v="2026-03-24T08:44:53"/>
        <d v="2026-03-24T08:44:37"/>
        <d v="2026-03-24T08:44:06"/>
        <d v="2026-03-24T08:43:44"/>
        <d v="2026-03-24T08:43:15"/>
        <d v="2026-03-24T08:42:55"/>
        <d v="2026-03-24T08:42:52"/>
        <d v="2026-03-24T08:42:50"/>
        <d v="2026-03-24T08:42:13"/>
        <d v="2026-03-24T08:41:44"/>
        <d v="2026-03-24T08:41:35"/>
        <d v="2026-03-24T08:41:24"/>
        <d v="2026-03-24T08:41:22"/>
        <d v="2026-03-24T08:41:05"/>
        <d v="2026-03-24T08:40:58"/>
        <d v="2026-03-24T08:40:55"/>
        <d v="2026-03-24T08:40:47"/>
        <d v="2026-03-24T08:40:41"/>
        <d v="2026-03-24T08:40:34"/>
        <d v="2026-03-24T08:40:31"/>
        <d v="2026-03-24T08:40:26"/>
        <d v="2026-03-24T08:39:15"/>
        <d v="2026-03-24T08:39:09"/>
        <d v="2026-03-24T08:39:06"/>
        <d v="2026-03-24T08:39:04"/>
        <d v="2026-03-24T08:38:44"/>
        <d v="2026-03-24T08:38:40"/>
        <d v="2026-03-24T08:37:55"/>
        <d v="2026-03-24T08:37:43"/>
        <d v="2026-03-24T08:37:38"/>
        <d v="2026-03-24T08:37:17"/>
        <d v="2026-03-24T08:37:03"/>
        <d v="2026-03-24T08:37:02"/>
        <d v="2026-03-24T08:36:39"/>
        <d v="2026-03-24T08:36:37"/>
        <d v="2026-03-24T08:36:35"/>
        <d v="2026-03-24T08:36:31"/>
        <d v="2026-03-24T08:36:18"/>
        <d v="2026-03-24T08:35:25"/>
        <d v="2026-03-24T08:35:10"/>
        <d v="2026-03-24T08:34:16"/>
        <d v="2026-03-24T08:33:09"/>
        <d v="2026-03-24T08:32:58"/>
        <d v="2026-03-24T08:32:48"/>
        <d v="2026-03-24T08:32:45"/>
        <d v="2026-03-24T08:32:43"/>
        <d v="2026-03-24T08:32:41"/>
        <d v="2026-03-24T08:32:00"/>
        <d v="2026-03-24T08:31:22"/>
        <d v="2026-03-24T08:31:05"/>
        <d v="2026-03-24T08:30:46"/>
        <d v="2026-03-24T08:30:44"/>
        <d v="2026-03-24T08:30:32"/>
        <d v="2026-03-24T08:30:30"/>
        <d v="2026-03-24T08:29:52"/>
        <d v="2026-03-24T08:29:17"/>
        <d v="2026-03-24T08:28:31"/>
        <d v="2026-03-24T08:23:47"/>
        <d v="2026-03-24T08:22:32"/>
        <d v="2026-03-24T08:22:08"/>
        <d v="2026-03-24T08:15:54"/>
        <d v="2026-03-24T08:06:39"/>
        <d v="2026-03-24T08:03:32"/>
        <d v="2026-03-24T08:03:29"/>
        <d v="2026-03-24T08:03:25"/>
        <d v="2026-03-24T08:03:23"/>
        <d v="2026-03-24T07:45:27"/>
        <d v="2026-03-24T07:07:27"/>
        <d v="2026-03-24T07:04:00"/>
        <d v="2026-03-23T23:59:59"/>
        <d v="2026-03-23T21:49:44"/>
        <d v="2026-03-23T21:45:25"/>
        <d v="2026-03-23T20:21:14"/>
        <d v="2026-03-23T20:20:58"/>
        <d v="2026-03-23T19:31:06"/>
        <d v="2026-03-23T19:15:49"/>
        <d v="2026-03-23T18:42:02"/>
        <d v="2026-03-23T18:12:24"/>
        <d v="2026-03-23T18:08:06"/>
        <d v="2026-03-23T18:05:21"/>
        <d v="2026-03-23T18:04:23"/>
        <d v="2026-03-23T18:04:12"/>
        <d v="2026-03-23T18:02:45"/>
        <d v="2026-03-23T17:54:23"/>
        <d v="2026-03-23T17:42:22"/>
        <d v="2026-03-23T17:40:27"/>
        <d v="2026-03-23T17:36:04"/>
        <d v="2026-03-23T17:35:34"/>
        <d v="2026-03-23T17:34:09"/>
        <d v="2026-03-23T17:32:17"/>
        <d v="2026-03-23T17:32:01"/>
        <d v="2026-03-23T17:24:54"/>
        <d v="2026-03-23T17:24:32"/>
        <d v="2026-03-23T17:23:37"/>
        <d v="2026-03-23T17:23:31"/>
        <d v="2026-03-23T17:20:38"/>
        <d v="2026-03-23T17:16:06"/>
        <d v="2026-03-23T17:14:06"/>
        <d v="2026-03-23T17:13:51"/>
        <d v="2026-03-23T17:09:42"/>
        <d v="2026-03-23T17:06:35"/>
        <d v="2026-03-23T17:02:15"/>
        <d v="2026-03-23T17:01:53"/>
        <d v="2026-03-23T17:01:49"/>
        <d v="2026-03-23T17:00:43"/>
        <d v="2026-03-23T17:00:36"/>
        <d v="2026-03-23T16:55:52"/>
        <d v="2026-03-23T16:53:48"/>
        <d v="2026-03-23T16:53:35"/>
        <d v="2026-03-23T16:51:14"/>
        <d v="2026-03-23T16:49:51"/>
        <d v="2026-03-23T16:49:37"/>
        <d v="2026-03-23T16:48:45"/>
        <d v="2026-03-23T16:43:06"/>
        <d v="2026-03-23T16:42:24"/>
        <d v="2026-03-23T16:40:40"/>
        <d v="2026-03-23T16:39:58"/>
        <d v="2026-03-23T16:39:43"/>
        <d v="2026-03-23T16:35:28"/>
        <d v="2026-03-23T16:30:57"/>
        <d v="2026-03-23T16:30:55"/>
        <d v="2026-03-23T16:23:03"/>
        <d v="2026-03-23T16:21:44"/>
        <d v="2026-03-23T16:19:19"/>
        <d v="2026-03-23T16:17:45"/>
        <d v="2026-03-23T16:09:11"/>
        <d v="2026-03-23T16:07:41"/>
        <d v="2026-03-23T16:07:35"/>
        <d v="2026-03-23T16:04:00"/>
        <d v="2026-03-23T16:03:12"/>
        <d v="2026-03-23T15:54:40"/>
        <d v="2026-03-23T15:52:39"/>
        <d v="2026-03-23T15:48:50"/>
        <d v="2026-03-23T15:48:46"/>
        <d v="2026-03-23T15:46:09"/>
        <d v="2026-03-23T15:32:08"/>
        <d v="2026-03-23T15:31:49"/>
        <d v="2026-03-23T15:26:06"/>
        <d v="2026-03-23T15:24:58"/>
        <d v="2026-03-23T14:58:10"/>
        <d v="2026-03-23T14:57:38"/>
        <d v="2026-03-23T14:54:08"/>
        <d v="2026-03-23T14:49:59"/>
        <d v="2026-03-23T14:43:02"/>
        <d v="2026-03-23T14:38:37"/>
        <d v="2026-03-23T14:38:35"/>
        <d v="2026-03-23T14:38:24"/>
        <d v="2026-03-23T14:38:12"/>
        <d v="2026-03-23T14:35:24"/>
        <d v="2026-03-23T14:35:19"/>
        <d v="2026-03-23T14:34:11"/>
        <d v="2026-03-23T14:34:02"/>
        <d v="2026-03-23T14:33:58"/>
        <d v="2026-03-23T14:33:49"/>
        <d v="2026-03-23T14:30:58"/>
        <d v="2026-03-23T14:26:17"/>
        <d v="2026-03-23T14:23:59"/>
        <d v="2026-03-23T14:19:29"/>
        <d v="2026-03-23T14:18:14"/>
        <d v="2026-03-23T14:14:08"/>
        <d v="2026-03-23T14:09:17"/>
        <d v="2026-03-23T14:09:01"/>
        <d v="2026-03-23T14:00:49"/>
        <d v="2026-03-23T13:59:42"/>
        <d v="2026-03-23T13:56:36"/>
        <d v="2026-03-23T13:53:42"/>
        <d v="2026-03-23T13:48:15"/>
        <d v="2026-03-23T13:46:33"/>
        <d v="2026-03-23T13:46:24"/>
        <d v="2026-03-23T13:46:14"/>
        <d v="2026-03-23T13:45:18"/>
        <d v="2026-03-23T13:45:14"/>
        <d v="2026-03-23T13:44:53"/>
        <d v="2026-03-23T13:39:08"/>
        <d v="2026-03-23T13:36:02"/>
        <d v="2026-03-23T13:35:56"/>
        <d v="2026-03-23T13:35:46"/>
        <d v="2026-03-23T13:35:38"/>
        <d v="2026-03-23T12:24:08"/>
        <d v="2026-03-23T11:25:20"/>
        <d v="2026-03-23T11:24:03"/>
        <d v="2026-03-23T11:14:36"/>
        <d v="2026-03-23T11:09:44"/>
        <d v="2026-03-23T11:08:27"/>
        <d v="2026-03-23T11:04:06"/>
        <d v="2026-03-23T11:02:14"/>
        <d v="2026-03-23T11:02:12"/>
        <d v="2026-03-23T11:02:11"/>
        <d v="2026-03-23T11:02:09"/>
        <d v="2026-03-23T10:58:19"/>
        <d v="2026-03-23T10:52:57"/>
        <d v="2026-03-23T10:52:34"/>
        <d v="2026-03-23T10:51:52"/>
        <d v="2026-03-23T10:46:15"/>
        <d v="2026-03-23T10:43:49"/>
        <d v="2026-03-23T10:39:37"/>
        <d v="2026-03-23T10:37:26"/>
        <d v="2026-03-23T10:34:35"/>
        <d v="2026-03-23T10:31:13"/>
        <d v="2026-03-23T10:29:09"/>
        <d v="2026-03-23T10:27:57"/>
        <d v="2026-03-23T10:26:48"/>
        <d v="2026-03-23T10:23:53"/>
        <d v="2026-03-23T10:23:31"/>
        <d v="2026-03-23T10:20:29"/>
        <d v="2026-03-23T10:20:09"/>
        <d v="2026-03-23T10:20:02"/>
        <d v="2026-03-23T10:12:51"/>
        <d v="2026-03-23T10:12:45"/>
        <d v="2026-03-23T10:11:50"/>
        <d v="2026-03-23T10:11:49"/>
        <d v="2026-03-23T10:11:22"/>
        <d v="2026-03-23T10:11:20"/>
        <d v="2026-03-23T10:11:17"/>
        <d v="2026-03-23T10:11:16"/>
        <d v="2026-03-23T10:11:13"/>
        <d v="2026-03-23T10:11:12"/>
        <d v="2026-03-23T10:11:10"/>
        <d v="2026-03-23T10:11:08"/>
        <d v="2026-03-23T10:11:07"/>
        <d v="2026-03-23T10:11:06"/>
        <d v="2026-03-23T10:11:04"/>
        <d v="2026-03-23T10:10:08"/>
        <d v="2026-03-23T10:09:47"/>
        <d v="2026-03-23T10:08:56"/>
        <d v="2026-03-23T10:05:12"/>
        <d v="2026-03-23T09:58:26"/>
        <d v="2026-03-23T09:55:21"/>
        <d v="2026-03-23T09:55:05"/>
        <d v="2026-03-23T09:54:40"/>
        <d v="2026-03-23T09:51:58"/>
        <d v="2026-03-23T09:49:00"/>
        <d v="2026-03-23T09:48:41"/>
        <d v="2026-03-23T09:48:37"/>
        <d v="2026-03-23T09:48:32"/>
        <d v="2026-03-23T09:48:20"/>
        <d v="2026-03-23T09:47:57"/>
        <d v="2026-03-23T09:43:34"/>
        <d v="2026-03-23T09:38:36"/>
        <d v="2026-03-23T09:38:05"/>
        <d v="2026-03-23T09:37:36"/>
        <d v="2026-03-23T09:36:11"/>
        <d v="2026-03-23T09:35:00"/>
        <d v="2026-03-23T09:33:14"/>
        <d v="2026-03-23T09:33:07"/>
        <d v="2026-03-23T09:32:51"/>
        <d v="2026-03-23T09:31:17"/>
        <d v="2026-03-23T09:31:12"/>
        <d v="2026-03-23T09:30:27"/>
        <d v="2026-03-23T09:30:15"/>
        <d v="2026-03-23T09:30:14"/>
        <d v="2026-03-23T09:29:08"/>
        <d v="2026-03-23T09:28:49"/>
        <d v="2026-03-23T09:28:11"/>
        <d v="2026-03-23T09:26:46"/>
        <d v="2026-03-23T09:26:42"/>
        <d v="2026-03-23T09:26:07"/>
        <d v="2026-03-23T09:25:31"/>
        <d v="2026-03-23T09:25:05"/>
        <d v="2026-03-23T09:24:07"/>
        <d v="2026-03-23T09:23:19"/>
        <d v="2026-03-23T09:23:09"/>
        <d v="2026-03-23T09:23:06"/>
        <d v="2026-03-23T09:23:02"/>
        <d v="2026-03-23T09:22:29"/>
        <d v="2026-03-23T09:22:20"/>
        <d v="2026-03-23T09:22:02"/>
        <d v="2026-03-23T09:21:57"/>
        <d v="2026-03-23T09:19:19"/>
        <d v="2026-03-23T09:18:58"/>
        <d v="2026-03-23T09:18:21"/>
        <d v="2026-03-23T09:17:59"/>
        <d v="2026-03-23T09:17:38"/>
        <d v="2026-03-23T09:17:21"/>
        <d v="2026-03-23T09:16:50"/>
        <d v="2026-03-23T09:15:44"/>
        <d v="2026-03-23T09:14:16"/>
        <d v="2026-03-23T09:14:09"/>
        <d v="2026-03-23T09:13:46"/>
        <d v="2026-03-23T09:13:35"/>
        <d v="2026-03-23T09:12:56"/>
        <d v="2026-03-23T09:12:20"/>
        <d v="2026-03-23T09:12:16"/>
        <d v="2026-03-23T09:11:11"/>
        <d v="2026-03-23T09:10:20"/>
        <d v="2026-03-23T09:09:53"/>
        <d v="2026-03-23T09:09:29"/>
        <d v="2026-03-23T09:09:25"/>
        <d v="2026-03-23T09:08:51"/>
        <d v="2026-03-23T09:07:45"/>
        <d v="2026-03-23T09:07:39"/>
        <d v="2026-03-23T09:05:50"/>
        <d v="2026-03-23T09:05:46"/>
        <d v="2026-03-23T09:05:39"/>
        <d v="2026-03-23T09:05:10"/>
        <d v="2026-03-23T09:04:51"/>
        <d v="2026-03-23T09:04:18"/>
        <d v="2026-03-23T09:04:00"/>
        <d v="2026-03-23T09:03:48"/>
        <d v="2026-03-23T09:03:02"/>
        <d v="2026-03-23T09:02:44"/>
        <d v="2026-03-23T09:00:50"/>
        <d v="2026-03-23T09:00:41"/>
        <d v="2026-03-23T09:00:34"/>
        <d v="2026-03-23T09:00:18"/>
        <d v="2026-03-23T09:00:14"/>
        <d v="2026-03-23T08:59:59"/>
        <d v="2026-03-23T08:59:56"/>
        <d v="2026-03-23T08:59:54"/>
        <d v="2026-03-23T08:59:51"/>
        <d v="2026-03-23T08:59:47"/>
        <d v="2026-03-23T08:59:26"/>
        <d v="2026-03-23T08:59:22"/>
        <d v="2026-03-23T08:59:10"/>
        <d v="2026-03-23T08:58:56"/>
        <d v="2026-03-23T08:58:22"/>
        <d v="2026-03-23T08:58:03"/>
        <d v="2026-03-23T08:57:59"/>
        <d v="2026-03-23T08:57:50"/>
        <d v="2026-03-23T08:57:45"/>
        <d v="2026-03-23T08:57:43"/>
        <d v="2026-03-23T08:57:38"/>
        <d v="2026-03-23T08:57:29"/>
        <d v="2026-03-23T08:57:24"/>
        <d v="2026-03-23T08:57:19"/>
        <d v="2026-03-23T08:57:18"/>
        <d v="2026-03-23T08:56:18"/>
        <d v="2026-03-23T08:55:21"/>
        <d v="2026-03-23T08:55:20"/>
        <d v="2026-03-23T08:54:53"/>
        <d v="2026-03-23T08:54:31"/>
        <d v="2026-03-23T08:54:25"/>
        <d v="2026-03-23T08:54:19"/>
        <d v="2026-03-23T08:53:36"/>
        <d v="2026-03-23T08:52:45"/>
        <d v="2026-03-23T08:52:44"/>
        <d v="2026-03-23T08:52:23"/>
        <d v="2026-03-23T08:52:13"/>
        <d v="2026-03-23T08:52:06"/>
        <d v="2026-03-23T08:52:04"/>
        <d v="2026-03-23T08:51:55"/>
        <d v="2026-03-23T08:51:44"/>
        <d v="2026-03-23T08:51:42"/>
        <d v="2026-03-23T08:51:41"/>
        <d v="2026-03-23T08:51:37"/>
        <d v="2026-03-23T08:51:27"/>
        <d v="2026-03-23T08:51:22"/>
        <d v="2026-03-23T08:51:18"/>
        <d v="2026-03-23T08:51:14"/>
        <d v="2026-03-23T08:51:07"/>
        <d v="2026-03-23T08:50:26"/>
        <d v="2026-03-23T08:50:22"/>
        <d v="2026-03-23T08:50:10"/>
        <d v="2026-03-23T08:49:05"/>
        <d v="2026-03-23T08:48:57"/>
        <d v="2026-03-23T08:48:28"/>
        <d v="2026-03-23T08:48:23"/>
        <d v="2026-03-23T08:48:02"/>
        <d v="2026-03-23T08:47:48"/>
        <d v="2026-03-23T08:46:57"/>
        <d v="2026-03-23T08:46:22"/>
        <d v="2026-03-23T08:46:18"/>
        <d v="2026-03-23T08:46:14"/>
        <d v="2026-03-23T08:45:57"/>
        <d v="2026-03-23T08:45:39"/>
        <d v="2026-03-23T08:45:29"/>
        <d v="2026-03-23T08:44:51"/>
        <d v="2026-03-23T08:44:24"/>
        <d v="2026-03-23T08:44:20"/>
        <d v="2026-03-23T08:44:18"/>
        <d v="2026-03-23T08:44:12"/>
        <d v="2026-03-23T08:43:45"/>
        <d v="2026-03-23T08:43:06"/>
        <d v="2026-03-23T08:42:15"/>
        <d v="2026-03-23T08:41:38"/>
        <d v="2026-03-23T08:41:32"/>
        <d v="2026-03-23T08:40:47"/>
        <d v="2026-03-23T08:40:35"/>
        <d v="2026-03-23T08:40:02"/>
        <d v="2026-03-23T08:40:01"/>
        <d v="2026-03-23T08:39:50"/>
        <d v="2026-03-23T08:39:42"/>
        <d v="2026-03-23T08:39:40"/>
        <d v="2026-03-23T08:39:23"/>
        <d v="2026-03-23T08:38:48"/>
        <d v="2026-03-23T08:38:20"/>
        <d v="2026-03-23T08:38:05"/>
        <d v="2026-03-23T08:37:38"/>
        <d v="2026-03-23T08:37:29"/>
        <d v="2026-03-23T08:37:17"/>
        <d v="2026-03-23T08:37:02"/>
        <d v="2026-03-23T08:36:19"/>
        <d v="2026-03-23T08:35:10"/>
        <d v="2026-03-23T08:34:38"/>
        <d v="2026-03-23T08:33:37"/>
        <d v="2026-03-23T08:33:35"/>
        <d v="2026-03-23T08:33:32"/>
        <d v="2026-03-23T08:33:31"/>
        <d v="2026-03-23T08:33:29"/>
        <d v="2026-03-23T08:33:28"/>
        <d v="2026-03-23T08:33:17"/>
        <d v="2026-03-23T08:32:38"/>
        <d v="2026-03-23T08:32:20"/>
        <d v="2026-03-23T08:30:37"/>
        <d v="2026-03-23T08:30:23"/>
        <d v="2026-03-23T08:30:22"/>
        <d v="2026-03-23T08:27:00"/>
        <d v="2026-03-23T08:26:51"/>
        <d v="2026-03-23T08:26:36"/>
        <d v="2026-03-23T08:25:25"/>
        <d v="2026-03-23T08:23:47"/>
        <d v="2026-03-23T08:22:35"/>
        <d v="2026-03-23T08:21:35"/>
        <d v="2026-03-23T07:45:32"/>
        <d v="2026-03-23T07:40:44"/>
        <d v="2026-03-23T07:40:32"/>
        <d v="2026-03-23T07:03:04"/>
        <d v="2026-03-23T07:03:02"/>
        <d v="2026-03-23T07:03:00"/>
        <d v="2026-03-22T23:59:59"/>
        <d v="2026-03-22T20:05:31"/>
        <d v="2026-03-22T18:37:03"/>
        <d v="2026-03-22T18:07:57"/>
        <d v="2026-03-22T18:07:30"/>
        <d v="2026-03-22T17:21:02"/>
        <d v="2026-03-22T17:05:36"/>
        <d v="2026-03-22T13:45:16"/>
        <d v="2026-03-22T08:15:49"/>
        <d v="2026-03-21T23:59:59"/>
        <d v="2026-03-21T22:02:13"/>
        <d v="2026-03-21T22:02:06"/>
        <d v="2026-03-21T18:42:02"/>
        <d v="2026-03-21T18:18:02"/>
        <d v="2026-03-21T18:17:39"/>
        <d v="2026-03-21T18:11:22"/>
        <d v="2026-03-21T16:29:45"/>
        <d v="2026-03-21T15:54:22"/>
        <d v="2026-03-21T15:51:18"/>
        <d v="2026-03-21T14:36:18"/>
        <d v="2026-03-21T14:17:59"/>
        <d v="2026-03-21T14:13:01"/>
        <d v="2026-03-21T12:27:05"/>
        <d v="2026-03-21T10:20:10"/>
        <d v="2026-03-21T09:49:32"/>
        <d v="2026-03-21T09:47:41"/>
        <d v="2026-03-21T09:44:26"/>
        <d v="2026-03-21T09:18:51"/>
        <d v="2026-03-21T08:51:24"/>
        <d v="2026-03-20T23:59:59"/>
        <d v="2026-03-20T23:59:26"/>
        <d v="2026-03-20T22:32:21"/>
        <d v="2026-03-20T22:32:13"/>
        <d v="2026-03-20T22:04:54"/>
        <d v="2026-03-20T20:05:31"/>
        <d v="2026-03-20T19:07:01"/>
        <d v="2026-03-20T19:06:30"/>
        <d v="2026-03-20T19:06:25"/>
        <d v="2026-03-20T19:06:08"/>
        <d v="2026-03-20T19:05:52"/>
        <d v="2026-03-20T19:03:25"/>
        <d v="2026-03-20T19:00:22"/>
        <d v="2026-03-20T18:59:08"/>
        <d v="2026-03-20T18:42:02"/>
        <d v="2026-03-20T18:41:09"/>
        <d v="2026-03-20T18:29:26"/>
        <d v="2026-03-20T18:26:43"/>
        <d v="2026-03-20T18:20:52"/>
        <d v="2026-03-20T18:16:37"/>
        <d v="2026-03-20T18:15:37"/>
        <d v="2026-03-20T18:11:10"/>
        <d v="2026-03-20T17:59:19"/>
        <d v="2026-03-20T17:51:12"/>
        <d v="2026-03-20T17:49:14"/>
        <d v="2026-03-20T17:44:35"/>
        <d v="2026-03-20T17:41:59"/>
        <d v="2026-03-20T17:38:45"/>
        <d v="2026-03-20T17:38:18"/>
        <d v="2026-03-20T17:31:17"/>
        <d v="2026-03-20T17:28:52"/>
        <d v="2026-03-20T17:27:01"/>
        <d v="2026-03-20T17:24:59"/>
        <d v="2026-03-20T17:24:17"/>
        <d v="2026-03-20T17:24:00"/>
        <d v="2026-03-20T17:23:37"/>
        <d v="2026-03-20T17:21:02"/>
        <d v="2026-03-20T17:17:51"/>
        <d v="2026-03-20T17:17:45"/>
        <d v="2026-03-20T17:10:29"/>
        <d v="2026-03-20T17:10:18"/>
        <d v="2026-03-20T17:10:13"/>
        <d v="2026-03-20T17:09:42"/>
        <d v="2026-03-20T17:08:35"/>
        <d v="2026-03-20T17:05:42"/>
        <d v="2026-03-20T17:05:23"/>
        <d v="2026-03-20T17:05:11"/>
        <d v="2026-03-20T17:03:40"/>
        <d v="2026-03-20T17:02:28"/>
        <d v="2026-03-20T17:02:27"/>
        <d v="2026-03-20T17:02:08"/>
        <d v="2026-03-20T17:02:01"/>
        <d v="2026-03-20T17:00:47"/>
        <d v="2026-03-20T17:00:10"/>
        <d v="2026-03-20T16:59:58"/>
        <d v="2026-03-20T16:56:24"/>
        <d v="2026-03-20T16:55:57"/>
        <d v="2026-03-20T16:55:22"/>
        <d v="2026-03-20T16:54:11"/>
        <d v="2026-03-20T16:53:35"/>
        <d v="2026-03-20T16:53:20"/>
        <d v="2026-03-20T16:52:54"/>
        <d v="2026-03-20T16:49:51"/>
        <d v="2026-03-20T16:48:02"/>
        <d v="2026-03-20T16:45:38"/>
        <d v="2026-03-20T16:44:16"/>
        <d v="2026-03-20T16:43:24"/>
        <d v="2026-03-20T16:41:09"/>
        <d v="2026-03-20T16:39:35"/>
        <d v="2026-03-20T16:37:44"/>
        <d v="2026-03-20T16:37:31"/>
        <d v="2026-03-20T16:32:30"/>
        <d v="2026-03-20T16:27:36"/>
        <d v="2026-03-20T16:23:36"/>
        <d v="2026-03-20T16:19:25"/>
        <d v="2026-03-20T16:19:19"/>
        <d v="2026-03-20T16:13:49"/>
        <d v="2026-03-20T16:11:53"/>
        <d v="2026-03-20T16:00:42"/>
        <d v="2026-03-20T15:55:31"/>
        <d v="2026-03-20T15:50:19"/>
        <d v="2026-03-20T15:49:39"/>
        <d v="2026-03-20T15:49:38"/>
        <d v="2026-03-20T15:49:33"/>
        <d v="2026-03-20T15:48:49"/>
        <d v="2026-03-20T15:45:23"/>
        <d v="2026-03-20T15:42:59"/>
        <d v="2026-03-20T15:36:00"/>
        <d v="2026-03-20T15:34:46"/>
        <d v="2026-03-20T15:32:46"/>
        <d v="2026-03-20T15:31:34"/>
        <d v="2026-03-20T15:24:39"/>
        <d v="2026-03-20T15:24:30"/>
        <d v="2026-03-20T15:23:36"/>
        <d v="2026-03-20T15:23:24"/>
        <d v="2026-03-20T15:12:52"/>
        <d v="2026-03-20T15:09:50"/>
        <d v="2026-03-20T15:05:13"/>
        <d v="2026-03-20T15:03:39"/>
        <d v="2026-03-20T15:03:33"/>
        <d v="2026-03-20T15:03:08"/>
        <d v="2026-03-20T15:02:54"/>
        <d v="2026-03-20T15:02:41"/>
        <d v="2026-03-20T15:02:24"/>
        <d v="2026-03-20T15:02:14"/>
        <d v="2026-03-20T15:01:08"/>
        <d v="2026-03-20T14:58:26"/>
        <d v="2026-03-20T14:58:14"/>
        <d v="2026-03-20T14:50:02"/>
        <d v="2026-03-20T14:33:54"/>
        <d v="2026-03-20T14:33:44"/>
        <d v="2026-03-20T14:25:11"/>
        <d v="2026-03-20T14:23:33"/>
        <d v="2026-03-20T14:22:48"/>
        <d v="2026-03-20T14:22:35"/>
        <d v="2026-03-20T14:21:35"/>
        <d v="2026-03-20T14:19:47"/>
        <d v="2026-03-20T14:12:36"/>
        <d v="2026-03-20T14:12:15"/>
        <d v="2026-03-20T14:05:07"/>
        <d v="2026-03-20T14:00:51"/>
        <d v="2026-03-20T13:58:17"/>
        <d v="2026-03-20T13:53:30"/>
        <d v="2026-03-20T13:51:42"/>
        <d v="2026-03-20T13:45:07"/>
        <d v="2026-03-20T13:42:43"/>
        <d v="2026-03-20T13:40:16"/>
        <d v="2026-03-20T13:34:09"/>
        <d v="2026-03-20T13:33:16"/>
        <d v="2026-03-20T11:38:30"/>
        <d v="2026-03-20T11:38:08"/>
        <d v="2026-03-20T11:23:57"/>
        <d v="2026-03-20T11:23:27"/>
        <d v="2026-03-20T11:21:52"/>
        <d v="2026-03-20T11:20:42"/>
        <d v="2026-03-20T11:20:38"/>
        <d v="2026-03-20T11:20:36"/>
        <d v="2026-03-20T11:19:20"/>
        <d v="2026-03-20T11:17:30"/>
        <d v="2026-03-20T11:12:04"/>
        <d v="2026-03-20T11:04:34"/>
        <d v="2026-03-20T11:04:07"/>
        <d v="2026-03-20T10:42:21"/>
        <d v="2026-03-20T10:41:46"/>
        <d v="2026-03-20T10:41:36"/>
        <d v="2026-03-20T10:41:27"/>
        <d v="2026-03-20T10:37:45"/>
        <d v="2026-03-20T10:32:44"/>
        <d v="2026-03-20T10:31:13"/>
        <d v="2026-03-20T10:30:09"/>
        <d v="2026-03-20T10:20:43"/>
        <d v="2026-03-20T10:20:10"/>
        <d v="2026-03-20T10:12:47"/>
        <d v="2026-03-20T10:02:09"/>
        <d v="2026-03-20T10:00:49"/>
        <d v="2026-03-20T10:00:05"/>
        <d v="2026-03-20T09:54:48"/>
        <d v="2026-03-20T09:54:44"/>
        <d v="2026-03-20T09:54:37"/>
        <d v="2026-03-20T09:52:29"/>
        <d v="2026-03-20T09:51:58"/>
        <d v="2026-03-20T09:51:51"/>
        <d v="2026-03-20T09:48:40"/>
        <d v="2026-03-20T09:47:44"/>
        <d v="2026-03-20T09:47:41"/>
        <d v="2026-03-20T09:47:33"/>
        <d v="2026-03-20T09:47:21"/>
        <d v="2026-03-20T09:46:28"/>
        <d v="2026-03-20T09:45:29"/>
        <d v="2026-03-20T09:44:40"/>
        <d v="2026-03-20T09:44:22"/>
        <d v="2026-03-20T09:44:08"/>
        <d v="2026-03-20T09:42:55"/>
        <d v="2026-03-20T09:40:36"/>
        <d v="2026-03-20T09:39:29"/>
        <d v="2026-03-20T09:39:08"/>
        <d v="2026-03-20T09:39:07"/>
        <d v="2026-03-20T09:39:05"/>
        <d v="2026-03-20T09:38:59"/>
        <d v="2026-03-20T09:38:57"/>
        <d v="2026-03-20T09:38:55"/>
        <d v="2026-03-20T09:38:53"/>
        <d v="2026-03-20T09:38:51"/>
        <d v="2026-03-20T09:38:49"/>
        <d v="2026-03-20T09:38:47"/>
        <d v="2026-03-20T09:38:37"/>
        <d v="2026-03-20T09:38:33"/>
        <d v="2026-03-20T09:38:31"/>
        <d v="2026-03-20T09:34:22"/>
        <d v="2026-03-20T09:34:16"/>
        <d v="2026-03-20T09:34:08"/>
        <d v="2026-03-20T09:32:12"/>
        <d v="2026-03-20T09:31:45"/>
        <d v="2026-03-20T09:31:42"/>
        <d v="2026-03-20T09:31:09"/>
        <d v="2026-03-20T09:31:00"/>
        <d v="2026-03-20T09:30:53"/>
        <d v="2026-03-20T09:30:29"/>
        <d v="2026-03-20T09:30:08"/>
        <d v="2026-03-20T09:27:48"/>
        <d v="2026-03-20T09:26:02"/>
        <d v="2026-03-20T09:25:24"/>
        <d v="2026-03-20T09:24:52"/>
        <d v="2026-03-20T09:23:38"/>
        <d v="2026-03-20T09:22:37"/>
        <d v="2026-03-20T09:21:34"/>
        <d v="2026-03-20T09:21:27"/>
        <d v="2026-03-20T09:20:50"/>
        <d v="2026-03-20T09:20:39"/>
        <d v="2026-03-20T09:19:40"/>
        <d v="2026-03-20T09:16:26"/>
        <d v="2026-03-20T09:16:22"/>
        <d v="2026-03-20T09:16:17"/>
        <d v="2026-03-20T09:15:49"/>
        <d v="2026-03-20T09:15:12"/>
        <d v="2026-03-20T09:14:45"/>
        <d v="2026-03-20T09:14:39"/>
        <d v="2026-03-20T09:14:28"/>
        <d v="2026-03-20T09:14:17"/>
        <d v="2026-03-20T09:14:13"/>
        <d v="2026-03-20T09:13:43"/>
        <d v="2026-03-20T09:13:32"/>
        <d v="2026-03-20T09:13:23"/>
        <d v="2026-03-20T09:13:09"/>
        <d v="2026-03-20T09:13:07"/>
        <d v="2026-03-20T09:12:52"/>
        <d v="2026-03-20T09:12:45"/>
        <d v="2026-03-20T09:12:35"/>
        <d v="2026-03-20T09:12:34"/>
        <d v="2026-03-20T09:12:24"/>
        <d v="2026-03-20T09:12:13"/>
        <d v="2026-03-20T09:11:55"/>
        <d v="2026-03-20T09:11:52"/>
        <d v="2026-03-20T09:11:48"/>
        <d v="2026-03-20T09:09:18"/>
        <d v="2026-03-20T09:09:04"/>
        <d v="2026-03-20T09:08:07"/>
        <d v="2026-03-20T09:08:06"/>
        <d v="2026-03-20T09:08:01"/>
        <d v="2026-03-20T09:07:57"/>
        <d v="2026-03-20T09:07:53"/>
        <d v="2026-03-20T09:07:09"/>
        <d v="2026-03-20T09:05:04"/>
        <d v="2026-03-20T09:04:45"/>
        <d v="2026-03-20T09:04:32"/>
        <d v="2026-03-20T09:04:29"/>
        <d v="2026-03-20T09:04:23"/>
        <d v="2026-03-20T09:03:54"/>
        <d v="2026-03-20T09:03:08"/>
        <d v="2026-03-20T09:03:03"/>
        <d v="2026-03-20T09:02:48"/>
        <d v="2026-03-20T09:02:34"/>
        <d v="2026-03-20T09:02:32"/>
        <d v="2026-03-20T09:02:20"/>
        <d v="2026-03-20T09:02:11"/>
        <d v="2026-03-20T09:01:50"/>
        <d v="2026-03-20T09:01:25"/>
        <d v="2026-03-20T09:01:20"/>
        <d v="2026-03-20T09:00:55"/>
        <d v="2026-03-20T09:00:39"/>
        <d v="2026-03-20T09:00:16"/>
        <d v="2026-03-20T08:59:29"/>
        <d v="2026-03-20T08:59:28"/>
        <d v="2026-03-20T08:59:16"/>
        <d v="2026-03-20T08:59:12"/>
        <d v="2026-03-20T08:59:09"/>
        <d v="2026-03-20T08:59:03"/>
        <d v="2026-03-20T08:58:44"/>
        <d v="2026-03-20T08:58:16"/>
        <d v="2026-03-20T08:58:14"/>
        <d v="2026-03-20T08:58:12"/>
        <d v="2026-03-20T08:58:05"/>
        <d v="2026-03-20T08:58:01"/>
        <d v="2026-03-20T08:57:54"/>
        <d v="2026-03-20T08:57:52"/>
        <d v="2026-03-20T08:56:52"/>
        <d v="2026-03-20T08:56:50"/>
        <d v="2026-03-20T08:56:12"/>
        <d v="2026-03-20T08:56:01"/>
        <d v="2026-03-20T08:55:33"/>
        <d v="2026-03-20T08:55:18"/>
        <d v="2026-03-20T08:54:57"/>
        <d v="2026-03-20T08:54:18"/>
        <d v="2026-03-20T08:54:16"/>
        <d v="2026-03-20T08:54:12"/>
        <d v="2026-03-20T08:53:54"/>
        <d v="2026-03-20T08:53:44"/>
        <d v="2026-03-20T08:53:00"/>
        <d v="2026-03-20T08:52:56"/>
        <d v="2026-03-20T08:52:41"/>
        <d v="2026-03-20T08:52:35"/>
        <d v="2026-03-20T08:52:15"/>
        <d v="2026-03-20T08:52:12"/>
        <d v="2026-03-20T08:52:08"/>
        <d v="2026-03-20T08:52:06"/>
        <d v="2026-03-20T08:52:04"/>
        <d v="2026-03-20T08:51:53"/>
        <d v="2026-03-20T08:51:45"/>
        <d v="2026-03-20T08:51:40"/>
        <d v="2026-03-20T08:50:39"/>
        <d v="2026-03-20T08:50:27"/>
        <d v="2026-03-20T08:50:08"/>
        <d v="2026-03-20T08:49:55"/>
        <d v="2026-03-20T08:49:14"/>
        <d v="2026-03-20T08:49:07"/>
        <d v="2026-03-20T08:48:50"/>
        <d v="2026-03-20T08:48:38"/>
        <d v="2026-03-20T08:48:30"/>
        <d v="2026-03-20T08:47:38"/>
        <d v="2026-03-20T08:47:09"/>
        <d v="2026-03-20T08:47:08"/>
        <d v="2026-03-20T08:47:02"/>
        <d v="2026-03-20T08:47:00"/>
        <d v="2026-03-20T08:46:46"/>
        <d v="2026-03-20T08:46:39"/>
        <d v="2026-03-20T08:45:25"/>
        <d v="2026-03-20T08:45:11"/>
        <d v="2026-03-20T08:44:49"/>
        <d v="2026-03-20T08:44:48"/>
        <d v="2026-03-20T08:44:47"/>
        <d v="2026-03-20T08:44:45"/>
        <d v="2026-03-20T08:44:44"/>
        <d v="2026-03-20T08:44:42"/>
        <d v="2026-03-20T08:44:37"/>
        <d v="2026-03-20T08:44:33"/>
        <d v="2026-03-20T08:44:31"/>
        <d v="2026-03-20T08:44:23"/>
        <d v="2026-03-20T08:44:20"/>
        <d v="2026-03-20T08:44:12"/>
        <d v="2026-03-20T08:43:40"/>
        <d v="2026-03-20T08:43:37"/>
        <d v="2026-03-20T08:43:32"/>
        <d v="2026-03-20T08:43:25"/>
        <d v="2026-03-20T08:43:13"/>
        <d v="2026-03-20T08:41:59"/>
        <d v="2026-03-20T08:41:24"/>
        <d v="2026-03-20T08:41:15"/>
        <d v="2026-03-20T08:41:01"/>
        <d v="2026-03-20T08:40:58"/>
        <d v="2026-03-20T08:40:30"/>
        <d v="2026-03-20T08:40:25"/>
        <d v="2026-03-20T08:40:19"/>
        <d v="2026-03-20T08:40:09"/>
        <d v="2026-03-20T08:40:02"/>
        <d v="2026-03-20T08:39:56"/>
        <d v="2026-03-20T08:39:47"/>
        <d v="2026-03-20T08:39:44"/>
        <d v="2026-03-20T08:39:38"/>
        <d v="2026-03-20T08:39:36"/>
        <d v="2026-03-20T08:39:33"/>
        <d v="2026-03-20T08:39:29"/>
        <d v="2026-03-20T08:39:08"/>
        <d v="2026-03-20T08:38:58"/>
        <d v="2026-03-20T08:38:47"/>
        <d v="2026-03-20T08:38:21"/>
        <d v="2026-03-20T08:38:14"/>
        <d v="2026-03-20T08:38:08"/>
        <d v="2026-03-20T08:37:56"/>
        <d v="2026-03-20T08:37:47"/>
        <d v="2026-03-20T08:37:27"/>
        <d v="2026-03-20T08:37:11"/>
        <d v="2026-03-20T08:37:09"/>
        <d v="2026-03-20T08:37:07"/>
        <d v="2026-03-20T08:37:05"/>
        <d v="2026-03-20T08:36:40"/>
        <d v="2026-03-20T08:36:33"/>
        <d v="2026-03-20T08:36:05"/>
        <d v="2026-03-20T08:35:47"/>
        <d v="2026-03-20T08:34:11"/>
        <d v="2026-03-20T08:34:04"/>
        <d v="2026-03-20T08:33:59"/>
        <d v="2026-03-20T08:33:08"/>
        <d v="2026-03-20T08:33:05"/>
        <d v="2026-03-20T08:33:03"/>
        <d v="2026-03-20T08:33:01"/>
        <d v="2026-03-20T08:32:58"/>
        <d v="2026-03-20T08:32:41"/>
        <d v="2026-03-20T08:32:06"/>
        <d v="2026-03-20T08:31:58"/>
        <d v="2026-03-20T08:31:54"/>
        <d v="2026-03-20T08:31:50"/>
        <d v="2026-03-20T08:31:36"/>
        <d v="2026-03-20T08:31:21"/>
        <d v="2026-03-20T08:31:19"/>
        <d v="2026-03-20T08:31:15"/>
        <d v="2026-03-20T08:31:13"/>
        <d v="2026-03-20T08:30:57"/>
        <d v="2026-03-20T08:30:05"/>
        <d v="2026-03-20T08:29:29"/>
        <d v="2026-03-20T08:29:27"/>
        <d v="2026-03-20T08:28:10"/>
        <d v="2026-03-20T08:24:25"/>
        <d v="2026-03-20T08:24:03"/>
        <d v="2026-03-20T08:22:45"/>
        <d v="2026-03-20T08:22:23"/>
        <d v="2026-03-20T08:21:52"/>
        <d v="2026-03-20T08:17:08"/>
        <d v="2026-03-20T07:55:58"/>
        <d v="2026-03-20T07:49:30"/>
        <d v="2026-03-20T07:49:15"/>
        <d v="2026-03-20T07:46:26"/>
        <d v="2026-03-20T07:46:21"/>
        <d v="2026-03-20T07:46:14"/>
        <d v="2026-03-20T07:46:11"/>
        <d v="2026-03-20T07:30:56"/>
        <d v="2026-03-20T07:30:54"/>
        <d v="2026-03-19T23:59:59"/>
        <d v="2026-03-19T22:04:54"/>
        <d v="2026-03-19T21:18:24"/>
        <d v="2026-03-19T20:25:13"/>
        <d v="2026-03-19T20:25:11"/>
        <d v="2026-03-19T20:05:31"/>
        <d v="2026-03-19T19:34:17"/>
        <d v="2026-03-19T19:14:22"/>
        <d v="2026-03-19T19:11:46"/>
        <d v="2026-03-19T19:07:03"/>
        <d v="2026-03-19T19:07:01"/>
        <d v="2026-03-19T19:04:53"/>
        <d v="2026-03-19T18:52:35"/>
        <d v="2026-03-19T18:33:15"/>
        <d v="2026-03-19T18:27:03"/>
        <d v="2026-03-19T18:26:43"/>
        <d v="2026-03-19T18:24:21"/>
        <d v="2026-03-19T18:20:52"/>
        <d v="2026-03-19T18:19:15"/>
        <d v="2026-03-19T18:15:29"/>
        <d v="2026-03-19T18:08:05"/>
        <d v="2026-03-19T18:06:56"/>
        <d v="2026-03-19T17:59:19"/>
        <d v="2026-03-19T17:51:12"/>
        <d v="2026-03-19T17:46:36"/>
        <d v="2026-03-19T17:45:46"/>
        <d v="2026-03-19T17:45:20"/>
        <d v="2026-03-19T17:41:59"/>
        <d v="2026-03-19T17:40:10"/>
        <d v="2026-03-19T17:40:03"/>
        <d v="2026-03-19T17:38:45"/>
        <d v="2026-03-19T17:38:18"/>
        <d v="2026-03-19T17:35:00"/>
        <d v="2026-03-19T17:30:15"/>
        <d v="2026-03-19T17:26:18"/>
        <d v="2026-03-19T17:24:53"/>
        <d v="2026-03-19T17:21:02"/>
        <d v="2026-03-19T17:19:05"/>
        <d v="2026-03-19T17:18:49"/>
        <d v="2026-03-19T17:17:45"/>
        <d v="2026-03-19T17:13:03"/>
        <d v="2026-03-19T17:12:36"/>
        <d v="2026-03-19T17:12:18"/>
        <d v="2026-03-19T17:10:13"/>
        <d v="2026-03-19T17:09:02"/>
        <d v="2026-03-19T17:08:32"/>
        <d v="2026-03-19T17:08:28"/>
        <d v="2026-03-19T17:08:20"/>
        <d v="2026-03-19T17:06:50"/>
        <d v="2026-03-19T17:06:49"/>
        <d v="2026-03-19T17:05:23"/>
        <d v="2026-03-19T17:03:51"/>
        <d v="2026-03-19T17:01:24"/>
        <d v="2026-03-19T16:58:30"/>
        <d v="2026-03-19T16:57:28"/>
        <d v="2026-03-19T16:57:01"/>
        <d v="2026-03-19T16:54:56"/>
        <d v="2026-03-19T16:54:16"/>
        <d v="2026-03-19T16:53:35"/>
        <d v="2026-03-19T16:51:38"/>
        <d v="2026-03-19T16:50:55"/>
        <d v="2026-03-19T16:49:51"/>
        <d v="2026-03-19T16:49:21"/>
        <d v="2026-03-19T16:49:10"/>
        <d v="2026-03-19T16:48:43"/>
        <d v="2026-03-19T16:44:46"/>
        <d v="2026-03-19T16:44:41"/>
        <d v="2026-03-19T16:44:16"/>
        <d v="2026-03-19T16:44:05"/>
        <d v="2026-03-19T16:41:28"/>
        <d v="2026-03-19T16:39:35"/>
        <d v="2026-03-19T16:37:44"/>
        <d v="2026-03-19T16:37:21"/>
        <d v="2026-03-19T16:32:43"/>
        <d v="2026-03-19T16:32:30"/>
        <d v="2026-03-19T16:20:37"/>
        <d v="2026-03-19T16:19:25"/>
        <d v="2026-03-19T16:19:19"/>
        <d v="2026-03-19T16:18:53"/>
        <d v="2026-03-19T16:17:15"/>
        <d v="2026-03-19T16:16:39"/>
        <d v="2026-03-19T16:14:30"/>
        <d v="2026-03-19T16:14:18"/>
        <d v="2026-03-19T16:13:49"/>
        <d v="2026-03-19T16:12:17"/>
        <d v="2026-03-19T16:06:06"/>
        <d v="2026-03-19T16:04:04"/>
        <d v="2026-03-19T16:00:42"/>
        <d v="2026-03-19T15:55:35"/>
        <d v="2026-03-19T15:52:23"/>
        <d v="2026-03-19T15:44:33"/>
        <d v="2026-03-19T15:41:08"/>
        <d v="2026-03-19T15:38:38"/>
        <d v="2026-03-19T15:37:58"/>
        <d v="2026-03-19T15:34:55"/>
        <d v="2026-03-19T15:34:34"/>
        <d v="2026-03-19T15:34:24"/>
        <d v="2026-03-19T15:34:19"/>
        <d v="2026-03-19T15:33:10"/>
        <d v="2026-03-19T15:13:33"/>
        <d v="2026-03-19T15:12:29"/>
        <d v="2026-03-19T15:12:00"/>
        <d v="2026-03-19T15:11:37"/>
        <d v="2026-03-19T15:06:48"/>
        <d v="2026-03-19T14:59:04"/>
        <d v="2026-03-19T14:58:14"/>
        <d v="2026-03-19T14:50:02"/>
        <d v="2026-03-19T14:48:28"/>
        <d v="2026-03-19T14:48:05"/>
        <d v="2026-03-19T14:43:08"/>
        <d v="2026-03-19T14:33:36"/>
        <d v="2026-03-19T14:33:33"/>
        <d v="2026-03-19T14:31:16"/>
        <d v="2026-03-19T14:27:30"/>
        <d v="2026-03-19T14:26:17"/>
        <d v="2026-03-19T14:26:08"/>
        <d v="2026-03-19T14:21:03"/>
        <d v="2026-03-19T14:19:33"/>
        <d v="2026-03-19T14:18:24"/>
        <d v="2026-03-19T14:18:10"/>
        <d v="2026-03-19T14:13:08"/>
        <d v="2026-03-19T14:09:45"/>
        <d v="2026-03-19T14:08:32"/>
        <d v="2026-03-19T14:05:47"/>
        <d v="2026-03-19T14:05:24"/>
        <d v="2026-03-19T14:03:06"/>
        <d v="2026-03-19T14:03:02"/>
        <d v="2026-03-19T14:00:57"/>
        <d v="2026-03-19T13:54:23"/>
        <d v="2026-03-19T13:53:22"/>
        <d v="2026-03-19T13:47:42"/>
        <d v="2026-03-19T13:40:43"/>
        <d v="2026-03-19T13:40:36"/>
        <d v="2026-03-19T13:39:05"/>
        <d v="2026-03-19T13:38:52"/>
        <d v="2026-03-19T13:32:45"/>
        <d v="2026-03-19T13:28:39"/>
        <d v="2026-03-19T13:06:12"/>
        <d v="2026-03-19T12:56:24"/>
        <d v="2026-03-19T11:33:24"/>
        <d v="2026-03-19T11:19:07"/>
        <d v="2026-03-19T11:12:55"/>
        <d v="2026-03-19T11:03:53"/>
        <d v="2026-03-19T11:02:34"/>
        <d v="2026-03-19T11:00:10"/>
        <d v="2026-03-19T11:00:07"/>
        <d v="2026-03-19T10:59:47"/>
        <d v="2026-03-19T10:57:49"/>
        <d v="2026-03-19T10:52:45"/>
        <d v="2026-03-19T10:43:13"/>
        <d v="2026-03-19T10:41:57"/>
        <d v="2026-03-19T10:36:24"/>
        <d v="2026-03-19T10:33:28"/>
        <d v="2026-03-19T10:32:44"/>
        <d v="2026-03-19T10:30:57"/>
        <d v="2026-03-19T10:30:43"/>
        <d v="2026-03-19T10:29:38"/>
        <d v="2026-03-19T10:29:33"/>
        <d v="2026-03-19T10:29:05"/>
        <d v="2026-03-19T10:28:48"/>
        <d v="2026-03-19T10:28:19"/>
        <d v="2026-03-19T10:28:15"/>
        <d v="2026-03-19T10:26:22"/>
        <d v="2026-03-19T10:26:15"/>
        <d v="2026-03-19T10:25:31"/>
        <d v="2026-03-19T10:23:44"/>
        <d v="2026-03-19T10:20:10"/>
        <d v="2026-03-19T10:19:54"/>
        <d v="2026-03-19T10:19:16"/>
        <d v="2026-03-19T10:17:47"/>
        <d v="2026-03-19T10:16:35"/>
        <d v="2026-03-19T10:16:06"/>
        <d v="2026-03-19T10:13:21"/>
        <d v="2026-03-19T10:12:47"/>
        <d v="2026-03-19T10:08:43"/>
        <d v="2026-03-19T10:07:31"/>
        <d v="2026-03-19T10:06:48"/>
        <d v="2026-03-19T10:06:35"/>
        <d v="2026-03-19T10:05:24"/>
        <d v="2026-03-19T10:04:40"/>
        <d v="2026-03-19T10:01:51"/>
        <d v="2026-03-19T10:00:49"/>
        <d v="2026-03-19T10:00:44"/>
        <d v="2026-03-19T09:51:58"/>
        <d v="2026-03-19T09:49:20"/>
        <d v="2026-03-19T09:47:44"/>
        <d v="2026-03-19T09:47:33"/>
        <d v="2026-03-19T09:46:53"/>
        <d v="2026-03-19T09:45:44"/>
        <d v="2026-03-19T09:44:49"/>
        <d v="2026-03-19T09:44:40"/>
        <d v="2026-03-19T09:40:36"/>
        <d v="2026-03-19T09:39:38"/>
        <d v="2026-03-19T09:39:37"/>
        <d v="2026-03-19T09:39:31"/>
        <d v="2026-03-19T09:38:03"/>
        <d v="2026-03-19T09:34:45"/>
        <d v="2026-03-19T09:34:42"/>
        <d v="2026-03-19T09:33:33"/>
        <d v="2026-03-19T09:33:32"/>
        <d v="2026-03-19T09:33:06"/>
        <d v="2026-03-19T09:32:27"/>
        <d v="2026-03-19T09:32:12"/>
        <d v="2026-03-19T09:31:08"/>
        <d v="2026-03-19T09:30:17"/>
        <d v="2026-03-19T09:29:19"/>
        <d v="2026-03-19T09:28:49"/>
        <d v="2026-03-19T09:28:45"/>
        <d v="2026-03-19T09:28:25"/>
        <d v="2026-03-19T09:27:39"/>
        <d v="2026-03-19T09:24:30"/>
        <d v="2026-03-19T09:24:23"/>
        <d v="2026-03-19T09:24:09"/>
        <d v="2026-03-19T09:23:21"/>
        <d v="2026-03-19T09:21:08"/>
        <d v="2026-03-19T09:20:50"/>
        <d v="2026-03-19T09:19:08"/>
        <d v="2026-03-19T09:18:41"/>
        <d v="2026-03-19T09:17:29"/>
        <d v="2026-03-19T09:16:42"/>
        <d v="2026-03-19T09:14:45"/>
        <d v="2026-03-19T09:14:23"/>
        <d v="2026-03-19T09:13:41"/>
        <d v="2026-03-19T09:13:29"/>
        <d v="2026-03-19T09:13:28"/>
        <d v="2026-03-19T09:13:20"/>
        <d v="2026-03-19T09:13:12"/>
        <d v="2026-03-19T09:13:06"/>
        <d v="2026-03-19T09:13:03"/>
        <d v="2026-03-19T09:13:00"/>
        <d v="2026-03-19T09:12:58"/>
        <d v="2026-03-19T09:12:55"/>
        <d v="2026-03-19T09:12:53"/>
        <d v="2026-03-19T09:12:39"/>
        <d v="2026-03-19T09:12:35"/>
        <d v="2026-03-19T09:12:30"/>
        <d v="2026-03-19T09:12:27"/>
        <d v="2026-03-19T09:12:06"/>
        <d v="2026-03-19T09:11:07"/>
        <d v="2026-03-19T09:09:53"/>
        <d v="2026-03-19T09:08:45"/>
        <d v="2026-03-19T09:07:44"/>
        <d v="2026-03-19T09:07:39"/>
        <d v="2026-03-19T09:07:32"/>
        <d v="2026-03-19T09:07:28"/>
        <d v="2026-03-19T09:07:22"/>
        <d v="2026-03-19T09:07:20"/>
        <d v="2026-03-19T09:07:14"/>
        <d v="2026-03-19T09:07:03"/>
        <d v="2026-03-19T09:06:17"/>
        <d v="2026-03-19T09:06:09"/>
        <d v="2026-03-19T09:06:06"/>
        <d v="2026-03-19T09:06:02"/>
        <d v="2026-03-19T09:05:59"/>
        <d v="2026-03-19T09:05:54"/>
        <d v="2026-03-19T09:05:48"/>
        <d v="2026-03-19T09:05:42"/>
        <d v="2026-03-19T09:04:47"/>
        <d v="2026-03-19T09:04:42"/>
        <d v="2026-03-19T09:04:37"/>
        <d v="2026-03-19T09:04:12"/>
        <d v="2026-03-19T09:03:17"/>
        <d v="2026-03-19T09:02:50"/>
        <d v="2026-03-19T09:02:48"/>
        <d v="2026-03-19T09:02:42"/>
        <d v="2026-03-19T09:02:26"/>
        <d v="2026-03-19T09:02:23"/>
        <d v="2026-03-19T09:02:21"/>
        <d v="2026-03-19T09:02:19"/>
        <d v="2026-03-19T09:02:17"/>
        <d v="2026-03-19T09:02:16"/>
        <d v="2026-03-19T09:02:09"/>
        <d v="2026-03-19T09:02:07"/>
        <d v="2026-03-19T09:02:04"/>
        <d v="2026-03-19T09:02:03"/>
        <d v="2026-03-19T09:02:01"/>
        <d v="2026-03-19T09:02:00"/>
        <d v="2026-03-19T09:01:58"/>
        <d v="2026-03-19T09:01:39"/>
        <d v="2026-03-19T09:01:34"/>
        <d v="2026-03-19T09:01:25"/>
        <d v="2026-03-19T09:01:24"/>
        <d v="2026-03-19T09:01:09"/>
        <d v="2026-03-19T09:00:16"/>
        <d v="2026-03-19T09:00:01"/>
        <d v="2026-03-19T08:59:59"/>
        <d v="2026-03-19T08:59:19"/>
        <d v="2026-03-19T08:59:11"/>
        <d v="2026-03-19T08:59:05"/>
        <d v="2026-03-19T08:58:55"/>
        <d v="2026-03-19T08:58:08"/>
        <d v="2026-03-19T08:58:01"/>
        <d v="2026-03-19T08:57:59"/>
        <d v="2026-03-19T08:57:46"/>
        <d v="2026-03-19T08:57:45"/>
        <d v="2026-03-19T08:57:41"/>
        <d v="2026-03-19T08:57:28"/>
        <d v="2026-03-19T08:57:08"/>
        <d v="2026-03-19T08:56:45"/>
        <d v="2026-03-19T08:56:39"/>
        <d v="2026-03-19T08:55:02"/>
        <d v="2026-03-19T08:54:09"/>
        <d v="2026-03-19T08:53:57"/>
        <d v="2026-03-19T08:53:03"/>
        <d v="2026-03-19T08:53:01"/>
        <d v="2026-03-19T08:52:58"/>
        <d v="2026-03-19T08:52:54"/>
        <d v="2026-03-19T08:52:25"/>
        <d v="2026-03-19T08:52:06"/>
        <d v="2026-03-19T08:51:27"/>
        <d v="2026-03-19T08:51:24"/>
        <d v="2026-03-19T08:51:23"/>
        <d v="2026-03-19T08:51:17"/>
        <d v="2026-03-19T08:50:49"/>
        <d v="2026-03-19T08:50:42"/>
        <d v="2026-03-19T08:50:39"/>
        <d v="2026-03-19T08:50:37"/>
        <d v="2026-03-19T08:50:27"/>
        <d v="2026-03-19T08:50:24"/>
        <d v="2026-03-19T08:49:55"/>
        <d v="2026-03-19T08:49:29"/>
        <d v="2026-03-19T08:49:27"/>
        <d v="2026-03-19T08:49:25"/>
        <d v="2026-03-19T08:49:19"/>
        <d v="2026-03-19T08:48:04"/>
        <d v="2026-03-19T08:48:03"/>
        <d v="2026-03-19T08:47:47"/>
        <d v="2026-03-19T08:47:45"/>
        <d v="2026-03-19T08:47:44"/>
        <d v="2026-03-19T08:47:41"/>
        <d v="2026-03-19T08:47:36"/>
        <d v="2026-03-19T08:47:20"/>
        <d v="2026-03-19T08:46:43"/>
        <d v="2026-03-19T08:46:38"/>
        <d v="2026-03-19T08:46:34"/>
        <d v="2026-03-19T08:46:28"/>
        <d v="2026-03-19T08:46:12"/>
        <d v="2026-03-19T08:46:08"/>
        <d v="2026-03-19T08:46:00"/>
        <d v="2026-03-19T08:45:55"/>
        <d v="2026-03-19T08:45:48"/>
        <d v="2026-03-19T08:45:38"/>
        <d v="2026-03-19T08:45:29"/>
        <d v="2026-03-19T08:45:01"/>
        <d v="2026-03-19T08:44:33"/>
        <d v="2026-03-19T08:44:14"/>
        <d v="2026-03-19T08:44:12"/>
        <d v="2026-03-19T08:44:09"/>
        <d v="2026-03-19T08:43:56"/>
        <d v="2026-03-19T08:43:14"/>
        <d v="2026-03-19T08:43:08"/>
        <d v="2026-03-19T08:42:53"/>
        <d v="2026-03-19T08:42:49"/>
        <d v="2026-03-19T08:42:47"/>
        <d v="2026-03-19T08:42:45"/>
        <d v="2026-03-19T08:42:43"/>
        <d v="2026-03-19T08:42:35"/>
        <d v="2026-03-19T08:42:15"/>
        <d v="2026-03-19T08:42:10"/>
        <d v="2026-03-19T08:41:37"/>
        <d v="2026-03-19T08:41:34"/>
        <d v="2026-03-19T08:41:32"/>
        <d v="2026-03-19T08:41:30"/>
        <d v="2026-03-19T08:41:07"/>
        <d v="2026-03-19T08:41:01"/>
        <d v="2026-03-19T08:40:48"/>
        <d v="2026-03-19T08:40:33"/>
        <d v="2026-03-19T08:40:30"/>
        <d v="2026-03-19T08:40:17"/>
        <d v="2026-03-19T08:40:00"/>
        <d v="2026-03-19T08:39:50"/>
        <d v="2026-03-19T08:39:32"/>
        <d v="2026-03-19T08:39:27"/>
        <d v="2026-03-19T08:39:26"/>
        <d v="2026-03-19T08:39:22"/>
        <d v="2026-03-19T08:39:21"/>
        <d v="2026-03-19T08:39:12"/>
        <d v="2026-03-19T08:38:48"/>
        <d v="2026-03-19T08:38:30"/>
        <d v="2026-03-19T08:38:20"/>
        <d v="2026-03-19T08:38:17"/>
        <d v="2026-03-19T08:37:39"/>
        <d v="2026-03-19T08:37:06"/>
        <d v="2026-03-19T08:37:05"/>
        <d v="2026-03-19T08:36:37"/>
        <d v="2026-03-19T08:36:25"/>
        <d v="2026-03-19T08:36:06"/>
        <d v="2026-03-19T08:35:56"/>
        <d v="2026-03-19T08:35:07"/>
        <d v="2026-03-19T08:34:57"/>
        <d v="2026-03-19T08:34:28"/>
        <d v="2026-03-19T08:34:15"/>
        <d v="2026-03-19T08:32:32"/>
        <d v="2026-03-19T08:32:01"/>
        <d v="2026-03-19T08:31:55"/>
        <d v="2026-03-19T08:30:15"/>
        <d v="2026-03-19T08:30:13"/>
        <d v="2026-03-19T08:30:12"/>
        <d v="2026-03-19T08:29:57"/>
        <d v="2026-03-19T08:29:55"/>
        <d v="2026-03-19T08:29:53"/>
        <d v="2026-03-19T08:29:45"/>
        <d v="2026-03-19T08:29:34"/>
        <d v="2026-03-19T08:28:47"/>
        <d v="2026-03-19T08:28:03"/>
        <d v="2026-03-19T08:27:59"/>
        <d v="2026-03-19T08:27:53"/>
        <d v="2026-03-19T08:27:28"/>
        <d v="2026-03-19T08:27:08"/>
        <d v="2026-03-19T08:27:02"/>
        <d v="2026-03-19T08:27:00"/>
        <d v="2026-03-19T08:26:10"/>
        <d v="2026-03-19T08:23:21"/>
        <d v="2026-03-19T08:23:00"/>
        <d v="2026-03-19T08:22:17"/>
        <d v="2026-03-19T08:20:20"/>
        <d v="2026-03-19T08:19:03"/>
        <d v="2026-03-19T08:09:37"/>
        <d v="2026-03-19T08:08:31"/>
        <d v="2026-03-19T08:08:28"/>
        <d v="2026-03-19T08:08:25"/>
        <d v="2026-03-19T08:08:21"/>
        <d v="2026-03-19T08:04:04"/>
        <d v="2026-03-19T08:04:01"/>
        <d v="2026-03-19T08:03:53"/>
        <d v="2026-03-19T07:52:51"/>
        <d v="2026-03-19T07:48:17"/>
        <d v="2026-03-19T07:38:56"/>
        <d v="2026-03-19T07:38:45"/>
        <d v="2026-03-18T23:59:59"/>
        <d v="2026-03-18T20:05:31"/>
        <d v="2026-03-18T19:10:41"/>
        <d v="2026-03-18T19:07:03"/>
        <d v="2026-03-18T19:07:01"/>
        <d v="2026-03-18T19:06:39"/>
        <d v="2026-03-18T18:44:06"/>
        <d v="2026-03-18T18:36:02"/>
        <d v="2026-03-18T18:26:43"/>
        <d v="2026-03-18T18:24:21"/>
        <d v="2026-03-18T18:20:52"/>
        <d v="2026-03-18T18:19:04"/>
        <d v="2026-03-18T18:18:49"/>
        <d v="2026-03-18T18:17:49"/>
        <d v="2026-03-18T18:15:10"/>
        <d v="2026-03-18T18:14:27"/>
        <d v="2026-03-18T18:08:04"/>
        <d v="2026-03-18T18:07:53"/>
        <d v="2026-03-18T18:04:34"/>
        <d v="2026-03-18T18:01:19"/>
        <d v="2026-03-18T17:59:19"/>
        <d v="2026-03-18T17:51:44"/>
        <d v="2026-03-18T17:46:39"/>
        <d v="2026-03-18T17:45:29"/>
        <d v="2026-03-18T17:41:59"/>
        <d v="2026-03-18T17:38:45"/>
        <d v="2026-03-18T17:38:18"/>
        <d v="2026-03-18T17:36:17"/>
        <d v="2026-03-18T17:31:35"/>
        <d v="2026-03-18T17:29:21"/>
        <d v="2026-03-18T17:27:13"/>
        <d v="2026-03-18T17:25:59"/>
        <d v="2026-03-18T17:25:51"/>
        <d v="2026-03-18T17:24:07"/>
        <d v="2026-03-18T17:23:26"/>
        <d v="2026-03-18T17:21:21"/>
        <d v="2026-03-18T17:21:02"/>
        <d v="2026-03-18T17:19:21"/>
        <d v="2026-03-18T17:19:18"/>
        <d v="2026-03-18T17:18:49"/>
        <d v="2026-03-18T17:17:45"/>
        <d v="2026-03-18T17:15:52"/>
        <d v="2026-03-18T17:13:57"/>
        <d v="2026-03-18T17:12:40"/>
        <d v="2026-03-18T17:12:00"/>
        <d v="2026-03-18T17:10:46"/>
        <d v="2026-03-18T17:09:24"/>
        <d v="2026-03-18T17:08:33"/>
        <d v="2026-03-18T17:08:20"/>
        <d v="2026-03-18T17:07:46"/>
        <d v="2026-03-18T17:07:12"/>
        <d v="2026-03-18T17:06:44"/>
        <d v="2026-03-18T17:06:09"/>
        <d v="2026-03-18T17:06:08"/>
        <d v="2026-03-18T17:05:26"/>
        <d v="2026-03-18T17:05:23"/>
        <d v="2026-03-18T17:02:31"/>
        <d v="2026-03-18T17:02:06"/>
        <d v="2026-03-18T17:01:38"/>
        <d v="2026-03-18T16:59:43"/>
        <d v="2026-03-18T16:58:22"/>
        <d v="2026-03-18T16:56:58"/>
        <d v="2026-03-18T16:54:09"/>
        <d v="2026-03-18T16:54:08"/>
        <d v="2026-03-18T16:54:01"/>
        <d v="2026-03-18T16:51:38"/>
        <d v="2026-03-18T16:50:18"/>
        <d v="2026-03-18T16:50:10"/>
        <d v="2026-03-18T16:50:05"/>
        <d v="2026-03-18T16:48:39"/>
        <d v="2026-03-18T16:47:53"/>
        <d v="2026-03-18T16:44:50"/>
        <d v="2026-03-18T16:42:01"/>
        <d v="2026-03-18T16:39:35"/>
        <d v="2026-03-18T16:37:44"/>
        <d v="2026-03-18T16:37:21"/>
        <d v="2026-03-18T16:27:42"/>
        <d v="2026-03-18T16:26:50"/>
        <d v="2026-03-18T16:26:48"/>
        <d v="2026-03-18T16:20:52"/>
        <d v="2026-03-18T16:19:25"/>
        <d v="2026-03-18T16:15:08"/>
        <d v="2026-03-18T16:13:58"/>
        <d v="2026-03-18T16:12:24"/>
        <d v="2026-03-18T16:12:17"/>
        <d v="2026-03-18T16:12:04"/>
        <d v="2026-03-18T16:03:11"/>
        <d v="2026-03-18T16:00:42"/>
        <d v="2026-03-18T15:55:58"/>
        <d v="2026-03-18T15:55:35"/>
        <d v="2026-03-18T15:43:32"/>
        <d v="2026-03-18T15:43:06"/>
        <d v="2026-03-18T15:43:04"/>
        <d v="2026-03-18T15:29:24"/>
        <d v="2026-03-18T15:15:44"/>
        <d v="2026-03-18T15:11:40"/>
        <d v="2026-03-18T15:11:08"/>
        <d v="2026-03-18T15:06:04"/>
        <d v="2026-03-18T14:51:01"/>
        <d v="2026-03-18T14:49:21"/>
        <d v="2026-03-18T14:44:55"/>
        <d v="2026-03-18T14:44:21"/>
        <d v="2026-03-18T14:41:30"/>
        <d v="2026-03-18T14:37:17"/>
        <d v="2026-03-18T14:37:10"/>
        <d v="2026-03-18T14:30:27"/>
        <d v="2026-03-18T14:30:11"/>
        <d v="2026-03-18T14:28:44"/>
        <d v="2026-03-18T14:28:03"/>
        <d v="2026-03-18T14:23:47"/>
        <d v="2026-03-18T14:23:41"/>
        <d v="2026-03-18T14:23:22"/>
        <d v="2026-03-18T14:20:54"/>
        <d v="2026-03-18T14:10:20"/>
        <d v="2026-03-18T14:08:00"/>
        <d v="2026-03-18T14:04:13"/>
        <d v="2026-03-18T14:02:05"/>
        <d v="2026-03-18T13:52:06"/>
        <d v="2026-03-18T13:49:35"/>
        <d v="2026-03-18T13:46:36"/>
        <d v="2026-03-18T13:42:05"/>
        <d v="2026-03-18T13:42:01"/>
        <d v="2026-03-18T13:41:28"/>
        <d v="2026-03-18T13:40:12"/>
        <d v="2026-03-18T13:38:02"/>
        <d v="2026-03-18T13:32:48"/>
        <d v="2026-03-18T12:56:24"/>
        <d v="2026-03-18T11:54:20"/>
        <d v="2026-03-18T11:54:17"/>
        <d v="2026-03-18T11:54:08"/>
        <d v="2026-03-18T11:53:06"/>
        <d v="2026-03-18T11:24:38"/>
        <d v="2026-03-18T11:22:57"/>
        <d v="2026-03-18T11:20:02"/>
        <d v="2026-03-18T11:18:08"/>
        <d v="2026-03-18T11:17:22"/>
        <d v="2026-03-18T11:17:12"/>
        <d v="2026-03-18T11:05:53"/>
        <d v="2026-03-18T10:54:41"/>
        <d v="2026-03-18T10:54:31"/>
        <d v="2026-03-18T10:50:19"/>
        <d v="2026-03-18T10:48:52"/>
        <d v="2026-03-18T10:47:54"/>
        <d v="2026-03-18T10:46:53"/>
        <d v="2026-03-18T10:43:09"/>
        <d v="2026-03-18T10:39:08"/>
        <d v="2026-03-18T10:39:02"/>
        <d v="2026-03-18T10:38:53"/>
        <d v="2026-03-18T10:25:02"/>
        <d v="2026-03-18T10:22:24"/>
        <d v="2026-03-18T10:22:01"/>
        <d v="2026-03-18T10:21:59"/>
        <d v="2026-03-18T10:20:10"/>
        <d v="2026-03-18T10:19:50"/>
        <d v="2026-03-18T10:15:38"/>
        <d v="2026-03-18T10:15:30"/>
        <d v="2026-03-18T10:15:24"/>
        <d v="2026-03-18T10:14:20"/>
        <d v="2026-03-18T10:12:47"/>
        <d v="2026-03-18T10:12:38"/>
        <d v="2026-03-18T10:12:37"/>
        <d v="2026-03-18T10:12:35"/>
        <d v="2026-03-18T10:12:29"/>
        <d v="2026-03-18T10:12:26"/>
        <d v="2026-03-18T10:12:24"/>
        <d v="2026-03-18T10:12:22"/>
        <d v="2026-03-18T10:12:20"/>
        <d v="2026-03-18T10:12:19"/>
        <d v="2026-03-18T10:12:17"/>
        <d v="2026-03-18T10:12:14"/>
        <d v="2026-03-18T10:12:13"/>
        <d v="2026-03-18T10:12:11"/>
        <d v="2026-03-18T10:09:07"/>
        <d v="2026-03-18T10:08:27"/>
        <d v="2026-03-18T10:07:56"/>
        <d v="2026-03-18T10:07:30"/>
        <d v="2026-03-18T10:06:39"/>
        <d v="2026-03-18T10:06:26"/>
        <d v="2026-03-18T10:05:24"/>
        <d v="2026-03-18T10:04:04"/>
        <d v="2026-03-18T10:00:49"/>
        <d v="2026-03-18T10:00:48"/>
        <d v="2026-03-18T09:59:13"/>
        <d v="2026-03-18T09:58:55"/>
        <d v="2026-03-18T09:57:11"/>
        <d v="2026-03-18T09:57:07"/>
        <d v="2026-03-18T09:57:02"/>
        <d v="2026-03-18T09:56:59"/>
        <d v="2026-03-18T09:56:26"/>
        <d v="2026-03-18T09:53:38"/>
        <d v="2026-03-18T09:53:34"/>
        <d v="2026-03-18T09:52:55"/>
        <d v="2026-03-18T09:51:58"/>
        <d v="2026-03-18T09:51:32"/>
        <d v="2026-03-18T09:47:44"/>
        <d v="2026-03-18T09:47:33"/>
        <d v="2026-03-18T09:47:22"/>
        <d v="2026-03-18T09:46:45"/>
        <d v="2026-03-18T09:45:44"/>
        <d v="2026-03-18T09:44:40"/>
        <d v="2026-03-18T09:43:06"/>
        <d v="2026-03-18T09:42:50"/>
        <d v="2026-03-18T09:42:42"/>
        <d v="2026-03-18T09:40:36"/>
        <d v="2026-03-18T09:39:38"/>
        <d v="2026-03-18T09:37:46"/>
        <d v="2026-03-18T09:35:47"/>
        <d v="2026-03-18T09:35:44"/>
        <d v="2026-03-18T09:34:58"/>
        <d v="2026-03-18T09:34:21"/>
        <d v="2026-03-18T09:34:00"/>
        <d v="2026-03-18T09:32:40"/>
        <d v="2026-03-18T09:32:12"/>
        <d v="2026-03-18T09:30:29"/>
        <d v="2026-03-18T09:29:49"/>
        <d v="2026-03-18T09:27:19"/>
        <d v="2026-03-18T09:26:07"/>
        <d v="2026-03-18T09:25:46"/>
        <d v="2026-03-18T09:25:30"/>
        <d v="2026-03-18T09:25:27"/>
        <d v="2026-03-18T09:21:11"/>
        <d v="2026-03-18T09:20:50"/>
        <d v="2026-03-18T09:20:30"/>
        <d v="2026-03-18T09:18:58"/>
        <d v="2026-03-18T09:17:42"/>
        <d v="2026-03-18T09:17:11"/>
        <d v="2026-03-18T09:17:01"/>
        <d v="2026-03-18T09:15:36"/>
        <d v="2026-03-18T09:15:26"/>
        <d v="2026-03-18T09:14:58"/>
        <d v="2026-03-18T09:14:49"/>
        <d v="2026-03-18T09:13:56"/>
        <d v="2026-03-18T09:13:27"/>
        <d v="2026-03-18T09:12:47"/>
        <d v="2026-03-18T09:12:38"/>
        <d v="2026-03-18T09:12:01"/>
        <d v="2026-03-18T09:11:02"/>
        <d v="2026-03-18T09:10:20"/>
        <d v="2026-03-18T09:10:08"/>
        <d v="2026-03-18T09:09:48"/>
        <d v="2026-03-18T09:08:26"/>
        <d v="2026-03-18T09:08:14"/>
        <d v="2026-03-18T09:08:07"/>
        <d v="2026-03-18T09:08:05"/>
        <d v="2026-03-18T09:08:03"/>
        <d v="2026-03-18T09:08:02"/>
        <d v="2026-03-18T09:07:10"/>
        <d v="2026-03-18T09:06:46"/>
        <d v="2026-03-18T09:06:26"/>
        <d v="2026-03-18T09:06:23"/>
        <d v="2026-03-18T09:06:01"/>
        <d v="2026-03-18T09:06:00"/>
        <d v="2026-03-18T09:05:25"/>
        <d v="2026-03-18T09:05:22"/>
        <d v="2026-03-18T09:05:21"/>
        <d v="2026-03-18T09:05:17"/>
        <d v="2026-03-18T09:04:46"/>
        <d v="2026-03-18T09:04:42"/>
        <d v="2026-03-18T09:03:57"/>
        <d v="2026-03-18T09:03:56"/>
        <d v="2026-03-18T09:02:52"/>
        <d v="2026-03-18T09:02:37"/>
        <d v="2026-03-18T09:01:51"/>
        <d v="2026-03-18T09:01:47"/>
        <d v="2026-03-18T09:01:40"/>
        <d v="2026-03-18T09:01:25"/>
        <d v="2026-03-18T09:01:13"/>
        <d v="2026-03-18T09:00:51"/>
        <d v="2026-03-18T09:00:31"/>
        <d v="2026-03-18T09:00:16"/>
        <d v="2026-03-18T09:00:01"/>
        <d v="2026-03-18T08:59:36"/>
        <d v="2026-03-18T08:59:32"/>
        <d v="2026-03-18T08:59:31"/>
        <d v="2026-03-18T08:59:27"/>
        <d v="2026-03-18T08:59:01"/>
        <d v="2026-03-18T08:59:00"/>
        <d v="2026-03-18T08:58:59"/>
        <d v="2026-03-18T08:58:56"/>
        <d v="2026-03-18T08:58:50"/>
        <d v="2026-03-18T08:58:45"/>
        <d v="2026-03-18T08:57:59"/>
        <d v="2026-03-18T08:57:47"/>
        <d v="2026-03-18T08:57:45"/>
        <d v="2026-03-18T08:57:44"/>
        <d v="2026-03-18T08:57:43"/>
        <d v="2026-03-18T08:57:41"/>
        <d v="2026-03-18T08:57:33"/>
        <d v="2026-03-18T08:57:28"/>
        <d v="2026-03-18T08:57:19"/>
        <d v="2026-03-18T08:57:03"/>
        <d v="2026-03-18T08:56:59"/>
        <d v="2026-03-18T08:56:57"/>
        <d v="2026-03-18T08:56:55"/>
        <d v="2026-03-18T08:56:49"/>
        <d v="2026-03-18T08:56:46"/>
        <d v="2026-03-18T08:56:45"/>
        <d v="2026-03-18T08:56:37"/>
        <d v="2026-03-18T08:56:32"/>
        <d v="2026-03-18T08:56:30"/>
        <d v="2026-03-18T08:55:47"/>
        <d v="2026-03-18T08:55:44"/>
        <d v="2026-03-18T08:55:42"/>
        <d v="2026-03-18T08:55:01"/>
        <d v="2026-03-18T08:54:58"/>
        <d v="2026-03-18T08:54:57"/>
        <d v="2026-03-18T08:54:54"/>
        <d v="2026-03-18T08:54:53"/>
        <d v="2026-03-18T08:54:52"/>
        <d v="2026-03-18T08:54:24"/>
        <d v="2026-03-18T08:54:23"/>
        <d v="2026-03-18T08:54:21"/>
        <d v="2026-03-18T08:54:17"/>
        <d v="2026-03-18T08:54:16"/>
        <d v="2026-03-18T08:54:14"/>
        <d v="2026-03-18T08:54:10"/>
        <d v="2026-03-18T08:54:07"/>
        <d v="2026-03-18T08:53:49"/>
        <d v="2026-03-18T08:53:06"/>
        <d v="2026-03-18T08:52:56"/>
        <d v="2026-03-18T08:52:44"/>
        <d v="2026-03-18T08:52:42"/>
        <d v="2026-03-18T08:52:11"/>
        <d v="2026-03-18T08:51:42"/>
        <d v="2026-03-18T08:51:33"/>
        <d v="2026-03-18T08:51:31"/>
        <d v="2026-03-18T08:51:25"/>
        <d v="2026-03-18T08:51:22"/>
        <d v="2026-03-18T08:51:18"/>
        <d v="2026-03-18T08:51:00"/>
        <d v="2026-03-18T08:50:54"/>
        <d v="2026-03-18T08:50:53"/>
        <d v="2026-03-18T08:50:52"/>
        <d v="2026-03-18T08:50:40"/>
        <d v="2026-03-18T08:50:02"/>
        <d v="2026-03-18T08:49:55"/>
        <d v="2026-03-18T08:49:38"/>
        <d v="2026-03-18T08:49:25"/>
        <d v="2026-03-18T08:49:23"/>
        <d v="2026-03-18T08:49:06"/>
        <d v="2026-03-18T08:49:02"/>
        <d v="2026-03-18T08:48:49"/>
        <d v="2026-03-18T08:48:40"/>
        <d v="2026-03-18T08:48:34"/>
        <d v="2026-03-18T08:47:56"/>
        <d v="2026-03-18T08:47:44"/>
        <d v="2026-03-18T08:46:58"/>
        <d v="2026-03-18T08:46:49"/>
        <d v="2026-03-18T08:46:48"/>
        <d v="2026-03-18T08:46:43"/>
        <d v="2026-03-18T08:46:27"/>
        <d v="2026-03-18T08:45:10"/>
        <d v="2026-03-18T08:44:58"/>
        <d v="2026-03-18T08:44:56"/>
        <d v="2026-03-18T08:44:54"/>
        <d v="2026-03-18T08:44:49"/>
        <d v="2026-03-18T08:44:48"/>
        <d v="2026-03-18T08:44:45"/>
        <d v="2026-03-18T08:44:29"/>
        <d v="2026-03-18T08:44:17"/>
        <d v="2026-03-18T08:44:16"/>
        <d v="2026-03-18T08:44:12"/>
        <d v="2026-03-18T08:44:02"/>
        <d v="2026-03-18T08:43:50"/>
        <d v="2026-03-18T08:43:47"/>
        <d v="2026-03-18T08:43:42"/>
        <d v="2026-03-18T08:43:36"/>
        <d v="2026-03-18T08:43:35"/>
        <d v="2026-03-18T08:42:36"/>
        <d v="2026-03-18T08:42:31"/>
        <d v="2026-03-18T08:42:01"/>
        <d v="2026-03-18T08:41:35"/>
        <d v="2026-03-18T08:41:30"/>
        <d v="2026-03-18T08:40:50"/>
        <d v="2026-03-18T08:40:43"/>
        <d v="2026-03-18T08:40:38"/>
        <d v="2026-03-18T08:40:07"/>
        <d v="2026-03-18T08:40:00"/>
        <d v="2026-03-18T08:39:51"/>
        <d v="2026-03-18T08:39:44"/>
        <d v="2026-03-18T08:39:41"/>
        <d v="2026-03-18T08:38:39"/>
        <d v="2026-03-18T08:38:24"/>
        <d v="2026-03-18T08:37:06"/>
        <d v="2026-03-18T08:36:42"/>
        <d v="2026-03-18T08:36:18"/>
        <d v="2026-03-18T08:36:17"/>
        <d v="2026-03-18T08:35:21"/>
        <d v="2026-03-18T08:35:10"/>
        <d v="2026-03-18T08:34:50"/>
        <d v="2026-03-18T08:34:01"/>
        <d v="2026-03-18T08:33:59"/>
        <d v="2026-03-18T08:33:50"/>
        <d v="2026-03-18T08:33:31"/>
        <d v="2026-03-18T08:33:16"/>
        <d v="2026-03-18T08:33:00"/>
        <d v="2026-03-18T08:32:38"/>
        <d v="2026-03-18T08:31:59"/>
        <d v="2026-03-18T08:31:57"/>
        <d v="2026-03-18T08:31:54"/>
        <d v="2026-03-18T08:31:32"/>
        <d v="2026-03-18T08:30:55"/>
        <d v="2026-03-18T08:30:19"/>
        <d v="2026-03-18T08:30:18"/>
        <d v="2026-03-18T08:30:13"/>
        <d v="2026-03-18T08:28:54"/>
        <d v="2026-03-18T08:28:52"/>
        <d v="2026-03-18T08:28:49"/>
        <d v="2026-03-18T08:27:13"/>
        <d v="2026-03-18T08:26:06"/>
        <d v="2026-03-18T08:26:02"/>
        <d v="2026-03-18T08:25:59"/>
        <d v="2026-03-18T08:25:44"/>
        <d v="2026-03-18T08:21:43"/>
        <d v="2026-03-18T08:20:36"/>
        <d v="2026-03-18T08:04:53"/>
        <d v="2026-03-18T07:49:41"/>
        <d v="2026-03-18T06:58:29"/>
        <d v="2026-03-18T06:58:26"/>
        <d v="2026-03-17T23:59:59"/>
        <d v="2026-03-17T23:15:26"/>
        <d v="2026-03-17T23:10:07"/>
        <d v="2026-03-17T20:55:04"/>
        <d v="2026-03-17T19:31:59"/>
        <d v="2026-03-17T19:28:44"/>
        <d v="2026-03-17T19:07:03"/>
        <d v="2026-03-17T19:07:01"/>
        <d v="2026-03-17T18:55:36"/>
        <d v="2026-03-17T18:47:21"/>
        <d v="2026-03-17T18:27:29"/>
        <d v="2026-03-17T18:27:23"/>
        <d v="2026-03-17T18:26:43"/>
        <d v="2026-03-17T18:24:21"/>
        <d v="2026-03-17T18:20:52"/>
        <d v="2026-03-17T18:18:52"/>
        <d v="2026-03-17T18:10:50"/>
        <d v="2026-03-17T18:01:19"/>
        <d v="2026-03-17T17:59:19"/>
        <d v="2026-03-17T17:53:27"/>
        <d v="2026-03-17T17:52:28"/>
        <d v="2026-03-17T17:49:33"/>
        <d v="2026-03-17T17:45:29"/>
        <d v="2026-03-17T17:43:15"/>
        <d v="2026-03-17T17:41:59"/>
        <d v="2026-03-17T17:38:18"/>
        <d v="2026-03-17T17:36:17"/>
        <d v="2026-03-17T17:34:39"/>
        <d v="2026-03-17T17:31:55"/>
        <d v="2026-03-17T17:31:05"/>
        <d v="2026-03-17T17:24:03"/>
        <d v="2026-03-17T17:23:06"/>
        <d v="2026-03-17T17:22:48"/>
        <d v="2026-03-17T17:22:31"/>
        <d v="2026-03-17T17:22:19"/>
        <d v="2026-03-17T17:22:11"/>
        <d v="2026-03-17T17:21:02"/>
        <d v="2026-03-17T17:20:20"/>
        <d v="2026-03-17T17:19:18"/>
        <d v="2026-03-17T17:17:45"/>
        <d v="2026-03-17T17:11:36"/>
        <d v="2026-03-17T17:09:47"/>
        <d v="2026-03-17T17:09:22"/>
        <d v="2026-03-17T17:08:44"/>
        <d v="2026-03-17T17:05:23"/>
        <d v="2026-03-17T17:02:08"/>
        <d v="2026-03-17T17:01:45"/>
        <d v="2026-03-17T17:00:14"/>
        <d v="2026-03-17T17:00:04"/>
        <d v="2026-03-17T16:58:37"/>
        <d v="2026-03-17T16:58:25"/>
        <d v="2026-03-17T16:57:46"/>
        <d v="2026-03-17T16:56:56"/>
        <d v="2026-03-17T16:55:47"/>
        <d v="2026-03-17T16:50:28"/>
        <d v="2026-03-17T16:47:55"/>
        <d v="2026-03-17T16:46:15"/>
        <d v="2026-03-17T16:45:40"/>
        <d v="2026-03-17T16:44:39"/>
        <d v="2026-03-17T16:43:07"/>
        <d v="2026-03-17T16:43:05"/>
        <d v="2026-03-17T16:42:20"/>
        <d v="2026-03-17T16:42:01"/>
        <d v="2026-03-17T16:39:35"/>
        <d v="2026-03-17T16:37:44"/>
        <d v="2026-03-17T16:33:05"/>
        <d v="2026-03-17T16:32:51"/>
        <d v="2026-03-17T16:32:02"/>
        <d v="2026-03-17T16:30:32"/>
        <d v="2026-03-17T16:26:50"/>
        <d v="2026-03-17T16:25:00"/>
        <d v="2026-03-17T16:24:28"/>
        <d v="2026-03-17T16:19:25"/>
        <d v="2026-03-17T16:15:39"/>
        <d v="2026-03-17T16:15:02"/>
        <d v="2026-03-17T16:12:28"/>
        <d v="2026-03-17T16:12:17"/>
        <d v="2026-03-17T16:05:27"/>
        <d v="2026-03-17T16:00:42"/>
        <d v="2026-03-17T16:00:22"/>
        <d v="2026-03-17T15:59:27"/>
        <d v="2026-03-17T15:57:36"/>
        <d v="2026-03-17T15:56:23"/>
        <d v="2026-03-17T15:55:35"/>
        <d v="2026-03-17T15:50:43"/>
        <d v="2026-03-17T15:50:36"/>
        <d v="2026-03-17T15:43:34"/>
        <d v="2026-03-17T15:43:06"/>
        <d v="2026-03-17T15:42:34"/>
        <d v="2026-03-17T15:35:13"/>
        <d v="2026-03-17T15:22:45"/>
        <d v="2026-03-17T15:20:58"/>
        <d v="2026-03-17T15:10:29"/>
        <d v="2026-03-17T15:06:41"/>
        <d v="2026-03-17T15:05:42"/>
        <d v="2026-03-17T15:04:00"/>
        <d v="2026-03-17T14:45:11"/>
        <d v="2026-03-17T14:44:52"/>
        <d v="2026-03-17T14:43:20"/>
        <d v="2026-03-17T14:39:57"/>
        <d v="2026-03-17T14:38:46"/>
        <d v="2026-03-17T14:29:32"/>
        <d v="2026-03-17T14:27:41"/>
        <d v="2026-03-17T14:26:47"/>
        <d v="2026-03-17T14:26:05"/>
        <d v="2026-03-17T14:24:59"/>
        <d v="2026-03-17T14:19:44"/>
        <d v="2026-03-17T14:14:51"/>
        <d v="2026-03-17T14:13:27"/>
        <d v="2026-03-17T14:09:00"/>
        <d v="2026-03-17T14:08:00"/>
        <d v="2026-03-17T14:03:34"/>
        <d v="2026-03-17T14:03:01"/>
        <d v="2026-03-17T14:00:24"/>
        <d v="2026-03-17T13:56:43"/>
        <d v="2026-03-17T13:53:09"/>
        <d v="2026-03-17T13:45:16"/>
        <d v="2026-03-17T13:37:45"/>
        <d v="2026-03-17T13:33:30"/>
        <d v="2026-03-17T13:09:31"/>
        <d v="2026-03-17T13:01:55"/>
        <d v="2026-03-17T12:56:24"/>
        <d v="2026-03-17T12:13:38"/>
        <d v="2026-03-17T11:50:15"/>
        <d v="2026-03-17T11:26:11"/>
        <d v="2026-03-17T11:25:13"/>
        <d v="2026-03-17T11:16:47"/>
        <d v="2026-03-17T11:14:59"/>
        <d v="2026-03-17T11:08:31"/>
        <d v="2026-03-17T11:08:14"/>
        <d v="2026-03-17T11:00:32"/>
        <d v="2026-03-17T10:54:09"/>
        <d v="2026-03-17T10:48:11"/>
        <d v="2026-03-17T10:41:46"/>
        <d v="2026-03-17T10:36:24"/>
        <d v="2026-03-17T10:36:16"/>
        <d v="2026-03-17T10:34:32"/>
        <d v="2026-03-17T10:34:06"/>
        <d v="2026-03-17T10:33:56"/>
        <d v="2026-03-17T10:31:53"/>
        <d v="2026-03-17T10:31:42"/>
        <d v="2026-03-17T10:29:17"/>
        <d v="2026-03-17T10:28:19"/>
        <d v="2026-03-17T10:27:03"/>
        <d v="2026-03-17T10:27:00"/>
        <d v="2026-03-17T10:26:57"/>
        <d v="2026-03-17T10:26:53"/>
        <d v="2026-03-17T10:25:55"/>
        <d v="2026-03-17T10:22:27"/>
        <d v="2026-03-17T10:22:24"/>
        <d v="2026-03-17T10:22:15"/>
        <d v="2026-03-17T10:21:44"/>
        <d v="2026-03-17T10:20:28"/>
        <d v="2026-03-17T10:17:43"/>
        <d v="2026-03-17T10:16:58"/>
        <d v="2026-03-17T10:16:19"/>
        <d v="2026-03-17T10:16:17"/>
        <d v="2026-03-17T10:13:43"/>
        <d v="2026-03-17T10:11:49"/>
        <d v="2026-03-17T10:11:38"/>
        <d v="2026-03-17T10:10:17"/>
        <d v="2026-03-17T10:07:19"/>
        <d v="2026-03-17T10:06:01"/>
        <d v="2026-03-17T10:05:45"/>
        <d v="2026-03-17T10:05:24"/>
        <d v="2026-03-17T10:04:27"/>
        <d v="2026-03-17T10:04:21"/>
        <d v="2026-03-17T10:00:49"/>
        <d v="2026-03-17T09:55:49"/>
        <d v="2026-03-17T09:55:02"/>
        <d v="2026-03-17T09:53:46"/>
        <d v="2026-03-17T09:53:43"/>
        <d v="2026-03-17T09:52:27"/>
        <d v="2026-03-17T09:48:55"/>
        <d v="2026-03-17T09:48:27"/>
        <d v="2026-03-17T09:47:44"/>
        <d v="2026-03-17T09:47:33"/>
        <d v="2026-03-17T09:46:38"/>
        <d v="2026-03-17T09:46:32"/>
        <d v="2026-03-17T09:46:22"/>
        <d v="2026-03-17T09:46:10"/>
        <d v="2026-03-17T09:44:40"/>
        <d v="2026-03-17T09:43:58"/>
        <d v="2026-03-17T09:43:49"/>
        <d v="2026-03-17T09:43:25"/>
        <d v="2026-03-17T09:42:55"/>
        <d v="2026-03-17T09:42:50"/>
        <d v="2026-03-17T09:42:23"/>
        <d v="2026-03-17T09:40:58"/>
        <d v="2026-03-17T09:40:36"/>
        <d v="2026-03-17T09:40:32"/>
        <d v="2026-03-17T09:39:52"/>
        <d v="2026-03-17T09:39:38"/>
        <d v="2026-03-17T09:39:02"/>
        <d v="2026-03-17T09:38:48"/>
        <d v="2026-03-17T09:38:47"/>
        <d v="2026-03-17T09:38:13"/>
        <d v="2026-03-17T09:37:26"/>
        <d v="2026-03-17T09:36:59"/>
        <d v="2026-03-17T09:35:59"/>
        <d v="2026-03-17T09:35:55"/>
        <d v="2026-03-17T09:35:49"/>
        <d v="2026-03-17T09:35:47"/>
        <d v="2026-03-17T09:35:42"/>
        <d v="2026-03-17T09:35:31"/>
        <d v="2026-03-17T09:35:27"/>
        <d v="2026-03-17T09:34:39"/>
        <d v="2026-03-17T09:33:51"/>
        <d v="2026-03-17T09:33:01"/>
        <d v="2026-03-17T09:32:49"/>
        <d v="2026-03-17T09:32:27"/>
        <d v="2026-03-17T09:32:23"/>
        <d v="2026-03-17T09:32:12"/>
        <d v="2026-03-17T09:31:56"/>
        <d v="2026-03-17T09:31:40"/>
        <d v="2026-03-17T09:31:33"/>
        <d v="2026-03-17T09:31:05"/>
        <d v="2026-03-17T09:29:34"/>
        <d v="2026-03-17T09:28:38"/>
        <d v="2026-03-17T09:25:59"/>
        <d v="2026-03-17T09:25:33"/>
        <d v="2026-03-17T09:25:31"/>
        <d v="2026-03-17T09:24:43"/>
        <d v="2026-03-17T09:23:48"/>
        <d v="2026-03-17T09:22:59"/>
        <d v="2026-03-17T09:21:48"/>
        <d v="2026-03-17T09:20:50"/>
        <d v="2026-03-17T09:20:07"/>
        <d v="2026-03-17T09:17:40"/>
        <d v="2026-03-17T09:17:27"/>
        <d v="2026-03-17T09:17:18"/>
        <d v="2026-03-17T09:17:14"/>
        <d v="2026-03-17T09:14:39"/>
        <d v="2026-03-17T09:13:25"/>
        <d v="2026-03-17T09:13:04"/>
        <d v="2026-03-17T09:12:11"/>
        <d v="2026-03-17T09:11:14"/>
        <d v="2026-03-17T09:11:10"/>
        <d v="2026-03-17T09:11:03"/>
        <d v="2026-03-17T09:11:02"/>
        <d v="2026-03-17T09:10:46"/>
        <d v="2026-03-17T09:10:24"/>
        <d v="2026-03-17T09:10:18"/>
        <d v="2026-03-17T09:09:01"/>
        <d v="2026-03-17T09:08:23"/>
        <d v="2026-03-17T09:07:46"/>
        <d v="2026-03-17T09:07:40"/>
        <d v="2026-03-17T09:07:37"/>
        <d v="2026-03-17T09:07:28"/>
        <d v="2026-03-17T09:07:24"/>
        <d v="2026-03-17T09:07:19"/>
        <d v="2026-03-17T09:07:07"/>
        <d v="2026-03-17T09:07:05"/>
        <d v="2026-03-17T09:06:33"/>
        <d v="2026-03-17T09:06:27"/>
        <d v="2026-03-17T09:06:26"/>
        <d v="2026-03-17T09:06:17"/>
        <d v="2026-03-17T09:06:14"/>
        <d v="2026-03-17T09:05:54"/>
        <d v="2026-03-17T09:04:28"/>
        <d v="2026-03-17T09:03:32"/>
        <d v="2026-03-17T09:02:22"/>
        <d v="2026-03-17T09:02:15"/>
        <d v="2026-03-17T09:01:56"/>
        <d v="2026-03-17T09:01:34"/>
        <d v="2026-03-17T09:01:25"/>
        <d v="2026-03-17T09:01:22"/>
        <d v="2026-03-17T09:00:43"/>
        <d v="2026-03-17T09:00:38"/>
        <d v="2026-03-17T09:00:16"/>
        <d v="2026-03-17T09:00:02"/>
        <d v="2026-03-17T09:00:01"/>
        <d v="2026-03-17T08:59:59"/>
        <d v="2026-03-17T08:59:56"/>
        <d v="2026-03-17T08:59:51"/>
        <d v="2026-03-17T08:59:46"/>
        <d v="2026-03-17T08:58:43"/>
        <d v="2026-03-17T08:58:37"/>
        <d v="2026-03-17T08:58:34"/>
        <d v="2026-03-17T08:58:31"/>
        <d v="2026-03-17T08:58:29"/>
        <d v="2026-03-17T08:58:27"/>
        <d v="2026-03-17T08:58:25"/>
        <d v="2026-03-17T08:58:22"/>
        <d v="2026-03-17T08:58:18"/>
        <d v="2026-03-17T08:57:59"/>
        <d v="2026-03-17T08:57:44"/>
        <d v="2026-03-17T08:57:31"/>
        <d v="2026-03-17T08:56:46"/>
        <d v="2026-03-17T08:56:45"/>
        <d v="2026-03-17T08:56:06"/>
        <d v="2026-03-17T08:55:53"/>
        <d v="2026-03-17T08:55:43"/>
        <d v="2026-03-17T08:55:26"/>
        <d v="2026-03-17T08:54:51"/>
        <d v="2026-03-17T08:54:37"/>
        <d v="2026-03-17T08:53:07"/>
        <d v="2026-03-17T08:52:39"/>
        <d v="2026-03-17T08:52:19"/>
        <d v="2026-03-17T08:52:08"/>
        <d v="2026-03-17T08:52:03"/>
        <d v="2026-03-17T08:52:00"/>
        <d v="2026-03-17T08:51:56"/>
        <d v="2026-03-17T08:51:36"/>
        <d v="2026-03-17T08:51:34"/>
        <d v="2026-03-17T08:51:31"/>
        <d v="2026-03-17T08:51:22"/>
        <d v="2026-03-17T08:51:10"/>
        <d v="2026-03-17T08:51:07"/>
        <d v="2026-03-17T08:51:03"/>
        <d v="2026-03-17T08:50:53"/>
        <d v="2026-03-17T08:50:03"/>
        <d v="2026-03-17T08:49:55"/>
        <d v="2026-03-17T08:49:47"/>
        <d v="2026-03-17T08:49:43"/>
        <d v="2026-03-17T08:49:33"/>
        <d v="2026-03-17T08:49:00"/>
        <d v="2026-03-17T08:48:43"/>
        <d v="2026-03-17T08:48:37"/>
        <d v="2026-03-17T08:48:02"/>
        <d v="2026-03-17T08:47:45"/>
        <d v="2026-03-17T08:47:43"/>
        <d v="2026-03-17T08:47:41"/>
        <d v="2026-03-17T08:47:37"/>
        <d v="2026-03-17T08:47:32"/>
        <d v="2026-03-17T08:47:31"/>
        <d v="2026-03-17T08:47:30"/>
        <d v="2026-03-17T08:47:22"/>
        <d v="2026-03-17T08:47:20"/>
        <d v="2026-03-17T08:47:18"/>
        <d v="2026-03-17T08:47:17"/>
        <d v="2026-03-17T08:47:16"/>
        <d v="2026-03-17T08:47:15"/>
        <d v="2026-03-17T08:47:09"/>
        <d v="2026-03-17T08:47:06"/>
        <d v="2026-03-17T08:47:04"/>
        <d v="2026-03-17T08:47:02"/>
        <d v="2026-03-17T08:47:01"/>
        <d v="2026-03-17T08:47:00"/>
        <d v="2026-03-17T08:46:43"/>
        <d v="2026-03-17T08:46:31"/>
        <d v="2026-03-17T08:46:29"/>
        <d v="2026-03-17T08:46:24"/>
        <d v="2026-03-17T08:46:18"/>
        <d v="2026-03-17T08:46:16"/>
        <d v="2026-03-17T08:46:05"/>
        <d v="2026-03-17T08:45:35"/>
        <d v="2026-03-17T08:45:34"/>
        <d v="2026-03-17T08:45:31"/>
        <d v="2026-03-17T08:45:29"/>
        <d v="2026-03-17T08:45:20"/>
        <d v="2026-03-17T08:45:14"/>
        <d v="2026-03-17T08:45:12"/>
        <d v="2026-03-17T08:45:10"/>
        <d v="2026-03-17T08:44:59"/>
        <d v="2026-03-17T08:44:56"/>
        <d v="2026-03-17T08:44:51"/>
        <d v="2026-03-17T08:44:49"/>
        <d v="2026-03-17T08:44:47"/>
        <d v="2026-03-17T08:44:45"/>
        <d v="2026-03-17T08:44:32"/>
        <d v="2026-03-17T08:44:30"/>
        <d v="2026-03-17T08:44:27"/>
        <d v="2026-03-17T08:44:12"/>
        <d v="2026-03-17T08:43:56"/>
        <d v="2026-03-17T08:43:49"/>
        <d v="2026-03-17T08:43:46"/>
        <d v="2026-03-17T08:43:33"/>
        <d v="2026-03-17T08:42:50"/>
        <d v="2026-03-17T08:42:47"/>
        <d v="2026-03-17T08:42:41"/>
        <d v="2026-03-17T08:42:21"/>
        <d v="2026-03-17T08:41:45"/>
        <d v="2026-03-17T08:40:38"/>
        <d v="2026-03-17T08:40:08"/>
        <d v="2026-03-17T08:40:02"/>
        <d v="2026-03-17T08:39:41"/>
        <d v="2026-03-17T08:39:18"/>
        <d v="2026-03-17T08:38:59"/>
        <d v="2026-03-17T08:38:39"/>
        <d v="2026-03-17T08:38:38"/>
        <d v="2026-03-17T08:38:14"/>
        <d v="2026-03-17T08:37:54"/>
        <d v="2026-03-17T08:37:36"/>
        <d v="2026-03-17T08:37:33"/>
        <d v="2026-03-17T08:37:06"/>
        <d v="2026-03-17T08:34:56"/>
        <d v="2026-03-17T08:33:51"/>
        <d v="2026-03-17T08:33:47"/>
        <d v="2026-03-17T08:32:19"/>
        <d v="2026-03-17T08:31:41"/>
        <d v="2026-03-17T08:31:29"/>
        <d v="2026-03-17T08:31:16"/>
        <d v="2026-03-17T08:31:14"/>
        <d v="2026-03-17T08:30:26"/>
        <d v="2026-03-17T08:30:22"/>
        <d v="2026-03-17T08:30:18"/>
        <d v="2026-03-17T08:30:01"/>
        <d v="2026-03-17T08:29:54"/>
        <d v="2026-03-17T08:29:53"/>
        <d v="2026-03-17T08:29:49"/>
        <d v="2026-03-17T08:29:10"/>
        <d v="2026-03-17T08:28:55"/>
        <d v="2026-03-17T08:28:54"/>
        <d v="2026-03-17T08:28:52"/>
        <d v="2026-03-17T08:27:31"/>
        <d v="2026-03-17T08:27:10"/>
        <d v="2026-03-17T08:25:21"/>
        <d v="2026-03-17T08:25:19"/>
        <d v="2026-03-17T08:25:16"/>
        <d v="2026-03-17T08:25:02"/>
        <d v="2026-03-17T08:24:54"/>
        <d v="2026-03-17T08:24:12"/>
        <d v="2026-03-17T08:23:49"/>
        <d v="2026-03-17T08:20:52"/>
        <d v="2026-03-17T08:19:44"/>
        <d v="2026-03-17T07:07:22"/>
        <d v="2026-03-17T07:07:01"/>
        <d v="2026-03-16T23:59:59"/>
        <d v="2026-03-16T20:47:23"/>
        <d v="2026-03-16T20:27:15"/>
        <d v="2026-03-16T18:47:21"/>
        <d v="2026-03-16T18:26:43"/>
        <d v="2026-03-16T18:24:21"/>
        <d v="2026-03-16T18:18:38"/>
        <d v="2026-03-16T18:17:54"/>
        <d v="2026-03-16T18:01:19"/>
        <d v="2026-03-16T17:59:19"/>
        <d v="2026-03-16T17:49:33"/>
        <d v="2026-03-16T17:45:29"/>
        <d v="2026-03-16T17:41:59"/>
        <d v="2026-03-16T17:38:45"/>
        <d v="2026-03-16T17:38:18"/>
        <d v="2026-03-16T17:36:17"/>
        <d v="2026-03-16T17:32:00"/>
        <d v="2026-03-16T17:23:06"/>
        <d v="2026-03-16T17:19:18"/>
        <d v="2026-03-16T17:17:45"/>
        <d v="2026-03-16T17:14:09"/>
        <d v="2026-03-16T17:11:18"/>
        <d v="2026-03-16T17:07:50"/>
        <d v="2026-03-16T17:05:23"/>
        <d v="2026-03-16T17:05:12"/>
        <d v="2026-03-16T17:04:58"/>
        <d v="2026-03-16T17:04:44"/>
        <d v="2026-03-16T17:02:08"/>
        <d v="2026-03-16T17:00:14"/>
        <d v="2026-03-16T16:52:44"/>
        <d v="2026-03-16T16:52:27"/>
        <d v="2026-03-16T16:39:35"/>
        <d v="2026-03-16T16:38:26"/>
        <d v="2026-03-16T16:37:44"/>
        <d v="2026-03-16T16:37:21"/>
        <d v="2026-03-16T16:34:09"/>
        <d v="2026-03-16T16:33:50"/>
        <d v="2026-03-16T16:33:28"/>
        <d v="2026-03-16T16:33:12"/>
        <d v="2026-03-16T16:32:25"/>
        <d v="2026-03-16T16:31:09"/>
        <d v="2026-03-16T16:27:08"/>
        <d v="2026-03-16T16:26:50"/>
        <d v="2026-03-16T16:25:00"/>
        <d v="2026-03-16T16:24:37"/>
        <d v="2026-03-16T16:19:25"/>
        <d v="2026-03-16T16:15:46"/>
        <d v="2026-03-16T16:12:17"/>
        <d v="2026-03-16T16:11:43"/>
        <d v="2026-03-16T16:02:19"/>
        <d v="2026-03-16T16:00:42"/>
        <d v="2026-03-16T15:55:35"/>
        <d v="2026-03-16T15:53:40"/>
        <d v="2026-03-16T15:52:55"/>
        <d v="2026-03-16T15:50:17"/>
        <d v="2026-03-16T15:46:28"/>
        <d v="2026-03-16T15:43:06"/>
        <d v="2026-03-16T15:41:57"/>
        <d v="2026-03-16T15:38:27"/>
        <d v="2026-03-16T15:34:05"/>
        <d v="2026-03-16T15:26:51"/>
        <d v="2026-03-16T15:22:06"/>
        <d v="2026-03-16T14:58:10"/>
        <d v="2026-03-16T14:52:01"/>
        <d v="2026-03-16T14:51:51"/>
        <d v="2026-03-16T14:47:27"/>
        <d v="2026-03-16T14:43:54"/>
        <d v="2026-03-16T14:40:38"/>
        <d v="2026-03-16T14:38:49"/>
        <d v="2026-03-16T14:38:04"/>
        <d v="2026-03-16T14:37:53"/>
        <d v="2026-03-16T14:37:42"/>
        <d v="2026-03-16T14:36:22"/>
        <d v="2026-03-16T14:27:58"/>
        <d v="2026-03-16T14:26:55"/>
        <d v="2026-03-16T14:26:07"/>
        <d v="2026-03-16T14:25:17"/>
        <d v="2026-03-16T14:18:25"/>
        <d v="2026-03-16T14:12:34"/>
        <d v="2026-03-16T14:08:00"/>
        <d v="2026-03-16T14:05:18"/>
        <d v="2026-03-16T14:03:50"/>
        <d v="2026-03-16T13:49:09"/>
        <d v="2026-03-16T13:49:00"/>
        <d v="2026-03-16T13:45:39"/>
        <d v="2026-03-16T13:45:32"/>
        <d v="2026-03-16T13:43:21"/>
        <d v="2026-03-16T13:37:48"/>
        <d v="2026-03-16T13:06:00"/>
        <d v="2026-03-16T12:56:24"/>
        <d v="2026-03-16T12:08:08"/>
        <d v="2026-03-16T11:50:15"/>
        <d v="2026-03-16T11:33:12"/>
        <d v="2026-03-16T11:17:01"/>
        <d v="2026-03-16T11:15:02"/>
        <d v="2026-03-16T11:13:30"/>
        <d v="2026-03-16T11:12:34"/>
        <d v="2026-03-16T11:11:57"/>
        <d v="2026-03-16T11:10:26"/>
        <d v="2026-03-16T11:10:03"/>
        <d v="2026-03-16T11:10:01"/>
        <d v="2026-03-16T11:09:58"/>
        <d v="2026-03-16T11:09:52"/>
        <d v="2026-03-16T11:06:09"/>
        <d v="2026-03-16T11:04:13"/>
        <d v="2026-03-16T11:03:40"/>
        <d v="2026-03-16T11:02:34"/>
        <d v="2026-03-16T11:00:47"/>
        <d v="2026-03-16T10:58:52"/>
        <d v="2026-03-16T10:58:43"/>
        <d v="2026-03-16T10:53:43"/>
        <d v="2026-03-16T10:51:47"/>
        <d v="2026-03-16T10:49:55"/>
        <d v="2026-03-16T10:48:27"/>
        <d v="2026-03-16T10:46:53"/>
        <d v="2026-03-16T10:45:43"/>
        <d v="2026-03-16T10:42:47"/>
        <d v="2026-03-16T10:39:31"/>
        <d v="2026-03-16T10:38:19"/>
        <d v="2026-03-16T10:37:10"/>
        <d v="2026-03-16T10:37:00"/>
        <d v="2026-03-16T10:36:35"/>
        <d v="2026-03-16T10:36:31"/>
        <d v="2026-03-16T10:36:23"/>
        <d v="2026-03-16T10:36:19"/>
        <d v="2026-03-16T10:35:57"/>
        <d v="2026-03-16T10:35:34"/>
        <d v="2026-03-16T10:34:32"/>
        <d v="2026-03-16T10:33:59"/>
        <d v="2026-03-16T10:33:56"/>
        <d v="2026-03-16T10:32:05"/>
        <d v="2026-03-16T10:23:21"/>
        <d v="2026-03-16T10:20:48"/>
        <d v="2026-03-16T10:20:27"/>
        <d v="2026-03-16T10:18:52"/>
        <d v="2026-03-16T10:17:08"/>
        <d v="2026-03-16T10:17:06"/>
        <d v="2026-03-16T10:17:03"/>
        <d v="2026-03-16T10:14:36"/>
        <d v="2026-03-16T10:13:43"/>
        <d v="2026-03-16T10:12:59"/>
        <d v="2026-03-16T10:09:28"/>
        <d v="2026-03-16T10:08:53"/>
        <d v="2026-03-16T10:08:47"/>
        <d v="2026-03-16T10:06:22"/>
        <d v="2026-03-16T10:06:01"/>
        <d v="2026-03-16T10:05:24"/>
        <d v="2026-03-16T10:04:04"/>
        <d v="2026-03-16T10:01:46"/>
        <d v="2026-03-16T10:01:11"/>
        <d v="2026-03-16T10:00:49"/>
        <d v="2026-03-16T10:00:23"/>
        <d v="2026-03-16T10:00:22"/>
        <d v="2026-03-16T09:56:38"/>
        <d v="2026-03-16T09:56:28"/>
        <d v="2026-03-16T09:55:20"/>
        <d v="2026-03-16T09:54:57"/>
        <d v="2026-03-16T09:54:51"/>
        <d v="2026-03-16T09:47:44"/>
        <d v="2026-03-16T09:46:19"/>
        <d v="2026-03-16T09:44:44"/>
        <d v="2026-03-16T09:44:40"/>
        <d v="2026-03-16T09:44:38"/>
        <d v="2026-03-16T09:44:06"/>
        <d v="2026-03-16T09:44:03"/>
        <d v="2026-03-16T09:43:21"/>
        <d v="2026-03-16T09:43:12"/>
        <d v="2026-03-16T09:42:45"/>
        <d v="2026-03-16T09:41:57"/>
        <d v="2026-03-16T09:41:27"/>
        <d v="2026-03-16T09:40:36"/>
        <d v="2026-03-16T09:39:38"/>
        <d v="2026-03-16T09:38:54"/>
        <d v="2026-03-16T09:37:54"/>
        <d v="2026-03-16T09:37:04"/>
        <d v="2026-03-16T09:36:25"/>
        <d v="2026-03-16T09:35:01"/>
        <d v="2026-03-16T09:34:43"/>
        <d v="2026-03-16T09:34:34"/>
        <d v="2026-03-16T09:34:33"/>
        <d v="2026-03-16T09:34:25"/>
        <d v="2026-03-16T09:34:18"/>
        <d v="2026-03-16T09:32:31"/>
        <d v="2026-03-16T09:32:12"/>
        <d v="2026-03-16T09:31:50"/>
        <d v="2026-03-16T09:29:44"/>
        <d v="2026-03-16T09:29:30"/>
        <d v="2026-03-16T09:28:58"/>
        <d v="2026-03-16T09:28:50"/>
        <d v="2026-03-16T09:28:38"/>
        <d v="2026-03-16T09:26:06"/>
        <d v="2026-03-16T09:25:24"/>
        <d v="2026-03-16T09:25:21"/>
        <d v="2026-03-16T09:25:04"/>
        <d v="2026-03-16T09:24:52"/>
        <d v="2026-03-16T09:16:55"/>
        <d v="2026-03-16T09:16:54"/>
        <d v="2026-03-16T09:16:48"/>
        <d v="2026-03-16T09:16:41"/>
        <d v="2026-03-16T09:16:30"/>
        <d v="2026-03-16T09:16:13"/>
        <d v="2026-03-16T09:15:41"/>
        <d v="2026-03-16T09:15:29"/>
        <d v="2026-03-16T09:13:37"/>
        <d v="2026-03-16T09:11:45"/>
        <d v="2026-03-16T09:11:14"/>
        <d v="2026-03-16T09:10:28"/>
        <d v="2026-03-16T09:10:20"/>
        <d v="2026-03-16T09:10:19"/>
        <d v="2026-03-16T09:10:16"/>
        <d v="2026-03-16T09:10:13"/>
        <d v="2026-03-16T09:10:10"/>
        <d v="2026-03-16T09:10:00"/>
        <d v="2026-03-16T09:08:43"/>
        <d v="2026-03-16T09:08:23"/>
        <d v="2026-03-16T09:08:20"/>
        <d v="2026-03-16T09:08:19"/>
        <d v="2026-03-16T09:08:15"/>
        <d v="2026-03-16T09:07:24"/>
        <d v="2026-03-16T09:06:52"/>
        <d v="2026-03-16T09:06:32"/>
        <d v="2026-03-16T09:06:31"/>
        <d v="2026-03-16T09:06:20"/>
        <d v="2026-03-16T09:06:15"/>
        <d v="2026-03-16T09:05:32"/>
        <d v="2026-03-16T09:05:16"/>
        <d v="2026-03-16T09:05:15"/>
        <d v="2026-03-16T09:04:57"/>
        <d v="2026-03-16T09:04:36"/>
        <d v="2026-03-16T09:04:23"/>
        <d v="2026-03-16T09:03:44"/>
        <d v="2026-03-16T09:02:03"/>
        <d v="2026-03-16T09:02:02"/>
        <d v="2026-03-16T09:01:54"/>
        <d v="2026-03-16T09:01:30"/>
        <d v="2026-03-16T09:01:25"/>
        <d v="2026-03-16T09:01:20"/>
        <d v="2026-03-16T09:01:18"/>
        <d v="2026-03-16T09:01:09"/>
        <d v="2026-03-16T09:01:07"/>
        <d v="2026-03-16T09:00:53"/>
        <d v="2026-03-16T09:00:34"/>
        <d v="2026-03-16T09:00:16"/>
        <d v="2026-03-16T08:59:46"/>
        <d v="2026-03-16T08:59:25"/>
        <d v="2026-03-16T08:58:57"/>
        <d v="2026-03-16T08:58:47"/>
        <d v="2026-03-16T08:58:33"/>
        <d v="2026-03-16T08:58:25"/>
        <d v="2026-03-16T08:58:22"/>
        <d v="2026-03-16T08:58:18"/>
        <d v="2026-03-16T08:58:16"/>
        <d v="2026-03-16T08:57:14"/>
        <d v="2026-03-16T08:56:57"/>
        <d v="2026-03-16T08:56:51"/>
        <d v="2026-03-16T08:56:45"/>
        <d v="2026-03-16T08:56:40"/>
        <d v="2026-03-16T08:55:47"/>
        <d v="2026-03-16T08:55:18"/>
        <d v="2026-03-16T08:55:08"/>
        <d v="2026-03-16T08:55:01"/>
        <d v="2026-03-16T08:54:12"/>
        <d v="2026-03-16T08:54:09"/>
        <d v="2026-03-16T08:53:55"/>
        <d v="2026-03-16T08:53:53"/>
        <d v="2026-03-16T08:53:44"/>
        <d v="2026-03-16T08:53:38"/>
        <d v="2026-03-16T08:53:27"/>
        <d v="2026-03-16T08:52:55"/>
        <d v="2026-03-16T08:52:36"/>
        <d v="2026-03-16T08:52:22"/>
        <d v="2026-03-16T08:52:21"/>
        <d v="2026-03-16T08:52:18"/>
        <d v="2026-03-16T08:51:56"/>
        <d v="2026-03-16T08:51:54"/>
        <d v="2026-03-16T08:51:47"/>
        <d v="2026-03-16T08:51:46"/>
        <d v="2026-03-16T08:51:43"/>
        <d v="2026-03-16T08:51:37"/>
        <d v="2026-03-16T08:51:36"/>
        <d v="2026-03-16T08:51:34"/>
        <d v="2026-03-16T08:51:33"/>
        <d v="2026-03-16T08:51:31"/>
        <d v="2026-03-16T08:51:10"/>
        <d v="2026-03-16T08:50:51"/>
        <d v="2026-03-16T08:50:13"/>
        <d v="2026-03-16T08:50:11"/>
        <d v="2026-03-16T08:50:00"/>
        <d v="2026-03-16T08:49:55"/>
        <d v="2026-03-16T08:49:51"/>
        <d v="2026-03-16T08:49:40"/>
        <d v="2026-03-16T08:49:19"/>
        <d v="2026-03-16T08:49:18"/>
        <d v="2026-03-16T08:48:43"/>
        <d v="2026-03-16T08:48:36"/>
        <d v="2026-03-16T08:48:30"/>
        <d v="2026-03-16T08:48:24"/>
        <d v="2026-03-16T08:48:18"/>
        <d v="2026-03-16T08:48:15"/>
        <d v="2026-03-16T08:48:12"/>
        <d v="2026-03-16T08:48:09"/>
        <d v="2026-03-16T08:48:05"/>
        <d v="2026-03-16T08:47:57"/>
        <d v="2026-03-16T08:47:50"/>
        <d v="2026-03-16T08:47:16"/>
        <d v="2026-03-16T08:47:13"/>
        <d v="2026-03-16T08:46:56"/>
        <d v="2026-03-16T08:46:45"/>
        <d v="2026-03-16T08:46:24"/>
        <d v="2026-03-16T08:46:21"/>
        <d v="2026-03-16T08:46:18"/>
        <d v="2026-03-16T08:46:14"/>
        <d v="2026-03-16T08:46:13"/>
        <d v="2026-03-16T08:46:11"/>
        <d v="2026-03-16T08:46:09"/>
        <d v="2026-03-16T08:46:07"/>
        <d v="2026-03-16T08:46:05"/>
        <d v="2026-03-16T08:46:04"/>
        <d v="2026-03-16T08:46:02"/>
        <d v="2026-03-16T08:46:01"/>
        <d v="2026-03-16T08:45:59"/>
        <d v="2026-03-16T08:45:43"/>
        <d v="2026-03-16T08:44:57"/>
        <d v="2026-03-16T08:44:39"/>
        <d v="2026-03-16T08:43:55"/>
        <d v="2026-03-16T08:43:43"/>
        <d v="2026-03-16T08:43:41"/>
        <d v="2026-03-16T08:43:39"/>
        <d v="2026-03-16T08:43:33"/>
        <d v="2026-03-16T08:42:59"/>
        <d v="2026-03-16T08:42:58"/>
        <d v="2026-03-16T08:42:12"/>
        <d v="2026-03-16T08:42:08"/>
        <d v="2026-03-16T08:42:07"/>
        <d v="2026-03-16T08:42:05"/>
        <d v="2026-03-16T08:42:00"/>
        <d v="2026-03-16T08:41:58"/>
        <d v="2026-03-16T08:41:50"/>
        <d v="2026-03-16T08:41:41"/>
        <d v="2026-03-16T08:41:31"/>
        <d v="2026-03-16T08:41:25"/>
        <d v="2026-03-16T08:41:23"/>
        <d v="2026-03-16T08:40:51"/>
        <d v="2026-03-16T08:40:36"/>
        <d v="2026-03-16T08:40:34"/>
        <d v="2026-03-16T08:40:19"/>
        <d v="2026-03-16T08:40:00"/>
        <d v="2026-03-16T08:39:54"/>
        <d v="2026-03-16T08:39:15"/>
        <d v="2026-03-16T08:39:10"/>
        <d v="2026-03-16T08:38:49"/>
        <d v="2026-03-16T08:38:35"/>
        <d v="2026-03-16T08:38:27"/>
        <d v="2026-03-16T08:38:20"/>
        <d v="2026-03-16T08:38:19"/>
        <d v="2026-03-16T08:37:24"/>
        <d v="2026-03-16T08:37:17"/>
        <d v="2026-03-16T08:37:07"/>
        <d v="2026-03-16T08:37:02"/>
        <d v="2026-03-16T08:37:00"/>
        <d v="2026-03-16T08:36:56"/>
        <d v="2026-03-16T08:36:49"/>
        <d v="2026-03-16T08:36:34"/>
        <d v="2026-03-16T08:36:26"/>
        <d v="2026-03-16T08:35:39"/>
        <d v="2026-03-16T08:34:37"/>
        <d v="2026-03-16T08:34:35"/>
        <d v="2026-03-16T08:34:22"/>
        <d v="2026-03-16T08:34:00"/>
        <d v="2026-03-16T08:33:58"/>
        <d v="2026-03-16T08:33:55"/>
        <d v="2026-03-16T08:32:52"/>
        <d v="2026-03-16T08:32:47"/>
        <d v="2026-03-16T08:32:11"/>
        <d v="2026-03-16T08:31:39"/>
        <d v="2026-03-16T08:31:38"/>
        <d v="2026-03-16T08:31:29"/>
        <d v="2026-03-16T08:31:12"/>
        <d v="2026-03-16T08:31:07"/>
        <d v="2026-03-16T08:31:04"/>
        <d v="2026-03-16T08:30:04"/>
        <d v="2026-03-16T08:29:06"/>
        <d v="2026-03-16T08:28:26"/>
        <d v="2026-03-16T08:26:55"/>
        <d v="2026-03-16T08:23:20"/>
        <d v="2026-03-16T08:22:54"/>
        <d v="2026-03-16T08:21:35"/>
        <d v="2026-03-16T08:18:14"/>
        <d v="2026-03-16T08:08:43"/>
        <d v="2026-03-16T08:07:02"/>
        <d v="2026-03-16T08:06:58"/>
        <d v="2026-03-16T08:06:56"/>
        <d v="2026-03-16T08:06:55"/>
        <d v="2026-03-16T08:06:40"/>
        <d v="2026-03-16T08:05:23"/>
        <d v="2026-03-16T08:05:20"/>
        <d v="2026-03-16T07:59:42"/>
        <d v="2026-03-16T07:45:37"/>
        <d v="2026-03-16T07:45:32"/>
        <d v="2026-03-15T23:59:59"/>
        <d v="2026-03-15T19:35:00"/>
        <d v="2026-03-15T15:48:08"/>
        <d v="2026-03-15T12:56:24"/>
        <d v="2026-03-15T12:02:29"/>
        <d v="2026-03-15T11:58:37"/>
        <d v="2026-03-15T08:49:20"/>
        <d v="2026-03-14T23:59:59"/>
        <d v="2026-03-14T18:19:23"/>
        <d v="2026-03-14T18:19:10"/>
        <d v="2026-03-14T15:16:41"/>
        <d v="2026-03-14T15:15:55"/>
        <d v="2026-03-14T12:56:24"/>
        <d v="2026-03-14T11:33:12"/>
        <d v="2026-03-14T09:20:07"/>
        <d v="2026-03-14T08:36:06"/>
        <d v="2026-03-13T23:59:59"/>
        <d v="2026-03-13T23:03:51"/>
        <d v="2026-03-13T22:33:21"/>
        <d v="2026-03-13T22:33:17"/>
        <d v="2026-03-13T20:57:25"/>
        <d v="2026-03-13T20:27:47"/>
        <d v="2026-03-13T20:02:03"/>
        <d v="2026-03-13T19:59:08"/>
        <d v="2026-03-13T19:35:00"/>
        <d v="2026-03-13T19:10:48"/>
        <d v="2026-03-13T18:47:57"/>
        <d v="2026-03-13T18:40:45"/>
        <d v="2026-03-13T18:31:12"/>
        <d v="2026-03-13T18:28:46"/>
        <d v="2026-03-13T18:25:49"/>
        <d v="2026-03-13T18:22:25"/>
        <d v="2026-03-13T18:20:26"/>
        <d v="2026-03-13T18:18:02"/>
        <d v="2026-03-13T18:13:54"/>
        <d v="2026-03-13T18:13:45"/>
        <d v="2026-03-13T18:13:08"/>
        <d v="2026-03-13T18:07:00"/>
        <d v="2026-03-13T18:02:45"/>
        <d v="2026-03-13T18:02:33"/>
        <d v="2026-03-13T18:00:33"/>
        <d v="2026-03-13T18:00:17"/>
        <d v="2026-03-13T17:56:08"/>
        <d v="2026-03-13T17:53:27"/>
        <d v="2026-03-13T17:51:51"/>
        <d v="2026-03-13T17:47:33"/>
        <d v="2026-03-13T17:46:07"/>
        <d v="2026-03-13T17:45:00"/>
        <d v="2026-03-13T17:42:16"/>
        <d v="2026-03-13T17:41:11"/>
        <d v="2026-03-13T17:40:32"/>
        <d v="2026-03-13T17:30:44"/>
        <d v="2026-03-13T17:30:29"/>
        <d v="2026-03-13T17:30:24"/>
        <d v="2026-03-13T17:28:27"/>
        <d v="2026-03-13T17:25:30"/>
        <d v="2026-03-13T17:22:12"/>
        <d v="2026-03-13T17:19:14"/>
        <d v="2026-03-13T17:15:56"/>
        <d v="2026-03-13T17:11:57"/>
        <d v="2026-03-13T17:10:31"/>
        <d v="2026-03-13T17:10:24"/>
        <d v="2026-03-13T17:08:34"/>
        <d v="2026-03-13T17:05:53"/>
        <d v="2026-03-13T17:05:46"/>
        <d v="2026-03-13T17:05:38"/>
        <d v="2026-03-13T17:04:15"/>
        <d v="2026-03-13T17:03:42"/>
        <d v="2026-03-13T17:02:14"/>
        <d v="2026-03-13T17:01:37"/>
        <d v="2026-03-13T17:00:28"/>
        <d v="2026-03-13T17:00:17"/>
        <d v="2026-03-13T17:00:00"/>
        <d v="2026-03-13T16:59:25"/>
        <d v="2026-03-13T16:58:37"/>
        <d v="2026-03-13T16:58:16"/>
        <d v="2026-03-13T16:56:34"/>
        <d v="2026-03-13T16:55:42"/>
        <d v="2026-03-13T16:55:35"/>
        <d v="2026-03-13T16:54:52"/>
        <d v="2026-03-13T16:53:54"/>
        <d v="2026-03-13T16:53:28"/>
        <d v="2026-03-13T16:50:48"/>
        <d v="2026-03-13T16:50:41"/>
        <d v="2026-03-13T16:50:37"/>
        <d v="2026-03-13T16:49:41"/>
        <d v="2026-03-13T16:49:18"/>
        <d v="2026-03-13T16:49:07"/>
        <d v="2026-03-13T16:48:21"/>
        <d v="2026-03-13T16:47:12"/>
        <d v="2026-03-13T16:46:39"/>
        <d v="2026-03-13T16:46:37"/>
        <d v="2026-03-13T16:45:48"/>
        <d v="2026-03-13T16:45:41"/>
        <d v="2026-03-13T16:44:35"/>
        <d v="2026-03-13T16:41:28"/>
        <d v="2026-03-13T16:37:44"/>
        <d v="2026-03-13T16:36:54"/>
        <d v="2026-03-13T16:31:41"/>
        <d v="2026-03-13T16:28:33"/>
        <d v="2026-03-13T16:26:25"/>
        <d v="2026-03-13T16:23:29"/>
        <d v="2026-03-13T16:21:59"/>
        <d v="2026-03-13T16:20:52"/>
        <d v="2026-03-13T16:20:19"/>
        <d v="2026-03-13T16:20:06"/>
        <d v="2026-03-13T16:19:40"/>
        <d v="2026-03-13T16:18:45"/>
        <d v="2026-03-13T16:14:52"/>
        <d v="2026-03-13T16:13:47"/>
        <d v="2026-03-13T16:11:53"/>
        <d v="2026-03-13T16:11:49"/>
        <d v="2026-03-13T16:11:08"/>
        <d v="2026-03-13T16:07:34"/>
        <d v="2026-03-13T16:05:41"/>
        <d v="2026-03-13T16:03:31"/>
        <d v="2026-03-13T16:03:25"/>
        <d v="2026-03-13T16:00:04"/>
        <d v="2026-03-13T16:00:00"/>
        <d v="2026-03-13T15:58:24"/>
        <d v="2026-03-13T15:56:54"/>
        <d v="2026-03-13T15:52:59"/>
        <d v="2026-03-13T15:51:04"/>
        <d v="2026-03-13T15:50:33"/>
        <d v="2026-03-13T15:49:59"/>
        <d v="2026-03-13T15:49:09"/>
        <d v="2026-03-13T15:48:47"/>
        <d v="2026-03-13T15:48:12"/>
        <d v="2026-03-13T15:47:44"/>
        <d v="2026-03-13T15:47:23"/>
        <d v="2026-03-13T15:46:56"/>
        <d v="2026-03-13T15:45:30"/>
        <d v="2026-03-13T15:44:15"/>
        <d v="2026-03-13T15:43:40"/>
        <d v="2026-03-13T15:43:27"/>
        <d v="2026-03-13T15:42:41"/>
        <d v="2026-03-13T15:42:40"/>
        <d v="2026-03-13T15:41:59"/>
        <d v="2026-03-13T15:41:29"/>
        <d v="2026-03-13T15:41:19"/>
        <d v="2026-03-13T15:40:59"/>
        <d v="2026-03-13T15:40:15"/>
        <d v="2026-03-13T15:39:08"/>
        <d v="2026-03-13T15:38:54"/>
        <d v="2026-03-13T15:38:29"/>
        <d v="2026-03-13T15:37:40"/>
        <d v="2026-03-13T15:36:29"/>
        <d v="2026-03-13T15:35:43"/>
        <d v="2026-03-13T15:34:40"/>
        <d v="2026-03-13T15:34:37"/>
        <d v="2026-03-13T15:26:12"/>
        <d v="2026-03-13T15:24:51"/>
        <d v="2026-03-13T15:20:15"/>
        <d v="2026-03-13T15:19:59"/>
        <d v="2026-03-13T15:13:46"/>
        <d v="2026-03-13T15:10:19"/>
        <d v="2026-03-13T15:06:58"/>
        <d v="2026-03-13T15:05:33"/>
        <d v="2026-03-13T14:47:59"/>
        <d v="2026-03-13T14:46:57"/>
        <d v="2026-03-13T14:46:29"/>
        <d v="2026-03-13T14:46:20"/>
        <d v="2026-03-13T14:43:58"/>
        <d v="2026-03-13T14:43:42"/>
        <d v="2026-03-13T14:38:47"/>
        <d v="2026-03-13T14:30:26"/>
        <d v="2026-03-13T14:28:31"/>
        <d v="2026-03-13T14:26:05"/>
        <d v="2026-03-13T14:15:37"/>
        <d v="2026-03-13T14:13:23"/>
        <d v="2026-03-13T14:11:01"/>
        <d v="2026-03-13T14:06:58"/>
        <d v="2026-03-13T14:05:47"/>
        <d v="2026-03-13T14:05:26"/>
        <d v="2026-03-13T14:05:15"/>
        <d v="2026-03-13T14:03:54"/>
        <d v="2026-03-13T14:02:11"/>
        <d v="2026-03-13T14:01:57"/>
        <d v="2026-03-13T14:01:16"/>
        <d v="2026-03-13T14:00:27"/>
        <d v="2026-03-13T13:57:26"/>
        <d v="2026-03-13T13:57:23"/>
        <d v="2026-03-13T13:57:05"/>
        <d v="2026-03-13T13:55:44"/>
        <d v="2026-03-13T13:53:28"/>
        <d v="2026-03-13T13:52:58"/>
        <d v="2026-03-13T13:48:49"/>
        <d v="2026-03-13T13:48:21"/>
        <d v="2026-03-13T13:48:02"/>
        <d v="2026-03-13T13:46:11"/>
        <d v="2026-03-13T13:43:17"/>
        <d v="2026-03-13T13:43:11"/>
        <d v="2026-03-13T13:41:44"/>
        <d v="2026-03-13T13:40:43"/>
        <d v="2026-03-13T13:40:19"/>
        <d v="2026-03-13T13:31:26"/>
        <d v="2026-03-13T13:19:55"/>
        <d v="2026-03-13T13:19:41"/>
        <d v="2026-03-13T13:19:11"/>
        <d v="2026-03-13T13:18:53"/>
        <d v="2026-03-13T13:07:20"/>
        <d v="2026-03-13T12:56:24"/>
        <d v="2026-03-13T12:43:32"/>
        <d v="2026-03-13T12:25:18"/>
        <d v="2026-03-13T11:58:37"/>
        <d v="2026-03-13T11:33:12"/>
        <d v="2026-03-13T11:18:39"/>
        <d v="2026-03-13T11:16:49"/>
        <d v="2026-03-13T11:15:56"/>
        <d v="2026-03-13T11:15:34"/>
        <d v="2026-03-13T11:15:29"/>
        <d v="2026-03-13T11:14:41"/>
        <d v="2026-03-13T11:14:25"/>
        <d v="2026-03-13T11:12:34"/>
        <d v="2026-03-13T11:11:05"/>
        <d v="2026-03-13T11:10:26"/>
        <d v="2026-03-13T11:06:31"/>
        <d v="2026-03-13T11:01:03"/>
        <d v="2026-03-13T11:00:42"/>
        <d v="2026-03-13T10:58:38"/>
        <d v="2026-03-13T10:58:35"/>
        <d v="2026-03-13T10:58:31"/>
        <d v="2026-03-13T10:58:27"/>
        <d v="2026-03-13T10:57:02"/>
        <d v="2026-03-13T10:50:35"/>
        <d v="2026-03-13T10:46:06"/>
        <d v="2026-03-13T10:45:37"/>
        <d v="2026-03-13T10:44:52"/>
        <d v="2026-03-13T10:44:45"/>
        <d v="2026-03-13T10:40:31"/>
        <d v="2026-03-13T10:39:14"/>
        <d v="2026-03-13T10:27:03"/>
        <d v="2026-03-13T10:26:30"/>
        <d v="2026-03-13T10:26:17"/>
        <d v="2026-03-13T10:26:15"/>
        <d v="2026-03-13T10:26:09"/>
        <d v="2026-03-13T10:23:52"/>
        <d v="2026-03-13T10:21:02"/>
        <d v="2026-03-13T10:18:58"/>
        <d v="2026-03-13T10:17:01"/>
        <d v="2026-03-13T10:14:43"/>
        <d v="2026-03-13T10:10:46"/>
        <d v="2026-03-13T10:07:11"/>
        <d v="2026-03-13T10:04:23"/>
        <d v="2026-03-13T10:03:38"/>
        <d v="2026-03-13T10:03:20"/>
        <d v="2026-03-13T10:03:17"/>
        <d v="2026-03-13T10:03:01"/>
        <d v="2026-03-13T10:02:45"/>
        <d v="2026-03-13T10:01:26"/>
        <d v="2026-03-13T09:52:41"/>
        <d v="2026-03-13T09:52:38"/>
        <d v="2026-03-13T09:52:17"/>
        <d v="2026-03-13T09:45:18"/>
        <d v="2026-03-13T09:43:59"/>
        <d v="2026-03-13T09:43:45"/>
        <d v="2026-03-13T09:42:35"/>
        <d v="2026-03-13T09:39:49"/>
        <d v="2026-03-13T09:39:05"/>
        <d v="2026-03-13T09:38:59"/>
        <d v="2026-03-13T09:37:49"/>
        <d v="2026-03-13T09:36:36"/>
        <d v="2026-03-13T09:36:06"/>
        <d v="2026-03-13T09:35:40"/>
        <d v="2026-03-13T09:34:09"/>
        <d v="2026-03-13T09:32:58"/>
        <d v="2026-03-13T09:32:34"/>
        <d v="2026-03-13T09:32:23"/>
        <d v="2026-03-13T09:32:12"/>
        <d v="2026-03-13T09:30:52"/>
        <d v="2026-03-13T09:27:40"/>
        <d v="2026-03-13T09:25:09"/>
        <d v="2026-03-13T09:24:48"/>
        <d v="2026-03-13T09:22:52"/>
        <d v="2026-03-13T09:22:26"/>
        <d v="2026-03-13T09:18:31"/>
        <d v="2026-03-13T09:17:52"/>
        <d v="2026-03-13T09:17:50"/>
        <d v="2026-03-13T09:17:15"/>
        <d v="2026-03-13T09:16:39"/>
        <d v="2026-03-13T09:15:02"/>
        <d v="2026-03-13T09:13:58"/>
        <d v="2026-03-13T09:13:22"/>
        <d v="2026-03-13T09:12:46"/>
        <d v="2026-03-13T09:12:25"/>
        <d v="2026-03-13T09:11:16"/>
        <d v="2026-03-13T09:09:33"/>
        <d v="2026-03-13T09:08:48"/>
        <d v="2026-03-13T09:08:23"/>
        <d v="2026-03-13T09:08:05"/>
        <d v="2026-03-13T09:07:44"/>
        <d v="2026-03-13T09:07:09"/>
        <d v="2026-03-13T09:06:44"/>
        <d v="2026-03-13T09:06:26"/>
        <d v="2026-03-13T09:06:13"/>
        <d v="2026-03-13T09:06:07"/>
        <d v="2026-03-13T09:05:58"/>
        <d v="2026-03-13T09:04:29"/>
        <d v="2026-03-13T09:04:12"/>
        <d v="2026-03-13T09:03:55"/>
        <d v="2026-03-13T09:03:52"/>
        <d v="2026-03-13T09:03:19"/>
        <d v="2026-03-13T09:03:09"/>
        <d v="2026-03-13T09:02:25"/>
        <d v="2026-03-13T09:01:53"/>
        <d v="2026-03-13T09:01:43"/>
        <d v="2026-03-13T09:01:23"/>
        <d v="2026-03-13T09:01:13"/>
        <d v="2026-03-13T09:01:07"/>
        <d v="2026-03-13T09:01:05"/>
        <d v="2026-03-13T09:01:04"/>
        <d v="2026-03-13T09:00:58"/>
        <d v="2026-03-13T09:00:54"/>
        <d v="2026-03-13T09:00:40"/>
        <d v="2026-03-13T09:00:31"/>
        <d v="2026-03-13T09:00:16"/>
        <d v="2026-03-13T09:00:10"/>
        <d v="2026-03-13T09:00:02"/>
        <d v="2026-03-13T09:00:00"/>
        <d v="2026-03-13T08:59:35"/>
        <d v="2026-03-13T08:59:28"/>
        <d v="2026-03-13T08:58:57"/>
        <d v="2026-03-13T08:58:47"/>
        <d v="2026-03-13T08:58:43"/>
        <d v="2026-03-13T08:58:42"/>
        <d v="2026-03-13T08:58:36"/>
        <d v="2026-03-13T08:58:09"/>
        <d v="2026-03-13T08:58:06"/>
        <d v="2026-03-13T08:58:02"/>
        <d v="2026-03-13T08:57:17"/>
        <d v="2026-03-13T08:57:15"/>
        <d v="2026-03-13T08:57:10"/>
        <d v="2026-03-13T08:57:02"/>
        <d v="2026-03-13T08:56:10"/>
        <d v="2026-03-13T08:56:01"/>
        <d v="2026-03-13T08:56:00"/>
        <d v="2026-03-13T08:55:34"/>
        <d v="2026-03-13T08:55:10"/>
        <d v="2026-03-13T08:55:08"/>
        <d v="2026-03-13T08:54:57"/>
        <d v="2026-03-13T08:54:56"/>
        <d v="2026-03-13T08:54:50"/>
        <d v="2026-03-13T08:54:22"/>
        <d v="2026-03-13T08:53:08"/>
        <d v="2026-03-13T08:52:57"/>
        <d v="2026-03-13T08:52:54"/>
        <d v="2026-03-13T08:52:21"/>
        <d v="2026-03-13T08:52:19"/>
        <d v="2026-03-13T08:52:17"/>
        <d v="2026-03-13T08:52:13"/>
        <d v="2026-03-13T08:52:00"/>
        <d v="2026-03-13T08:51:57"/>
        <d v="2026-03-13T08:51:56"/>
        <d v="2026-03-13T08:51:53"/>
        <d v="2026-03-13T08:51:51"/>
        <d v="2026-03-13T08:51:50"/>
        <d v="2026-03-13T08:51:47"/>
        <d v="2026-03-13T08:51:42"/>
        <d v="2026-03-13T08:51:39"/>
        <d v="2026-03-13T08:51:23"/>
        <d v="2026-03-13T08:51:21"/>
        <d v="2026-03-13T08:51:20"/>
        <d v="2026-03-13T08:50:50"/>
        <d v="2026-03-13T08:50:45"/>
        <d v="2026-03-13T08:50:21"/>
        <d v="2026-03-13T08:50:19"/>
        <d v="2026-03-13T08:49:56"/>
        <d v="2026-03-13T08:49:54"/>
        <d v="2026-03-13T08:49:52"/>
        <d v="2026-03-13T08:49:50"/>
        <d v="2026-03-13T08:49:46"/>
        <d v="2026-03-13T08:49:45"/>
        <d v="2026-03-13T08:49:35"/>
        <d v="2026-03-13T08:49:12"/>
        <d v="2026-03-13T08:48:50"/>
        <d v="2026-03-13T08:48:44"/>
        <d v="2026-03-13T08:48:43"/>
        <d v="2026-03-13T08:48:36"/>
        <d v="2026-03-13T08:48:33"/>
        <d v="2026-03-13T08:48:21"/>
        <d v="2026-03-13T08:47:45"/>
        <d v="2026-03-13T08:47:40"/>
        <d v="2026-03-13T08:47:24"/>
        <d v="2026-03-13T08:47:11"/>
        <d v="2026-03-13T08:47:05"/>
        <d v="2026-03-13T08:46:59"/>
        <d v="2026-03-13T08:46:54"/>
        <d v="2026-03-13T08:46:22"/>
        <d v="2026-03-13T08:45:21"/>
        <d v="2026-03-13T08:45:13"/>
        <d v="2026-03-13T08:44:58"/>
        <d v="2026-03-13T08:44:57"/>
        <d v="2026-03-13T08:44:41"/>
        <d v="2026-03-13T08:44:34"/>
        <d v="2026-03-13T08:44:11"/>
        <d v="2026-03-13T08:44:09"/>
        <d v="2026-03-13T08:44:05"/>
        <d v="2026-03-13T08:44:03"/>
        <d v="2026-03-13T08:43:41"/>
        <d v="2026-03-13T08:43:35"/>
        <d v="2026-03-13T08:43:16"/>
        <d v="2026-03-13T08:42:34"/>
        <d v="2026-03-13T08:42:29"/>
        <d v="2026-03-13T08:42:23"/>
        <d v="2026-03-13T08:42:17"/>
        <d v="2026-03-13T08:42:16"/>
        <d v="2026-03-13T08:42:14"/>
        <d v="2026-03-13T08:42:01"/>
        <d v="2026-03-13T08:41:35"/>
        <d v="2026-03-13T08:41:20"/>
        <d v="2026-03-13T08:41:02"/>
        <d v="2026-03-13T08:40:22"/>
        <d v="2026-03-13T08:40:20"/>
        <d v="2026-03-13T08:40:08"/>
        <d v="2026-03-13T08:40:01"/>
        <d v="2026-03-13T08:39:37"/>
        <d v="2026-03-13T08:39:03"/>
        <d v="2026-03-13T08:39:02"/>
        <d v="2026-03-13T08:38:42"/>
        <d v="2026-03-13T08:38:31"/>
        <d v="2026-03-13T08:38:24"/>
        <d v="2026-03-13T08:38:23"/>
        <d v="2026-03-13T08:38:22"/>
        <d v="2026-03-13T08:38:12"/>
        <d v="2026-03-13T08:38:05"/>
        <d v="2026-03-13T08:37:55"/>
        <d v="2026-03-13T08:37:42"/>
        <d v="2026-03-13T08:37:27"/>
        <d v="2026-03-13T08:37:11"/>
        <d v="2026-03-13T08:37:09"/>
        <d v="2026-03-13T08:37:08"/>
        <d v="2026-03-13T08:37:06"/>
        <d v="2026-03-13T08:37:05"/>
        <d v="2026-03-13T08:36:59"/>
        <d v="2026-03-13T08:36:54"/>
        <d v="2026-03-13T08:36:47"/>
        <d v="2026-03-13T08:36:45"/>
        <d v="2026-03-13T08:36:38"/>
        <d v="2026-03-13T08:36:32"/>
        <d v="2026-03-13T08:35:49"/>
        <d v="2026-03-13T08:34:49"/>
        <d v="2026-03-13T08:34:35"/>
        <d v="2026-03-13T08:33:52"/>
        <d v="2026-03-13T08:33:21"/>
        <d v="2026-03-13T08:32:38"/>
        <d v="2026-03-13T08:32:24"/>
        <d v="2026-03-13T08:32:02"/>
        <d v="2026-03-13T08:32:00"/>
        <d v="2026-03-13T08:31:54"/>
        <d v="2026-03-13T08:31:19"/>
        <d v="2026-03-13T08:30:55"/>
        <d v="2026-03-13T08:30:42"/>
        <d v="2026-03-13T08:30:31"/>
        <d v="2026-03-13T08:30:22"/>
        <d v="2026-03-13T08:30:15"/>
        <d v="2026-03-13T08:28:34"/>
        <d v="2026-03-13T08:28:27"/>
        <d v="2026-03-13T08:28:06"/>
        <d v="2026-03-13T08:27:32"/>
        <d v="2026-03-13T08:27:22"/>
        <d v="2026-03-13T08:26:23"/>
        <d v="2026-03-13T08:25:59"/>
        <d v="2026-03-13T08:24:22"/>
        <d v="2026-03-13T08:23:20"/>
        <d v="2026-03-13T08:19:32"/>
        <d v="2026-03-13T08:19:21"/>
        <d v="2026-03-13T08:18:31"/>
        <d v="2026-03-13T08:11:20"/>
        <d v="2026-03-13T08:09:08"/>
        <d v="2026-03-13T08:08:54"/>
        <d v="2026-03-13T07:00:49"/>
        <d v="2026-03-13T00:06:52"/>
        <d v="2026-03-12T23:59:59"/>
        <d v="2026-03-12T21:21:03"/>
        <d v="2026-03-12T21:19:41"/>
        <d v="2026-03-12T21:10:57"/>
        <d v="2026-03-12T21:10:34"/>
        <d v="2026-03-12T21:10:05"/>
        <d v="2026-03-12T21:09:49"/>
        <d v="2026-03-12T21:09:00"/>
        <d v="2026-03-12T21:08:47"/>
        <d v="2026-03-12T20:44:20"/>
        <d v="2026-03-12T20:24:07"/>
        <d v="2026-03-12T20:02:03"/>
        <d v="2026-03-12T19:35:00"/>
        <d v="2026-03-12T19:26:21"/>
        <d v="2026-03-12T19:13:22"/>
        <d v="2026-03-12T19:11:51"/>
        <d v="2026-03-12T19:06:52"/>
        <d v="2026-03-12T18:41:03"/>
        <d v="2026-03-12T18:37:09"/>
        <d v="2026-03-12T18:32:12"/>
        <d v="2026-03-12T18:31:09"/>
        <d v="2026-03-12T18:29:53"/>
        <d v="2026-03-12T18:28:45"/>
        <d v="2026-03-12T18:25:22"/>
        <d v="2026-03-12T18:24:13"/>
        <d v="2026-03-12T18:24:08"/>
        <d v="2026-03-12T18:18:02"/>
        <d v="2026-03-12T18:17:47"/>
        <d v="2026-03-12T18:15:51"/>
        <d v="2026-03-12T18:14:57"/>
        <d v="2026-03-12T18:14:38"/>
        <d v="2026-03-12T18:13:54"/>
        <d v="2026-03-12T18:09:06"/>
        <d v="2026-03-12T18:07:32"/>
        <d v="2026-03-12T18:03:30"/>
        <d v="2026-03-12T18:02:45"/>
        <d v="2026-03-12T18:00:20"/>
        <d v="2026-03-12T17:53:15"/>
        <d v="2026-03-12T17:51:51"/>
        <d v="2026-03-12T17:43:03"/>
        <d v="2026-03-12T17:41:11"/>
        <d v="2026-03-12T17:39:09"/>
        <d v="2026-03-12T17:38:46"/>
        <d v="2026-03-12T17:34:01"/>
        <d v="2026-03-12T17:32:35"/>
        <d v="2026-03-12T17:30:05"/>
        <d v="2026-03-12T17:29:02"/>
        <d v="2026-03-12T17:28:27"/>
        <d v="2026-03-12T17:27:01"/>
        <d v="2026-03-12T17:25:54"/>
        <d v="2026-03-12T17:23:39"/>
        <d v="2026-03-12T17:21:56"/>
        <d v="2026-03-12T17:21:09"/>
        <d v="2026-03-12T17:19:14"/>
        <d v="2026-03-12T17:17:30"/>
        <d v="2026-03-12T17:16:05"/>
        <d v="2026-03-12T17:14:48"/>
        <d v="2026-03-12T17:14:16"/>
        <d v="2026-03-12T17:13:11"/>
        <d v="2026-03-12T17:12:13"/>
        <d v="2026-03-12T17:11:59"/>
        <d v="2026-03-12T17:09:02"/>
        <d v="2026-03-12T17:08:56"/>
        <d v="2026-03-12T17:07:39"/>
        <d v="2026-03-12T17:06:45"/>
        <d v="2026-03-12T17:06:29"/>
        <d v="2026-03-12T17:06:08"/>
        <d v="2026-03-12T17:05:56"/>
        <d v="2026-03-12T17:05:07"/>
        <d v="2026-03-12T17:04:15"/>
        <d v="2026-03-12T17:02:14"/>
        <d v="2026-03-12T17:02:13"/>
        <d v="2026-03-12T17:00:16"/>
        <d v="2026-03-12T16:59:25"/>
        <d v="2026-03-12T16:58:03"/>
        <d v="2026-03-12T16:57:37"/>
        <d v="2026-03-12T16:56:55"/>
        <d v="2026-03-12T16:55:56"/>
        <d v="2026-03-12T16:54:52"/>
        <d v="2026-03-12T16:54:27"/>
        <d v="2026-03-12T16:52:41"/>
        <d v="2026-03-12T16:52:39"/>
        <d v="2026-03-12T16:52:17"/>
        <d v="2026-03-12T16:51:56"/>
        <d v="2026-03-12T16:51:42"/>
        <d v="2026-03-12T16:51:40"/>
        <d v="2026-03-12T16:50:41"/>
        <d v="2026-03-12T16:50:31"/>
        <d v="2026-03-12T16:49:35"/>
        <d v="2026-03-12T16:44:41"/>
        <d v="2026-03-12T16:44:12"/>
        <d v="2026-03-12T16:42:50"/>
        <d v="2026-03-12T16:40:29"/>
        <d v="2026-03-12T16:38:33"/>
        <d v="2026-03-12T16:38:20"/>
        <d v="2026-03-12T16:36:48"/>
        <d v="2026-03-12T16:36:38"/>
        <d v="2026-03-12T16:35:27"/>
        <d v="2026-03-12T16:35:08"/>
        <d v="2026-03-12T16:33:57"/>
        <d v="2026-03-12T16:33:50"/>
        <d v="2026-03-12T16:33:25"/>
        <d v="2026-03-12T16:32:59"/>
        <d v="2026-03-12T16:31:52"/>
        <d v="2026-03-12T16:31:30"/>
        <d v="2026-03-12T16:31:06"/>
        <d v="2026-03-12T16:27:32"/>
        <d v="2026-03-12T16:26:25"/>
        <d v="2026-03-12T16:26:07"/>
        <d v="2026-03-12T16:25:13"/>
        <d v="2026-03-12T16:25:09"/>
        <d v="2026-03-12T16:24:18"/>
        <d v="2026-03-12T16:20:19"/>
        <d v="2026-03-12T16:19:40"/>
        <d v="2026-03-12T16:11:17"/>
        <d v="2026-03-12T16:08:49"/>
        <d v="2026-03-12T16:08:18"/>
        <d v="2026-03-12T16:07:10"/>
        <d v="2026-03-12T16:04:51"/>
        <d v="2026-03-12T15:58:09"/>
        <d v="2026-03-12T15:56:03"/>
        <d v="2026-03-12T15:53:49"/>
        <d v="2026-03-12T15:53:04"/>
        <d v="2026-03-12T15:52:09"/>
        <d v="2026-03-12T15:48:29"/>
        <d v="2026-03-12T15:48:25"/>
        <d v="2026-03-12T15:48:11"/>
        <d v="2026-03-12T15:47:59"/>
        <d v="2026-03-12T15:47:44"/>
        <d v="2026-03-12T15:45:36"/>
        <d v="2026-03-12T15:44:45"/>
        <d v="2026-03-12T15:40:50"/>
        <d v="2026-03-12T15:40:33"/>
        <d v="2026-03-12T15:40:23"/>
        <d v="2026-03-12T15:39:38"/>
        <d v="2026-03-12T15:39:36"/>
        <d v="2026-03-12T15:37:40"/>
        <d v="2026-03-12T15:36:38"/>
        <d v="2026-03-12T15:35:44"/>
        <d v="2026-03-12T15:33:29"/>
        <d v="2026-03-12T15:26:12"/>
        <d v="2026-03-12T15:26:01"/>
        <d v="2026-03-12T15:19:59"/>
        <d v="2026-03-12T15:14:57"/>
        <d v="2026-03-12T15:13:46"/>
        <d v="2026-03-12T15:09:54"/>
        <d v="2026-03-12T15:05:33"/>
        <d v="2026-03-12T15:03:07"/>
        <d v="2026-03-12T15:01:31"/>
        <d v="2026-03-12T15:00:21"/>
        <d v="2026-03-12T14:59:27"/>
        <d v="2026-03-12T14:53:04"/>
        <d v="2026-03-12T14:52:36"/>
        <d v="2026-03-12T14:50:53"/>
        <d v="2026-03-12T14:48:41"/>
        <d v="2026-03-12T14:47:59"/>
        <d v="2026-03-12T14:47:51"/>
        <d v="2026-03-12T14:46:57"/>
        <d v="2026-03-12T14:46:33"/>
        <d v="2026-03-12T14:43:58"/>
        <d v="2026-03-12T14:43:43"/>
        <d v="2026-03-12T14:39:36"/>
        <d v="2026-03-12T14:38:47"/>
        <d v="2026-03-12T14:38:02"/>
        <d v="2026-03-12T14:36:57"/>
        <d v="2026-03-12T14:36:44"/>
        <d v="2026-03-12T14:36:23"/>
        <d v="2026-03-12T14:34:37"/>
        <d v="2026-03-12T14:32:17"/>
        <d v="2026-03-12T14:29:22"/>
        <d v="2026-03-12T14:26:52"/>
        <d v="2026-03-12T14:24:48"/>
        <d v="2026-03-12T14:24:04"/>
        <d v="2026-03-12T14:21:10"/>
        <d v="2026-03-12T14:19:12"/>
        <d v="2026-03-12T14:12:32"/>
        <d v="2026-03-12T14:09:42"/>
        <d v="2026-03-12T14:09:15"/>
        <d v="2026-03-12T14:00:50"/>
        <d v="2026-03-12T14:00:30"/>
        <d v="2026-03-12T14:00:27"/>
        <d v="2026-03-12T13:57:26"/>
        <d v="2026-03-12T13:55:39"/>
        <d v="2026-03-12T13:55:35"/>
        <d v="2026-03-12T13:55:25"/>
        <d v="2026-03-12T13:55:12"/>
        <d v="2026-03-12T13:54:57"/>
        <d v="2026-03-12T13:52:04"/>
        <d v="2026-03-12T13:51:46"/>
        <d v="2026-03-12T13:51:17"/>
        <d v="2026-03-12T13:50:35"/>
        <d v="2026-03-12T13:49:58"/>
        <d v="2026-03-12T13:46:18"/>
        <d v="2026-03-12T13:45:24"/>
        <d v="2026-03-12T13:44:28"/>
        <d v="2026-03-12T13:43:51"/>
        <d v="2026-03-12T13:35:59"/>
        <d v="2026-03-12T13:03:41"/>
        <d v="2026-03-12T12:26:53"/>
        <d v="2026-03-12T12:25:59"/>
        <d v="2026-03-12T11:58:37"/>
        <d v="2026-03-12T11:48:56"/>
        <d v="2026-03-12T11:33:12"/>
        <d v="2026-03-12T11:28:45"/>
        <d v="2026-03-12T11:25:19"/>
        <d v="2026-03-12T11:22:22"/>
        <d v="2026-03-12T11:21:00"/>
        <d v="2026-03-12T11:18:50"/>
        <d v="2026-03-12T11:14:56"/>
        <d v="2026-03-12T11:14:46"/>
        <d v="2026-03-12T11:11:49"/>
        <d v="2026-03-12T11:04:46"/>
        <d v="2026-03-12T11:03:23"/>
        <d v="2026-03-12T11:03:18"/>
        <d v="2026-03-12T11:01:03"/>
        <d v="2026-03-12T10:58:52"/>
        <d v="2026-03-12T10:56:13"/>
        <d v="2026-03-12T10:55:18"/>
        <d v="2026-03-12T10:51:53"/>
        <d v="2026-03-12T10:51:05"/>
        <d v="2026-03-12T10:51:01"/>
        <d v="2026-03-12T10:50:14"/>
        <d v="2026-03-12T10:46:56"/>
        <d v="2026-03-12T10:42:03"/>
        <d v="2026-03-12T10:42:01"/>
        <d v="2026-03-12T10:40:52"/>
        <d v="2026-03-12T10:40:23"/>
        <d v="2026-03-12T10:36:13"/>
        <d v="2026-03-12T10:33:06"/>
        <d v="2026-03-12T10:31:39"/>
        <d v="2026-03-12T10:30:18"/>
        <d v="2026-03-12T10:30:17"/>
        <d v="2026-03-12T10:29:50"/>
        <d v="2026-03-12T10:29:12"/>
        <d v="2026-03-12T10:23:59"/>
        <d v="2026-03-12T10:21:02"/>
        <d v="2026-03-12T10:20:26"/>
        <d v="2026-03-12T10:17:22"/>
        <d v="2026-03-12T10:17:01"/>
        <d v="2026-03-12T10:16:15"/>
        <d v="2026-03-12T10:16:13"/>
        <d v="2026-03-12T10:13:10"/>
        <d v="2026-03-12T10:13:09"/>
        <d v="2026-03-12T10:12:58"/>
        <d v="2026-03-12T10:11:19"/>
        <d v="2026-03-12T10:10:15"/>
        <d v="2026-03-12T10:10:12"/>
        <d v="2026-03-12T10:08:34"/>
        <d v="2026-03-12T10:07:04"/>
        <d v="2026-03-12T10:06:44"/>
        <d v="2026-03-12T10:05:20"/>
        <d v="2026-03-12T10:05:12"/>
        <d v="2026-03-12T10:04:40"/>
        <d v="2026-03-12T10:04:37"/>
        <d v="2026-03-12T10:04:16"/>
        <d v="2026-03-12T10:04:06"/>
        <d v="2026-03-12T10:04:03"/>
        <d v="2026-03-12T10:04:01"/>
        <d v="2026-03-12T10:03:52"/>
        <d v="2026-03-12T10:03:49"/>
        <d v="2026-03-12T10:00:14"/>
        <d v="2026-03-12T09:59:19"/>
        <d v="2026-03-12T09:58:38"/>
        <d v="2026-03-12T09:56:59"/>
        <d v="2026-03-12T09:55:16"/>
        <d v="2026-03-12T09:51:39"/>
        <d v="2026-03-12T09:47:03"/>
        <d v="2026-03-12T09:46:26"/>
        <d v="2026-03-12T09:44:32"/>
        <d v="2026-03-12T09:43:12"/>
        <d v="2026-03-12T09:42:35"/>
        <d v="2026-03-12T09:40:26"/>
        <d v="2026-03-12T09:38:45"/>
        <d v="2026-03-12T09:37:23"/>
        <d v="2026-03-12T09:36:21"/>
        <d v="2026-03-12T09:35:47"/>
        <d v="2026-03-12T09:33:09"/>
        <d v="2026-03-12T09:33:06"/>
        <d v="2026-03-12T09:32:56"/>
        <d v="2026-03-12T09:32:29"/>
        <d v="2026-03-12T09:32:11"/>
        <d v="2026-03-12T09:31:31"/>
        <d v="2026-03-12T09:31:09"/>
        <d v="2026-03-12T09:31:07"/>
        <d v="2026-03-12T09:30:57"/>
        <d v="2026-03-12T09:30:52"/>
        <d v="2026-03-12T09:29:21"/>
        <d v="2026-03-12T09:29:13"/>
        <d v="2026-03-12T09:27:48"/>
        <d v="2026-03-12T09:24:05"/>
        <d v="2026-03-12T09:21:28"/>
        <d v="2026-03-12T09:21:24"/>
        <d v="2026-03-12T09:20:33"/>
        <d v="2026-03-12T09:20:16"/>
        <d v="2026-03-12T09:17:21"/>
        <d v="2026-03-12T09:16:23"/>
        <d v="2026-03-12T09:16:17"/>
        <d v="2026-03-12T09:16:14"/>
        <d v="2026-03-12T09:15:35"/>
        <d v="2026-03-12T09:15:19"/>
        <d v="2026-03-12T09:14:59"/>
        <d v="2026-03-12T09:14:09"/>
        <d v="2026-03-12T09:14:06"/>
        <d v="2026-03-12T09:13:22"/>
        <d v="2026-03-12T09:12:57"/>
        <d v="2026-03-12T09:12:56"/>
        <d v="2026-03-12T09:12:51"/>
        <d v="2026-03-12T09:12:31"/>
        <d v="2026-03-12T09:12:01"/>
        <d v="2026-03-12T09:10:24"/>
        <d v="2026-03-12T09:09:20"/>
        <d v="2026-03-12T09:09:19"/>
        <d v="2026-03-12T09:08:15"/>
        <d v="2026-03-12T09:07:49"/>
        <d v="2026-03-12T09:07:11"/>
        <d v="2026-03-12T09:06:26"/>
        <d v="2026-03-12T09:05:17"/>
        <d v="2026-03-12T09:05:13"/>
        <d v="2026-03-12T09:05:00"/>
        <d v="2026-03-12T09:04:17"/>
        <d v="2026-03-12T09:04:12"/>
        <d v="2026-03-12T09:03:26"/>
        <d v="2026-03-12T09:03:19"/>
        <d v="2026-03-12T09:03:06"/>
        <d v="2026-03-12T09:03:04"/>
        <d v="2026-03-12T09:03:02"/>
        <d v="2026-03-12T09:02:59"/>
        <d v="2026-03-12T09:02:55"/>
        <d v="2026-03-12T09:02:47"/>
        <d v="2026-03-12T09:02:25"/>
        <d v="2026-03-12T09:02:06"/>
        <d v="2026-03-12T09:01:27"/>
        <d v="2026-03-12T09:01:03"/>
        <d v="2026-03-12T09:00:44"/>
        <d v="2026-03-12T09:00:25"/>
        <d v="2026-03-12T09:00:09"/>
        <d v="2026-03-12T08:59:16"/>
        <d v="2026-03-12T08:58:58"/>
        <d v="2026-03-12T08:58:10"/>
        <d v="2026-03-12T08:56:01"/>
        <d v="2026-03-12T08:55:08"/>
        <d v="2026-03-12T08:54:11"/>
        <d v="2026-03-12T08:54:07"/>
        <d v="2026-03-12T08:54:03"/>
        <d v="2026-03-12T08:53:38"/>
        <d v="2026-03-12T08:52:45"/>
        <d v="2026-03-12T08:52:35"/>
        <d v="2026-03-12T08:52:33"/>
        <d v="2026-03-12T08:51:51"/>
        <d v="2026-03-12T08:50:50"/>
        <d v="2026-03-12T08:50:32"/>
        <d v="2026-03-12T08:50:01"/>
        <d v="2026-03-12T08:49:46"/>
        <d v="2026-03-12T08:49:38"/>
        <d v="2026-03-12T08:49:24"/>
        <d v="2026-03-12T08:48:10"/>
        <d v="2026-03-12T08:47:53"/>
        <d v="2026-03-12T08:47:36"/>
        <d v="2026-03-12T08:47:01"/>
        <d v="2026-03-12T08:46:53"/>
        <d v="2026-03-12T08:46:51"/>
        <d v="2026-03-12T08:46:50"/>
        <d v="2026-03-12T08:46:47"/>
        <d v="2026-03-12T08:46:33"/>
        <d v="2026-03-12T08:45:46"/>
        <d v="2026-03-12T08:45:34"/>
        <d v="2026-03-12T08:45:32"/>
        <d v="2026-03-12T08:45:04"/>
        <d v="2026-03-12T08:44:41"/>
        <d v="2026-03-12T08:44:22"/>
        <d v="2026-03-12T08:44:07"/>
        <d v="2026-03-12T08:44:00"/>
        <d v="2026-03-12T08:43:35"/>
        <d v="2026-03-12T08:42:53"/>
        <d v="2026-03-12T08:42:44"/>
        <d v="2026-03-12T08:42:38"/>
        <d v="2026-03-12T08:42:14"/>
        <d v="2026-03-12T08:42:12"/>
        <d v="2026-03-12T08:41:07"/>
        <d v="2026-03-12T08:40:40"/>
        <d v="2026-03-12T08:40:30"/>
        <d v="2026-03-12T08:39:16"/>
        <d v="2026-03-12T08:38:49"/>
        <d v="2026-03-12T08:38:12"/>
        <d v="2026-03-12T08:37:59"/>
        <d v="2026-03-12T08:37:51"/>
        <d v="2026-03-12T08:37:41"/>
        <d v="2026-03-12T08:37:13"/>
        <d v="2026-03-12T08:36:44"/>
        <d v="2026-03-12T08:36:43"/>
        <d v="2026-03-12T08:36:41"/>
        <d v="2026-03-12T08:36:36"/>
        <d v="2026-03-12T08:36:33"/>
        <d v="2026-03-12T08:36:31"/>
        <d v="2026-03-12T08:35:52"/>
        <d v="2026-03-12T08:35:35"/>
        <d v="2026-03-12T08:33:07"/>
        <d v="2026-03-12T08:32:49"/>
        <d v="2026-03-12T08:32:28"/>
        <d v="2026-03-12T08:32:25"/>
        <d v="2026-03-12T08:32:24"/>
        <d v="2026-03-12T08:30:55"/>
        <d v="2026-03-12T08:30:54"/>
        <d v="2026-03-12T08:30:30"/>
        <d v="2026-03-12T08:30:27"/>
        <d v="2026-03-12T08:30:23"/>
        <d v="2026-03-12T08:30:20"/>
        <d v="2026-03-12T08:28:59"/>
        <d v="2026-03-12T08:28:38"/>
        <d v="2026-03-12T08:28:26"/>
        <d v="2026-03-12T08:21:32"/>
        <d v="2026-03-12T08:20:50"/>
        <d v="2026-03-12T08:18:31"/>
        <d v="2026-03-12T07:00:18"/>
      </sharedItems>
    </cacheField>
    <cacheField name="记录名称" numFmtId="0">
      <sharedItems count="1">
        <s v="指标-工时"/>
      </sharedItems>
    </cacheField>
    <cacheField name="工时（分钟）" numFmtId="0">
      <sharedItems containsSemiMixedTypes="0" containsString="0" containsNumber="1" minValue="0" maxValue="1010" count="150">
        <n v="510"/>
        <n v="660"/>
        <n v="600"/>
        <n v="690"/>
        <n v="610"/>
        <n v="255"/>
        <n v="556"/>
        <n v="550"/>
        <n v="525"/>
        <n v="750"/>
        <n v="310"/>
        <n v="85"/>
        <n v="400"/>
        <n v="620"/>
        <n v="120"/>
        <n v="90"/>
        <n v="300"/>
        <n v="520"/>
        <n v="540"/>
        <n v="127"/>
        <n v="170"/>
        <n v="60"/>
        <n v="102"/>
        <n v="480"/>
        <n v="129"/>
        <n v="0"/>
        <n v="537"/>
        <n v="150"/>
        <n v="200"/>
        <n v="535"/>
        <n v="630"/>
        <n v="260"/>
        <n v="250"/>
        <n v="605"/>
        <n v="530"/>
        <n v="570"/>
        <n v="518"/>
        <n v="240"/>
        <n v="528"/>
        <n v="585"/>
        <n v="330"/>
        <n v="72"/>
        <n v="710"/>
        <n v="544"/>
        <n v="210"/>
        <n v="180"/>
        <n v="612"/>
        <n v="78"/>
        <n v="519"/>
        <n v="515"/>
        <n v="204"/>
        <n v="306"/>
        <n v="39"/>
        <n v="42"/>
        <n v="549"/>
        <n v="523"/>
        <n v="560"/>
        <n v="15"/>
        <n v="513"/>
        <n v="580"/>
        <n v="100"/>
        <n v="561"/>
        <n v="365"/>
        <n v="720"/>
        <n v="780"/>
        <n v="390"/>
        <n v="541"/>
        <n v="360"/>
        <n v="516"/>
        <n v="624"/>
        <n v="270"/>
        <n v="450"/>
        <n v="220"/>
        <n v="588"/>
        <n v="700"/>
        <n v="765"/>
        <n v="810"/>
        <n v="639"/>
        <n v="285"/>
        <n v="736"/>
        <n v="51"/>
        <n v="420"/>
        <n v="459"/>
        <n v="500"/>
        <n v="590"/>
        <n v="721"/>
        <n v="130"/>
        <n v="230"/>
        <n v="740"/>
        <n v="633"/>
        <n v="718"/>
        <n v="460"/>
        <n v="640"/>
        <n v="603"/>
        <n v="650"/>
        <n v="542"/>
        <n v="36"/>
        <n v="70"/>
        <n v="56"/>
        <n v="598"/>
        <n v="526"/>
        <n v="62"/>
        <n v="63"/>
        <n v="517"/>
        <n v="555"/>
        <n v="655"/>
        <n v="69"/>
        <n v="190"/>
        <n v="634"/>
        <n v="80"/>
        <n v="680"/>
        <n v="547"/>
        <n v="800"/>
        <n v="573"/>
        <n v="565"/>
        <n v="617"/>
        <n v="225"/>
        <n v="280.5"/>
        <n v="527"/>
        <n v="704"/>
        <n v="229.5"/>
        <n v="140"/>
        <n v="312"/>
        <n v="408"/>
        <n v="534"/>
        <n v="30"/>
        <n v="615"/>
        <n v="531"/>
        <n v="627"/>
        <n v="8"/>
        <n v="596"/>
        <n v="582"/>
        <n v="562"/>
        <n v="514"/>
        <n v="870"/>
        <n v="357"/>
        <n v="572"/>
        <n v="8.5"/>
        <n v="533"/>
        <n v="524"/>
        <n v="745"/>
        <n v="860"/>
        <n v="609"/>
        <n v="110"/>
        <n v="123"/>
        <n v="548"/>
        <n v="621"/>
        <n v="1010"/>
        <n v="50"/>
        <n v="636"/>
      </sharedItems>
    </cacheField>
    <cacheField name="姓名" numFmtId="0">
      <sharedItems count="408">
        <s v="邢逸云"/>
        <s v="高源"/>
        <s v="包惠"/>
        <s v="张典兵"/>
        <s v="陈烨"/>
        <s v="雷露"/>
        <s v="吕恩元"/>
        <s v="陈旭东"/>
        <s v="胡丽"/>
        <s v="秦连奥"/>
        <s v="胡文彬"/>
        <s v="任凯"/>
        <s v="单丽可"/>
        <s v="徐宥"/>
        <s v="梁天蕾"/>
        <s v="姚彬晖"/>
        <s v="吴杰"/>
        <s v="曹婷"/>
        <s v="余晶鑫"/>
        <s v="陈粉玲"/>
        <s v="童加明"/>
        <s v="桑双双"/>
        <s v="吴梦飞"/>
        <s v="王楚齐"/>
        <s v="李宇"/>
        <s v="桂贝"/>
        <s v="周井茹"/>
        <s v="刘洲"/>
        <s v="王娟"/>
        <s v="尚佳宝"/>
        <s v="符伟"/>
        <s v="李梁"/>
        <s v="孙建国"/>
        <s v="曹树森"/>
        <s v="胡艳红"/>
        <s v="郑于东"/>
        <s v="扶子懿"/>
        <s v="王正超"/>
        <s v="盛万之"/>
        <s v="楚江江"/>
        <s v="王尧"/>
        <s v="童勇"/>
        <s v="杨鑫"/>
        <s v="张海山"/>
        <s v="张伟（高伟达）"/>
        <s v="李禹凝"/>
        <s v="王琪"/>
        <s v="陈蕾"/>
        <s v="焦一凯"/>
        <s v="刘军伟"/>
        <s v="张海艳"/>
        <s v="吴丽华"/>
        <s v="李广业"/>
        <s v="蔡力捷"/>
        <s v="蔡家杰"/>
        <s v="张杜娟"/>
        <s v="张陶煜"/>
        <s v="张雅淇"/>
        <s v="胡雯"/>
        <s v="陈凌云"/>
        <s v="刘云龙"/>
        <s v="郭志勇"/>
        <s v="吴佛临"/>
        <s v="金悦"/>
        <s v="唐康振"/>
        <s v="蒋北平"/>
        <s v="张龙宇"/>
        <s v="王荧荧"/>
        <s v="韩润乾"/>
        <s v="吴高宇"/>
        <s v="张嬉云"/>
        <s v="尹天骄"/>
        <s v="杨磊"/>
        <s v="赵幸"/>
        <s v="马荣荣"/>
        <s v="翁世杰"/>
        <s v="陈晨"/>
        <s v="冯莉杰"/>
        <s v="夏清鹏"/>
        <s v="郭帅"/>
        <s v="盛健钢"/>
        <s v="李博雅"/>
        <s v="崔建文"/>
        <s v="李洋"/>
        <s v="戴艳"/>
        <s v="王言哲"/>
        <s v="郝佳佳"/>
        <s v="李钰"/>
        <s v="鞠婉莹"/>
        <s v="沈子新"/>
        <s v="尚茂国"/>
        <s v="钱弘"/>
        <s v="马亦沁"/>
        <s v="唐世阳"/>
        <s v="胡玉"/>
        <s v="李香云"/>
        <s v="任欣宇"/>
        <s v="魏佳翔"/>
        <s v="戴佳奇"/>
        <s v="时东旭"/>
        <s v="陆凌姣"/>
        <s v="唐驾云"/>
        <s v="宋奇"/>
        <s v="周影"/>
        <s v="吴越"/>
        <s v="杨康平"/>
        <s v="韩心怡"/>
        <s v="阮靖龙"/>
        <s v="张雨轩"/>
        <s v="顾粉霞"/>
        <s v="刘宝琴"/>
        <s v="李春博"/>
        <s v="高明耀"/>
        <s v="史蕙丹"/>
        <s v="丁继芳"/>
        <s v="王浩"/>
        <s v="董鑫"/>
        <s v="崔明骅"/>
        <s v="吕晶"/>
        <s v="陆凯华"/>
        <s v="郑卞钰"/>
        <s v="徐光辉"/>
        <s v="窦博文"/>
        <s v="张积祥"/>
        <s v="李卓辉"/>
        <s v="黄哲睿"/>
        <s v="李浩"/>
        <s v="邹小芳"/>
        <s v="王萌萌"/>
        <s v="周龙"/>
        <s v="席健勇"/>
        <s v="梅凯磊"/>
        <s v="孙坤"/>
        <s v="马瑜曼"/>
        <s v="刘雪松"/>
        <s v="陈逸枫"/>
        <s v="冯晓煜"/>
        <s v="庄培鑫"/>
        <s v="林幸"/>
        <s v="卫彩萍"/>
        <s v="赵家乐"/>
        <s v="陈科宇"/>
        <s v="王春雨"/>
        <s v="夏秋冬"/>
        <s v="马富强"/>
        <s v="李小帅"/>
        <s v="鞠爱宁"/>
        <s v="陆佳文"/>
        <s v="张必歌"/>
        <s v="濮敏"/>
        <s v="嵇雅娟"/>
        <s v="刘梦颖"/>
        <s v="陈笑轩"/>
        <s v="李莉"/>
        <s v="蒋书润"/>
        <s v="于中宝"/>
        <s v="佟嘉欣"/>
        <s v="郑磊"/>
        <s v="田晓慧"/>
        <s v="张放"/>
        <s v="连静"/>
        <s v="陈彦百"/>
        <s v="俞娟"/>
        <s v="蔡秀雯"/>
        <s v="景丞"/>
        <s v="柴求送"/>
        <s v="丁晨"/>
        <s v="潘修滔"/>
        <s v="朱嘉玮"/>
        <s v="任西川"/>
        <s v="叶胜"/>
        <s v="任雪芹"/>
        <s v="伏俊杰"/>
        <s v="胡庆"/>
        <s v="许凤"/>
        <s v="梁晓旭"/>
        <s v="蒋捷"/>
        <s v="王洪义"/>
        <s v="郭子瑞"/>
        <s v="曹建平"/>
        <s v="祁鑫"/>
        <s v="裴佳翔"/>
        <s v="陈飞"/>
        <s v="宋修峰"/>
        <s v="龚毅磊"/>
        <s v="黄亦豪"/>
        <s v="钱德鑫"/>
        <s v="张广深"/>
        <s v="陆文捷"/>
        <s v="高复生"/>
        <s v="郑金雨"/>
        <s v="黄振亚"/>
        <s v="李维浩"/>
        <s v="刁磊"/>
        <s v="徐倩茹"/>
        <s v="张顺"/>
        <s v="李坤"/>
        <s v="许珂桢"/>
        <s v="王泽"/>
        <s v="何秀东"/>
        <s v="赵雅婷"/>
        <s v="汪紫薇"/>
        <s v="徐倩"/>
        <s v="陈敏英"/>
        <s v="张文骏"/>
        <s v="宋海永"/>
        <s v="陈虹昆"/>
        <s v="陈睿菁"/>
        <s v="吴薇"/>
        <s v="罗迪"/>
        <s v="曹翔"/>
        <s v="游裕思"/>
        <s v="顾颖杰"/>
        <s v="安新宜"/>
        <s v="张学应"/>
        <s v="刘惠"/>
        <s v="张依然"/>
        <s v="冯潇"/>
        <s v="王凡"/>
        <s v="伍恒"/>
        <s v="沈志贇"/>
        <s v="张莉莺"/>
        <s v="刘曼莉"/>
        <s v="卫彩云"/>
        <s v="万珊红"/>
        <s v="郭旖霏"/>
        <s v="余倩颖"/>
        <s v="赵迎新"/>
        <s v="顾艺萍"/>
        <s v="韩磊"/>
        <s v="朱天宇"/>
        <s v="梅苏源"/>
        <s v="范永玲"/>
        <s v="张倩"/>
        <s v="施浩"/>
        <s v="康冉"/>
        <s v="李秋丽"/>
        <s v="宛蕾"/>
        <s v="陆呈杰"/>
        <s v="万可"/>
        <s v="钱磊"/>
        <s v="刘金良"/>
        <s v="陈敏捷"/>
        <s v="谢春明"/>
        <s v="秦悦"/>
        <s v="程润铎"/>
        <s v="张阳阳"/>
        <s v="张丹阳"/>
        <s v="王曦东"/>
        <s v="陈世辉"/>
        <s v="施云"/>
        <s v="朱笛"/>
        <s v="丁林浩"/>
        <s v="肖维康"/>
        <s v="高天宁"/>
        <s v="李锦汇"/>
        <s v="张佳"/>
        <s v="刘晓旻"/>
        <s v="孙燿南"/>
        <s v="翟俊哲"/>
        <s v="周亦婷"/>
        <s v="张赫"/>
        <s v="张漫"/>
        <s v="李思"/>
        <s v="范荣"/>
        <s v="张仰骏"/>
        <s v="张进博"/>
        <s v="于泽民"/>
        <s v="许天凝"/>
        <s v="卢恒昊"/>
        <s v="思会生"/>
        <s v="卢书坤"/>
        <s v="季一帆"/>
        <s v="袁芳"/>
        <s v="张镓奇"/>
        <s v="邱才"/>
        <s v="邵金婷"/>
        <s v="郭逊"/>
        <s v="朱苏波"/>
        <s v="金星"/>
        <s v="姚志环"/>
        <s v="樊盼盼"/>
        <s v="杨婧"/>
        <s v="何桂川"/>
        <s v="陈晓冬"/>
        <s v="秦杰"/>
        <s v="姜涛"/>
        <s v="章笑宇"/>
        <s v="陈朗"/>
        <s v="贾佳"/>
        <s v="陶婉蕊"/>
        <s v="杨五一"/>
        <s v="于俊杰"/>
        <s v="诸倩铷"/>
        <s v="胡帆"/>
        <s v="桑金城"/>
        <s v="范晓荣"/>
        <s v="常小奇"/>
        <s v="邓翠翠"/>
        <s v="石宝"/>
        <s v="曹婕"/>
        <s v="居振宇"/>
        <s v="汪子健"/>
        <s v="占桐"/>
        <s v="保国鑫"/>
        <s v="陈玉思"/>
        <s v="吴小倩"/>
        <s v="李凯文"/>
        <s v="姜楠"/>
        <s v="田振宇"/>
        <s v="屠林枫"/>
        <s v="罗学珍"/>
        <s v="刘亮亮"/>
        <s v="佟娇汕"/>
        <s v="周至博"/>
        <s v="赵晨曦"/>
        <s v="王双钰"/>
        <s v="张虎"/>
        <s v="王振永"/>
        <s v="艾诗佳"/>
        <s v="龚晓倩"/>
        <s v="李澳"/>
        <s v="张曼育"/>
        <s v="张文鑫"/>
        <s v="王友轩"/>
        <s v="李天卓"/>
        <s v="李轩"/>
        <s v="孙婉玉"/>
        <s v="马文叶"/>
        <s v="金潇潇"/>
        <s v="李荣佳"/>
        <s v="白金玉"/>
        <s v="陈春辉"/>
        <s v="汪鹏"/>
        <s v="王正萍"/>
        <s v="王雪芳"/>
        <s v="祝仁永"/>
        <s v="任星雨"/>
        <s v="程非池"/>
        <s v="易艺"/>
        <s v="王春丽"/>
        <s v="张增磊"/>
        <s v="文华"/>
        <s v="柴壮"/>
        <s v="于凌锋"/>
        <s v="黄俊伟"/>
        <s v="树丙云"/>
        <s v="李红兵"/>
        <s v="赖远峰"/>
        <s v="满建超"/>
        <s v="严倩倩"/>
        <s v="李泓锟"/>
        <s v="高嵩"/>
        <s v="黎小玉"/>
        <s v="杨昱隆"/>
        <s v="南威"/>
        <s v="盛玮云"/>
        <s v="余雪菲"/>
        <s v="王世杰"/>
        <s v="陆慧"/>
        <s v="顾永星"/>
        <s v="吕丽丽"/>
        <s v="许光侠"/>
        <s v="闫婷"/>
        <s v="李敏吉"/>
        <s v="郑斌"/>
        <s v="徐梦丽"/>
        <s v="沈汉超"/>
        <s v="匡瑞敏"/>
        <s v="原琳皓"/>
        <s v="夏萌泽"/>
        <s v="戴佳伟"/>
        <s v="王堂漫"/>
        <s v="何云凤"/>
        <s v="周行"/>
        <s v="刘强"/>
        <s v="吴睿"/>
        <s v="徐旻涵"/>
        <s v="陈佳宁"/>
        <s v="刘利强"/>
        <s v="肖宽"/>
        <s v="王灵娜"/>
        <s v="胡彪"/>
        <s v="罗仁杰"/>
        <s v="陈永祥"/>
        <s v="石伟"/>
        <s v="杜乐"/>
        <s v="王子枫"/>
        <s v="郝晓丽"/>
        <s v="王伟"/>
        <s v="王柯翰"/>
        <s v="薛永永"/>
        <s v="张子璐"/>
        <s v="周喆宇"/>
        <s v="兰昕蕾"/>
        <s v="史朋飞"/>
        <s v="冯植"/>
        <s v="白迪"/>
        <s v="朱江涛"/>
        <s v="骆静龙"/>
        <s v="刘晓丹"/>
        <s v="李响"/>
        <s v="廖宇杰"/>
        <s v="朱文川"/>
        <s v="黄将平"/>
        <s v="袁凯"/>
        <s v="胡帆_x0009_"/>
        <s v="丁晨_x0009_"/>
      </sharedItems>
    </cacheField>
    <cacheField name="任务描述" numFmtId="0">
      <sharedItems count="1053">
        <s v="udas_e_gs_corp_dpst_bal_hd开发"/>
        <s v="反诈个人账户风险分模型数据探查"/>
        <s v="MRP迁移"/>
        <s v="公司客户关系管理开发-CCRM-X20250409000030"/>
        <s v="对公CRM移动端-新增周报管理功能-需求和系统分析"/>
        <s v="X20250612000039_模型新增互联网标签"/>
        <s v="KPI项目-KPI页面配置调整及数据验证"/>
        <s v="视图底表构建-天正"/>
        <s v="X20240108000018__慧信工程-监管报送集市建设_第8批次"/>
        <s v="MMM日常维护4"/>
        <s v="一表通配合测试"/>
        <s v="客户经理业绩功能-CRM集市开发"/>
        <s v="X20250305000005-BDPHADP"/>
        <s v="KPI项目-非标准化下钻页面-UDAS数据开发"/>
        <s v="CAFBDM开发任务"/>
        <s v="监管可信区-银丰"/>
        <s v="帆软看板开发---蔡、陈"/>
        <s v="风险模块功能优化"/>
        <s v="X20260106000017-BDPHADP"/>
        <s v="X20240119000030-大数据仓库及应用系统数据时效治理专项优化项目(2024年)-第2批次"/>
        <s v="CAFBDM开发"/>
        <s v="【数据仓库集群】数据仓库集群配合优化"/>
        <s v="MRP开发"/>
        <s v="网点交易需求-掌上行开发"/>
        <s v="X20251027000041-BDPDWS"/>
        <s v="UDAS对公模型优化整合分析"/>
        <s v="数仓模型设计--李、胡"/>
        <s v="产品设计--崔"/>
        <s v="整合模型追数"/>
        <s v="crm开发进度对齐会"/>
        <s v="架构会-crm访问wps"/>
        <s v="【会议邀请】CRM接口改造事项讨论"/>
        <s v="关于对公外币账户E开户需求讨论会的会议通知"/>
        <s v="大数据开发"/>
        <s v="finebibi看板"/>
        <s v="易鑫-BDPHADP-CDA/整合模型"/>
        <s v="RAD&amp;RSD衍生区维护7"/>
        <s v="FDM 个贷支行分成 平台贷分成开发"/>
        <s v="票易贷数据迁移_BDPHADP-开发看板"/>
        <s v="南通众和_BDPHADP"/>
        <s v="对公CRM内个人敏感信息脱敏展示-PC"/>
        <s v="分行视图"/>
        <s v="X20251027000041-CAFBDM"/>
        <s v="智能问数-skill框架集成"/>
        <s v="【例行工作】可视化报表助手应用运维"/>
        <s v="征信送报送改动"/>
        <s v="关于建设重点科技企业金融服务统计表及经营分析看板的需求"/>
        <s v="司库智能问数-dimension上传和召回检索功能开发"/>
        <s v="云掌柜-AI外呼任务处理"/>
        <s v="运营集市开发"/>
        <s v="工作交接"/>
        <s v="【例行工作】需求调研及对接"/>
        <s v="【例行工作】生产运维"/>
        <s v="日常需求对接"/>
        <s v="刘云龙2026Q1"/>
        <s v="财政卸数调整"/>
        <s v="RAD主体应用功能开发测试-RAD"/>
        <s v="掌上行4.5A模式-测试"/>
        <s v="零售催收系统对接新决策引擎"/>
        <s v="S93-RBW 3个作业需改造以及多轮回归测试"/>
        <s v="2026Q1"/>
        <s v="dataops ui设计"/>
        <s v="X20260105000030_实时断点任务名单服务外呼情况分析、客诉团队派单系统分行机构调整、体验团队核身专项分析需求"/>
        <s v="1104配合测试"/>
        <s v="11月第一周可疑社团分析"/>
        <s v="BDPHADP-大数据配合入仓"/>
        <s v="【例行工作】日常运维工作"/>
        <s v="CRM集市代发开发_丰富存量企业营销标签_X20250522000026_2025年零售CRM代发功能优化业务需求书"/>
        <s v="X20260126000013-2026年对公结算活跃客户经营分析需求书-补充报工"/>
        <s v="反诈机器学习模型0327版本开发测试"/>
        <s v="根据批注意见修改DCMM5咨询评估项目合同模板"/>
        <s v="KPI项目-非标准化下钻页面-掌上行页面开发"/>
        <s v="工时填报-反洗钱日常需求对接"/>
        <s v="X20251103000036_关于网点汇总数据的优化需求_二批次NRP"/>
        <s v="RBW迁移时效优化天正"/>
        <s v="鞠婉莹2026Q1"/>
        <s v="信贷场景MVP版本327版本开发"/>
        <s v="关于信用卡业务EAST报送数据治理的项目第2批次-X20250915000014-M.RCI.QYTS-区域特色报表"/>
        <s v="稳增长优化报表"/>
        <s v="生产事件复盘"/>
        <s v="客户经理业绩功能改造"/>
        <s v="数据安全管理能力提升专项行动"/>
        <s v="报销"/>
        <s v="招聘事宜"/>
        <s v="联合征信百望接口开发"/>
        <s v="智能问数功能数据服务API接口开发"/>
        <s v="春季校招面试"/>
        <s v="CRM应用测试进度跟踪"/>
        <s v="MIS_1批次_X20260127000009_关于调整2026年信用卡五级分类报送逻辑的开发需求书"/>
        <s v="大模型智能体开发--提取质押券信息"/>
        <s v="S93-AML集市需配合8个脚本改造"/>
        <s v="CCM集市_清包袱工作项"/>
        <s v="【例行工作】--架构评审例会-20260312、20260319、20260325"/>
        <s v="CCM清包袱-集成需求"/>
        <s v="宇信-个人贷款发生额"/>
        <s v="CCM普惠切换整合模型"/>
        <s v="供应商考核管理"/>
        <s v="普惠需求推进"/>
        <s v="影响性分析"/>
        <s v="DWSCRM清包袱分析梳理"/>
        <s v="数据仓库治理"/>
        <s v="openclaw研究学习"/>
        <s v="生产_智能问数实体召回策略优化"/>
        <s v="对公中收调整"/>
        <s v="关于信用卡业务EAST报送数据治理的项目第2批次-X20250915000014-大数据应用一队"/>
        <s v="【清包袱】--应用集市清包袱配合模型设计"/>
        <s v="零售贷款模型下沉掌上行页面修改"/>
        <s v="贷款补贴改外币合意补录_ccm"/>
        <s v="X20251218000036_金融基础数据数据核对表开发-FIBDS"/>
        <s v="中试基地材料准备"/>
        <s v="【例行工作】RAD日会"/>
        <s v="【例行工作】RAD信号比对"/>
        <s v="RAD硬件资源整理"/>
        <s v="普惠模型优化"/>
        <s v="视图底表构建-天阳"/>
        <s v="【口径答疑】--数据口径、对外答疑支持"/>
        <s v="【例行工作】作为产品经理每周进行需求评审0309-0313"/>
        <s v="【慧信工程】--项目收尾与验收"/>
        <s v="【本体MVP项目】--对公尽调&amp;流水分析"/>
        <s v="南通众和_dws_CDI"/>
        <s v="实时接入日常"/>
        <s v="【例行工作】大数据仓库ETL任务专项治理跟踪-202603"/>
        <s v="征信日常运维"/>
        <s v="小组日常管理事项"/>
        <s v="【例行工作】业务术语和数据标准梳理"/>
        <s v="【例行工作】 DataOps 模型设计模块"/>
        <s v="【清包袱】--整合模型分析设计"/>
        <s v="【AI研究】 --字段级血缘研究、云端小龙虾部署、行内vscode对接大模型研究"/>
        <s v="生产问题运维"/>
        <s v="需求调研及分析"/>
        <s v="【例行工作】监管报送类系统信创材料收集统计"/>
        <s v="金融基础数据模型计算区开发-cafbdm-X20250409000030"/>
        <s v="同业存款、三方存管低成本负债逻辑调整"/>
        <s v="UDAS多sheet导出、日期框备注等测试"/>
        <s v="对公存款掌上行页面配置切换"/>
        <s v="crm apaas发布问题沟通，技术研发部、测试部"/>
        <s v="活体检测开发"/>
        <s v="【例行工作】DWS数仓&amp;HCS云平台运维"/>
        <s v="X20260210000035_征信报送优化需求"/>
        <s v="【例行工作】区域特色慧信切换测试"/>
        <s v="流水鉴真场景327版本开发"/>
        <s v="RSD版本投产"/>
        <s v="反诈个人账户分模型特征构建"/>
        <s v="X20260106000017-CACRS"/>
        <s v="FRM日常需求分析"/>
        <s v="司库智能问数原子AGENT开发"/>
        <s v="关于优化企微客户认证和联系记录数据的 实时需求开发"/>
        <s v="一户一策需求实现方案讨论"/>
        <s v="实时采集界面及流程设计——web端前后端开发"/>
        <s v="X20251015000012-深圳分行接入人民币跨境收付信息管理系统自由贸易账户子系统总分改造业务需求"/>
        <s v="【需求】核查表"/>
        <s v="【例行工作】金数慧信对比工作事项"/>
        <s v="【金数日常工作】"/>
        <s v="工时填报"/>
        <s v="指纹认证系统企业手机银行数据迁移"/>
        <s v="dataops建设"/>
        <s v="MVP测试"/>
        <s v="数仓测试每日进度跟踪"/>
        <s v="智能体评测外部交流会"/>
        <s v="关联图谱句柄较高分析"/>
        <s v="【刷数】FW0122026022700014_总行法律合规部生产后台数据修改申请"/>
        <s v="【反洗钱项目】-反洗钱2025年度项目"/>
        <s v="开组会"/>
        <s v="【例行工作】AI理想架构方案设计与评审"/>
        <s v="【反洗钱项目】反洗钱监测性能提升项目"/>
        <s v="[例行工作]-反洗钱报送提数刷数运维答疑等"/>
        <s v="[日常工作]应用运维"/>
        <s v="豆包系统登录_RPAM"/>
        <s v="Dataops数据开发模块需求分析设计及UI设计"/>
        <s v="征信3月版投产流程"/>
        <s v="客户旅程实时调研"/>
        <s v="授管看板开发"/>
        <s v="智能问数标准化取数工具封装(基于Langchain)"/>
        <s v="AI需求分发/评审"/>
        <s v="景丞-工作事项"/>
        <s v="X20260128000012_抖音放心借风险行为评分卡指标加工PRM数据开发"/>
        <s v="【日常运维】3月第四周批量日常监控运维"/>
        <s v="【例行工作】DAMP痛点会议"/>
        <s v="创景AI客户经营"/>
        <s v="DWS数据集群开发-BDPDWS-X20250409000030"/>
        <s v="【会议邀请】《X20251107000051_云网点视频能力迁移》排期会"/>
        <s v="金市-债券OCI账户资产配置规划求解-demo开发"/>
        <s v="非柜接口_PCRM"/>
        <s v="ALM新增需求沟通调研分析、数据调研开发"/>
        <s v="【例行工作】RAD衍生区日常"/>
        <s v="【供应链报送】票交所报送需求澄清与分析"/>
        <s v="【运维】理财资金信托报送&amp;标准化存贷款报送下线跟进"/>
        <s v="数据安全相关材料检查"/>
        <s v="督办事项跟进&amp;信息收集"/>
        <s v="X20240119000030_时效治理优化项目第二批次"/>
        <s v="项目-研报解读分析"/>
        <s v=" 统一报表及指标平台配合-UDAS-X20250409000030"/>
        <s v="dftm传输事项沟通"/>
        <s v="信贷场景MVP327版本上线准备"/>
        <s v="活体检测小程序推流服务升级需求书_第1批次"/>
        <s v="征信查询用户体验优化需求-人行征信"/>
        <s v="培训材料"/>
        <s v="车贷人行规则迭代、策略部署、挡板调整及支持UAT联调测试"/>
        <s v="一表通三期"/>
        <s v="慧信-新监管报送集市配合测试"/>
        <s v="【例行工作】监管报送集市投产内容代码评审"/>
        <s v="车生态迁移-配合改造"/>
        <s v="信用卡分期业务财政贴息功能开发需求-配合改造"/>
        <s v="X20260211000032_对公信贷智能化提升项目_PJ2026025"/>
        <s v="现金统计报送数据侧开发及测试"/>
        <s v="Dify平台新增投资智库分析助手需求（Dify工作流部署）"/>
        <s v="【例行工作】大模型智能体平台运营、用户答疑"/>
        <s v="人脸识别-四月统一生物识别"/>
        <s v="【普惠信贷MVP】尽调场景日常推进、上线准备"/>
        <s v="BDAS.DSM_数据服务中心接口功能开发"/>
        <s v="新增存单AI交易员"/>
        <s v="统一影像识别-发票核验功能"/>
        <s v="印章大模型识别"/>
        <s v="首页AUM/客户数据准实时数据展示_PCRM"/>
        <s v="华为本体场景建设"/>
        <s v="风险板块需求沟通"/>
        <s v="对公账户分类识别"/>
        <s v="基础板块需求分析_0323"/>
        <s v="【账户报送】工作事项"/>
        <s v="【需求】需求投产前准备事项"/>
        <s v="【例行工作】保证贷款日报工作事项"/>
        <s v="【监管计算区检核】计算区检核规则配置工作事项"/>
        <s v="反洗钱报送日常运维"/>
        <s v="技改项目问题修复"/>
        <s v="反洗钱2025年度项目"/>
        <s v="人工新增报文刷数"/>
        <s v="组会"/>
        <s v="讨论反洗钱本体论会议"/>
        <s v="客户经理业绩功能-CRM PC端开发"/>
        <s v="多渠道外呼营销标签管理及频次控制需求_BDPHADP"/>
        <s v="对公CRM内个人敏感信息脱敏展示-APP"/>
        <s v="数据对标--陈敏英"/>
        <s v="客户尽调模型设计"/>
        <s v="使用RPA查找发送短信_RPAM_X20260302000012"/>
        <s v="清包袱需求对接"/>
        <s v="OA审批需求"/>
        <s v="需求事宜相关督办"/>
        <s v="ADPM预审需求"/>
        <s v="每日需求问题处理"/>
        <s v="实时采集界面及流程设计_运行页面区分实时和离线"/>
        <s v="《系统架构设计师教程》_学习"/>
        <s v="BDAS.DSM_数据服务中心更新两个接口，全转增"/>
        <s v="接口开发"/>
        <s v="积分商城数据迁移"/>
        <s v="cacrs_卡交验配合测试"/>
        <s v="【日常工作】项目、需求、运维单、事件等处理"/>
        <s v="审计老系统数据迁移"/>
        <s v="RAD并行期测试跟踪"/>
        <s v="【例行工作】大数据平台运维"/>
        <s v="实时采集界面及流程设计"/>
        <s v="X20250306000014 关于信用卡催收V3.0-催收智能管理的项目需求"/>
        <s v="本体论_31张表采集hive数据到doris_20260326"/>
        <s v="3月27日版UAT测试"/>
        <s v="3月27日版上线准备"/>
        <s v="3月23日~3月27日入仓切换采集配合"/>
        <s v="张莉莺2026Q1"/>
        <s v="招聘相关工作处理"/>
        <s v="厂商人员入场账号及日常问题处理"/>
        <s v="监管缺陷"/>
        <s v="【生产事件排查】"/>
        <s v="【暂无需求】--需求未开始前沟通调研"/>
        <s v="2026年第1季度_总行小金部(宇信中级开发） "/>
        <s v="项目流程质量管理"/>
        <s v="信用风险监测预警平台项目支持"/>
        <s v="RPBC.DIS配合开发"/>
        <s v="需求开发测试"/>
        <s v="房贷逾期回收率优化"/>
        <s v="张倩 集市运维"/>
        <s v="康冉3.23-3.27"/>
        <s v="对公存款掌上行切换数据验证"/>
        <s v="【AI客户经营】智能外呼分析"/>
        <s v="信用卡管控无有效信用卡可挽留客户基础画像分析及客户聚类"/>
        <s v="慧信工程-监管报送集市建设"/>
        <s v="设计对公CRM技术架构"/>
        <s v="M.RCI.1104_X20260204000053"/>
        <s v="手机号脱敏"/>
        <s v="【客服26Q1_秦悦】X20260105000029_客服中心养老金获客看板线上化及名单资源分布情况提取需求"/>
        <s v="任务调度模块开发"/>
        <s v="大模型训练小模型开发"/>
        <s v="党务工作"/>
        <s v="工会"/>
        <s v="临时工作"/>
        <s v="智能演化平台前后端对接"/>
        <s v="数仓投产质量周报"/>
        <s v="ASONE及金管局需求分析-RPAM-X20260204000032"/>
        <s v="机构改造第二批次"/>
        <s v="2025反洗钱优化项目"/>
        <s v="存单AI交易员"/>
        <s v="财报指标提取"/>
        <s v="证券除权日期同花顺系统检查_RPAM_"/>
        <s v="X20241014000009_零售客户企业微信标签开发_1批次"/>
        <s v="学习数据资产管理平台相关流程操作"/>
        <s v="指导业务老师在数据资产管理平台提交需求对标审批，处理操作过程中遇到的相关问题。"/>
        <s v="需求对标状态为“待反馈”“待补对标”的，邮件提醒需求负责人在数据资产管理平台提交对标审批"/>
        <s v="对公报送CACRS"/>
        <s v="【办公助手】测评与知识运营协助"/>
        <s v="卢恒昊2026Q1"/>
        <s v="X20240119000030_大数据仓库及应用系统数据时效治理专项优化项目 RTL迁移"/>
        <s v="知鸟培训督办"/>
        <s v="例会相关工作"/>
        <s v="宣传工作记录"/>
        <s v="新人培训工作"/>
        <s v="零售催收系统总行部门名称变更需求（零售业务部→零售信贷部），评估通过刷数单处理或代码优化方案实现的可行性，需同步变更历史数据。"/>
        <s v="数据服务管理配合提供接口"/>
        <s v="首页AUM/客户数据准实时数据展示_数服"/>
        <s v="X20260105000032客服中心信用卡分期、智能外呼策略优化与业务全链路监控分析需求"/>
        <s v="bdas.dwc（大数据应用三队）整合模型"/>
        <s v="信贷MVP流水鉴真"/>
        <s v="【例行工作】需求或其他事务性工作"/>
        <s v="X20250612000039_UDAS信用卡KPI指标（分期交易量及余额）新机构"/>
        <s v="MRP集市_清包袱工作"/>
        <s v="【清包袱】--各基础集市设计改造"/>
        <s v="【智能问数】-配合智能问数"/>
        <s v="CDI&amp;整合模型配合需求代码评审及问题排查"/>
        <s v="_x0009_0327版本服务器申请与上线评审准备"/>
        <s v="长文本智能分析mq更换"/>
        <s v="X20251112000008-BDPHADP-权益平台S+权益对接支付宝业务需求书"/>
        <s v="授信流程展示需求讨论"/>
        <s v="BDPHADP 开发任务"/>
        <s v="运营集市小队"/>
        <s v="数据问题验证"/>
        <s v="数据中心五级事件讨论会议"/>
        <s v="报表逻辑重构-nrp"/>
        <s v="【韩润乾】X20260122000001_企微渠道客群体系数据分析质效优化需求"/>
        <s v="X20260106000017-BDPDWS"/>
        <s v="BDPHADP配合开发"/>
        <s v="核心定价属性新表入仓"/>
        <s v="大数据平台及可信区相关事项"/>
        <s v="信用卡催收核销客户数据供数"/>
        <s v="【数据安全自查】应用整改"/>
        <s v="需求分析"/>
        <s v="客户旅程项目数据调研"/>
        <s v="深圳公积金接口开发"/>
        <s v="【缺陷处理】--配合监管报送切换缺陷"/>
        <s v="后评估流程跟进"/>
        <s v="项目、需求文档内容检查"/>
        <s v="2026-2028年度B模式CRM领域人力采购材料准备"/>
        <s v="【例行工作】对公CRM"/>
        <s v="crm受益人需求讨论 X20260313000045"/>
        <s v="保证金科目调整分析"/>
        <s v="实时数仓信创讨论以及排期"/>
        <s v="金市创新策源会"/>
        <s v="开发测试工作问题讨论会议2"/>
        <s v="测试环境敏感数据排查"/>
        <s v="【生产运维】波动性检查后应急措施名单同步异常缓慢"/>
        <s v="联机服务集群状态及波动性监控优化需求"/>
        <s v="司库功能测试"/>
        <s v="AI探索课题"/>
        <s v="知识运营"/>
        <s v="测试厂商招聘"/>
        <s v="智能问数测试"/>
        <s v="AI评测体系探索"/>
        <s v="党支部会议"/>
        <s v="CRM分户优化讨论【周二早9点】"/>
        <s v="手机银行理财产品批量购买和赎回功能（天天灵）优化-BDPHADP-X20251210000031"/>
        <s v="【大数据】X20251205000020_关于银企直联批量支付交易反洗钱报送优化的需求"/>
        <s v="智能问数-etl作业耗时配置开发"/>
        <s v="南通众和_金融基础数据统计报送（FIBDS）"/>
        <s v="【例行工作】各类云文档、邮件响应、算法平台问题解答、系统日常运维"/>
        <s v="对公CRM移动端-客户经理工作台项目需求分析"/>
        <s v="金融科技人才成长管理平台无法测评配合解决"/>
        <s v="特殊资产冻结解冻需求开发"/>
        <s v="CAB  安全开发流程"/>
        <s v="流水鉴真MVP"/>
        <s v="云管家数仓上游表改造适配"/>
        <s v="开门红时效配置调整"/>
        <s v="CCSS信创改造配合切换采集（延期了）"/>
        <s v="【例行工作】评审"/>
        <s v="数据仓库集群（平台部）-天正"/>
        <s v="【例行工作】数据部日常工作"/>
        <s v="X20260206000032关于优化AI原生的智能化尽调的需求"/>
        <s v="绿色金融业务管理项目大模型场景费用预算与资源规划"/>
        <s v="大堂日志页面开发"/>
        <s v="司库智能问数-智能体取数工具调整更新"/>
        <s v="MRP生产问题运维"/>
        <s v="crm"/>
        <s v="【例行工作】规则引擎日常需求推进-0323周"/>
        <s v="小模型平台现状梳理及讨论"/>
        <s v="张倩-征信授信改造自研"/>
        <s v="【例行工作】DWS数仓平台运维"/>
        <s v="代发开户、激活交易纳入风控平台"/>
        <s v="X20250409000030整合模型设计"/>
        <s v="司库智能问数DQAA部署投产"/>
        <s v="X20251027000041-BDPHADP"/>
        <s v="需求分析与口径调研"/>
        <s v="反洗钱模型"/>
        <s v="【例行工作】UPR监管报送集市日常运维"/>
        <s v="【例行工作】IMAS利率报备明细日常运维+问题排查"/>
        <s v="CRS非居民涉税报送提数及数据修正"/>
        <s v="【例行工作】BASS账户报送日报运维"/>
        <s v="【例行工作】一表通日报日常运维+问题排查"/>
        <s v="关于个人结算账户申报补报机制优化的业务需求书"/>
        <s v="IMAS人行证书替换验证工作"/>
        <s v="【例行工作】监管报送周会"/>
        <s v="【普惠信贷MVP】鉴真防PS模型优化"/>
        <s v="【周例会】监管报送小组以及组长周例会"/>
        <s v="关于花呗再分期及反洗钱报送调整的需求2批次反洗钱报送-X20251118000017"/>
        <s v="需求评审会议纪要、需求价值表"/>
        <s v="CRM的尽调报告选中文本后改写功能开发"/>
        <s v="类代发业绩统计优化_PCRM"/>
        <s v="部门活动策划"/>
        <s v="备案变动表新增自动触发用户+本机构查询用户误锁定修复"/>
        <s v="远银场景大模型"/>
        <s v="南通众和_dws_ccm"/>
        <s v="UDAS生产运维"/>
        <s v="AI代客助手本体论优化"/>
        <s v="【一表通三期】投产前准备工作事项"/>
        <s v="吴小倩-新线事项"/>
        <s v="法海司法数据比对"/>
        <s v="【需求评审、调研&amp;联测】入仓需求（3月版）"/>
        <s v="DAMP的A模式面试"/>
        <s v="数据对标----姜楠"/>
        <s v="配合华为反洗钱本体论切入"/>
        <s v="票易贷数据迁移_BDPHADP"/>
        <s v="IM2026032300021事件"/>
        <s v="大数据测试环境追数"/>
        <s v="核查结果更新_RPAM"/>
        <s v="X20260227000049_关于银联无卡系统数据安全整改优化的需求"/>
        <s v="【例行工作】知识运营"/>
        <s v="天权DEVOPS迁移"/>
        <s v="数据服务doris接口开发28_DSM_X20260206000032"/>
        <s v="整合模型-看板"/>
        <s v="【报送运维】区域特色＆税务报送＆审计署1.0"/>
        <s v="X20251124000006-智能报告查询页面显示"/>
        <s v="整合模型集成需求"/>
        <s v="X20260116000041_微车贷财政贴息业务优化需求书-Hadoop"/>
        <s v="DDRA功能优化及投产准备"/>
        <s v="培训学习"/>
        <s v="udas对公年初基数验证"/>
        <s v="看板开发--蔡"/>
        <s v="第二批次_X20240119000030时效治理优化"/>
        <s v="hadoop"/>
        <s v="X20251111000014-BDPHADP-BI新增卸数字段给大数据"/>
        <s v="IM2026032340110"/>
        <s v="Hadoop大数据集群开发-BDPHADP-X20250409000030"/>
        <s v="客户风险配合测试"/>
        <s v="分润系统业务需求讨论"/>
        <s v="【生产运维】名单管理一键清空功能错误"/>
        <s v="奇瑞-BDPHADP-CDA/整合模型"/>
        <s v="【党务工作】党员大会_2025年度组织生活会及民主评议全体党员大会"/>
        <s v="先知平台模型迁移计划"/>
        <s v="党组织生活会"/>
        <s v="组织生活会及民主评议党员会议"/>
        <s v="BDPHADP开发任务"/>
        <s v="整合模型信贷领域配合CCM普惠切换问题排查"/>
        <s v="UDAS多sheet导出、日期框备注等开发"/>
        <s v="crm IM2026032310086事件查询"/>
        <s v="本体论智能问数接口配合开发"/>
        <s v="问数、报告生成场景涉及deepseek r1模型切换及效果调优"/>
        <s v="资产托管dify平台大模型知识库"/>
        <s v="X20250225000018-M.RBAC.SJS2"/>
        <s v="数仓-积分商城"/>
        <s v="瑜伽俱乐部筹备事项"/>
        <s v="优化代客及信用债指标-udas"/>
        <s v="【例行工作】开源算法平台0327月版"/>
        <s v="RSD衍生区日常工作"/>
        <s v="对公粘性模型需求"/>
        <s v="MRP清包袱"/>
        <s v="【例行工作】党务"/>
        <s v="RAD及CFFIS3月版投产流程"/>
        <s v="外包管理"/>
        <s v="金融制裁及敏感名单监测系统新增反洗钱特别预防措施名单标识等功能优化"/>
        <s v="X20250918000030_关联交易监测报表优化202509_2批次_季报表投产"/>
        <s v="3月版本变更流程准备"/>
        <s v="CRM业务提数  客户体验部"/>
        <s v="外数测试沟通会"/>
        <s v="第五批次-互联网贷款支用环节增加ECIF证件有效期拦截"/>
        <s v="规则及风险引擎交接-3月"/>
        <s v="同业对标年报优化"/>
        <s v="一季度金市工作总结材料"/>
        <s v="【DWC采集切换】卸数迁移为采集入仓0323-0327"/>
        <s v="迎检业务确认口径模板沟通"/>
        <s v="贷款用途-金融基础数据统计报送测试配合"/>
        <s v="需求分析-账户明细查询"/>
        <s v="远程银行智能体能力标准制定"/>
        <s v="同业存款利息支出口径改造上下游联调测试"/>
        <s v="数仓标签开发"/>
        <s v="【日常运维】监管报送批量监控运维"/>
        <s v="中试基地需求书编写"/>
        <s v="【通用】培训"/>
        <s v="关联图谱资源申请"/>
        <s v="五篇大文章制度修订-fibds"/>
        <s v="宏观高频AI分析助手"/>
        <s v="电子相册优化需求—一批次"/>
        <s v="平台运维排查及司库数据中台建设"/>
        <s v="【授信全流程】skill更新"/>
        <s v="使用RPA查找客户信息数据整合_RPAM_X20260302000012"/>
        <s v="CRM的尽调报告初审功能——前端接收结果并添加评论"/>
        <s v="智能问数二期项目架构调整与需求书修改"/>
        <s v="工商企业2.0接口联调"/>
        <s v="skill技能开发"/>
        <s v="【数仓】企业网银营运数据分析功能需求-X20250421000027"/>
        <s v="L02追数-0316周"/>
        <s v="KPI项目-UDAS机构树合并查数功能"/>
        <s v="X20251022000005_司库数据监管报送_第6批次_开发"/>
        <s v="对公客户经营数字化-司库建设"/>
        <s v="UDAS报表"/>
        <s v="【M.EDWDWS.AML】-X20251205000020"/>
        <s v="1104报送联调"/>
        <s v="凭证开立信息表（发生额情况表）开发测试"/>
        <s v="区域特色"/>
        <s v="统一生物识别开发"/>
        <s v="X20260119000019_收费代码需求数仓配合改造"/>
        <s v="对公CRM移动端-优化E变更证件有效期账户自动解控"/>
        <s v="整合模型信贷领域开发测试配合内容"/>
        <s v="智能尽调大数据开发-授信全流程数据小队"/>
        <s v="大数据集群开发-BDPHADP-X20250409000030 "/>
        <s v="综合监管报送系统26年03月运维需求"/>
        <s v="内部泛化来源表分析与指标测试"/>
        <s v="X20251106000039"/>
        <s v="【bdphadp】X20251017000036-关于神华银企直联账户查询定制化的需求"/>
        <s v="报表伸缩功能"/>
        <s v="MMM日常维护2"/>
        <s v="优化AI原生的智能化尽调0327版本"/>
        <s v="Hadoop集群"/>
        <s v="关于优化CIMC对公客户反洗钱评级推送规则的业务需求书_数仓改造"/>
        <s v="供应链新增交易银行主管部门"/>
        <s v="司库智能问数--功能迁移"/>
        <s v="KPI项目-KPI画像配置支持分行筛选"/>
        <s v="信义贷-X20251125000015-2  "/>
        <s v="CACRS配合改造"/>
        <s v="开源算法平台更新人员测算模型-X20260210000002"/>
        <s v="KPI项目-指标下钻分析功能"/>
        <s v="信用卡分期还款及账户综合调整"/>
        <s v="【客户旅程】--客户旅程分析研究"/>
        <s v="【例行工作】DWS生产批量运维"/>
        <s v="【例行工作】DWS生产批量运维&amp;数据运维0320"/>
        <s v="crm工作台项目汇报"/>
        <s v="DWS数据集群MAI集市开发-BDPDWS-X20250409000030 "/>
        <s v="DDRA服务端开发"/>
        <s v="RTL迁移时效优化 神码"/>
        <s v="X20250305000005-FIBDS"/>
        <s v="【例行工作】数据门户应用运维"/>
        <s v="可视化报表助手升级项目推进"/>
        <s v="SAS系统数据脱敏需求推进"/>
        <s v="【例行工作】可视化报表助手运营事项"/>
        <s v="司库移动端看板需求推进"/>
        <s v="南通众和_BDAS.DWC_ccm普惠"/>
        <s v="StudyDay"/>
        <s v="X20240428000013_特征集市_反诈模型特征开发"/>
        <s v="UDAS业务数据模型迁移-模型调整"/>
        <s v="数仓"/>
        <s v="X20260210000014-上海银行个人存款业务信息授权书的业务需求书-大数据"/>
        <s v="南通众和_1104报送（M.RCI.1104） "/>
        <s v="供应链报送模块功能研发"/>
        <s v="RAD&amp;RSD衍生区维护6"/>
        <s v="【例行工作】投产准备"/>
        <s v="BDPHADP开发"/>
        <s v="X20251119000002_人行账户报送2.0"/>
        <s v="X20250902000015_贷后系统新增行内征信缓存跑批规则二批次PRM"/>
        <s v="数据开发部门会议"/>
        <s v="培训"/>
        <s v="零售贷款模型下沉"/>
        <s v="康冉3.16-3.20"/>
        <s v="INF集市脚本优化"/>
        <s v="车贷策略迭代"/>
        <s v="【需求】X20250612000022 "/>
        <s v="【需求】X20240930000008"/>
        <s v="普惠模型向整合模型迁移"/>
        <s v="CRM应用测试"/>
        <s v="凭证业务参与者资金账户信息表（发生额情况表）开发测试"/>
        <s v="UDAS机构改造相关功能开发"/>
        <s v="X20250305000005-M.RCI.1104"/>
        <s v="BDPHADP-关于数据表入仓以及磁升芯开发改造需求"/>
        <s v="【需求沟通】审计-整改跟踪业务优化流程原型沟通确认"/>
        <s v="CFFIS对接风控中台"/>
        <s v="CACRS征信报送系统开发"/>
        <s v="X20250305000005-CACRS"/>
        <s v="需求影响性分析"/>
        <s v="测试组每周例会"/>
        <s v="关于与金科架构部建立联合推进解决数据侧痛点问题的沟通机制"/>
        <s v="DSM开发"/>
        <s v="文本转语音优化"/>
        <s v="DWSnrp调整"/>
        <s v="零售高潜客户标签开发-整合配合调整优化"/>
        <s v="【例行工作】项目流程"/>
        <s v="3月版上线流程"/>
        <s v="KPI项目-页面刷新缓存机制优化"/>
        <s v="EDM数据库迁移1"/>
        <s v="司库项目配合开发"/>
        <s v="【例行工作】供应链互金&amp;人行生产报送支持"/>
        <s v="江苏省涉受害人数据报送-实时数仓"/>
        <s v="【生产运维】名单表插入失败和波动性检查异常"/>
        <s v="X2025110600039"/>
        <s v="DWC采集切换"/>
        <s v="DWC采集：源系统逻辑整理"/>
        <s v="双录质检开发"/>
        <s v="Hadoop大数据集群"/>
        <s v="10月第4周可疑社团分析"/>
        <s v="CRM追数"/>
        <s v="【例行工作】风险决策引擎日常需求推进-0316周"/>
        <s v="开源算法平台0327版本"/>
        <s v="信息数据管理核算"/>
        <s v="隐私计算摩斯投产分析"/>
        <s v="RAD数据库达5T"/>
        <s v="【AI手机银行】法律合规文件"/>
        <s v="科室OKR编制"/>
        <s v="数据质量平台会议"/>
        <s v="联调测试"/>
        <s v="生产批量运维"/>
        <s v="采集切换20260309-20260313"/>
        <s v="【DWC采集切换】卸数迁移为采集入仓0316-0320"/>
        <s v="工时填报·-需求对接"/>
        <s v="工时填报-生产运维"/>
        <s v="工时填报-2025项目"/>
        <s v="个人客户姓名、证件号码、联系方式、住址、银行卡号生产环境加密视图都使用SM3+MD5算法"/>
        <s v="市场核心曲线周报生成"/>
        <s v="Dify平台新增投资智库分析助手（概要设计，功能测试）"/>
        <s v="2.4 对公任务同步至对私_PC"/>
        <s v="房贷客户逾期回款情况统计"/>
        <s v="2026新行员培训材料准备"/>
        <s v="对接金科活动"/>
        <s v="客服辅助项目-智能工单场景"/>
        <s v="特殊网络请求处理，网络部，安全部"/>
        <s v="移动支付交易分析"/>
        <s v="运营风险监控开发"/>
        <s v="大模型训练小模型"/>
        <s v="采集迁移配合-S作业增量字段时间格式获取"/>
        <s v="分析圈客一体化CAS第7批次变更"/>
        <s v="运管部_关于对公账户管控写入处理结果_RPAM_"/>
        <s v="X20250409000030-投行业务管理平台优-DWSNRP"/>
        <s v="DWS数据集群开发-BDPDWS-X20250409000030对公集市修改"/>
        <s v="DDRA联调测试"/>
        <s v="决策引擎催收新策略规则PP环境二轮测试"/>
        <s v="智能问数0320投产"/>
        <s v="3月17日~20日入仓切换采集配合"/>
        <s v="网银线上调额-移动端"/>
        <s v="EAST报送配合-M.RBAC.EAST-X20250409000030"/>
        <s v="1104_X20251231000031"/>
        <s v="RAD接入宁波分行预警信号"/>
        <s v="UPR集市-ACS系统，大额现金报送、理财销售结算报送运维"/>
        <s v="【例行工作】--模型组周会-20260312/0319/0326"/>
        <s v="crm工作台项目方案讨论"/>
        <s v="信用卡催收实时看板数据加工"/>
        <s v="第四批次"/>
        <s v="crm 嘉定支行问题查询"/>
        <s v="EAST报送联调"/>
        <s v="RBW新增标签"/>
        <s v="学习人工智能训练"/>
        <s v="事件查询 IM2026031900016"/>
        <s v="3.27南通众和应收账款_BDPHADP"/>
        <s v="UDAS批量开户报表逻辑优化需求-表入仓"/>
        <s v="数据部信创会议沟通"/>
        <s v="数据对标"/>
        <s v="信创会议"/>
        <s v="提取制度关键内容（客户主数据系统管理规程、基础类数据标准管理规程）"/>
        <s v="整合模型信贷领域三月份迁移&amp;新产品测试验证沟通会"/>
        <s v="大数据平台开发任务"/>
        <s v="【方案编写】编写清包袱项目签报文档以及修改项目需求书"/>
        <s v="数据分析_智能外呼"/>
        <s v="后端“是否加入DWS“改为“是否入DWS”"/>
        <s v="DWS数据集群 对公集市开发-BDPDWS-X20250409000030 "/>
        <s v="运行记录页面前端：离线记录-》离线作业，实时记录-》实时作业，任务名称-》作业名称，ID-》运行ID"/>
        <s v="数据仓库集群-开发"/>
        <s v="整合模型及DWS迁移脚本代码评审"/>
        <s v="CRM 0327版本进度对齐会"/>
        <s v="吴小倩-磁升芯测试"/>
        <s v="实时数仓脚本调整-BDPHADP"/>
        <s v="【日常会议】机构所撤并会议"/>
        <s v="对公存款信息明细模型接口(大数据)"/>
        <s v="大模型生成小模型配合"/>
        <s v="网点级分户表采集入仓"/>
        <s v="【邮件】深圳分行新户登记问题反馈"/>
        <s v="整合模型模型组组会"/>
        <s v="周例会"/>
        <s v="【通用】科室例会"/>
        <s v="CRM作业与前14日比晚到超过3小时监控_大禹调度"/>
        <s v="开门红指标时效配置开发"/>
        <s v="口径调研"/>
        <s v="粘性模型取数"/>
        <s v="数仓集市"/>
        <s v="生产运维"/>
        <s v="同业舆情（内屏）、客户维护功能下线"/>
        <s v="【长尾客户分群】可行性测试"/>
        <s v="关于协助落实人行受益所有人相关工作要求的函及会议通知"/>
        <s v="对公CRM新增科技画像的需求澄清会"/>
        <s v="【需求】 跨境转汇业务FTZMIS报送优化需求"/>
        <s v="征信周例会"/>
        <s v="需求分析-同业业绩分配"/>
        <s v="【架构方案】大模型智能体平台灰度构建"/>
        <s v="学习GIT使用并整理指南"/>
        <s v="【新线口径答疑】账户报送2.0新线口径答疑"/>
        <s v="新表入仓-数据采集工具开发"/>
        <s v="采集平台开发"/>
        <s v="江苏省涉诈受害人数据报送-数据采集工具"/>
        <s v="数据采集工具开发"/>
        <s v="X20240428000013_opm集市反诈模型开发"/>
        <s v="业务提数运维"/>
        <s v="运管部_关于对公账户管控校验处理结果_RPAM_"/>
        <s v="RAD生产问题排查"/>
        <s v="数管部-个人手机银行新增老年客户陪伴式服务人员企微名片功能需求"/>
        <s v="邮件及e联提醒业务老师提交对标申请【对标状态异常的情况确认-经确认需要对标的8个需求】"/>
        <s v="运维3月-宇信"/>
        <s v="信用卡可经营客户APP活跃留存数据分析"/>
        <s v="公里数核查_RPAM"/>
        <s v="BDPHADP-数据模型配合"/>
        <s v="关于优化CIMC对公客户反洗钱评级推送规则的业务需求书"/>
        <s v="【数据服务管理】X20250421000027-企业网银营运数据分析功能需求"/>
        <s v="生产信托信创数据库连通性确认"/>
        <s v="整合模型层数据加工-X20251219000033"/>
        <s v="数据入仓--冯莉杰 复制副本"/>
        <s v="CCM集市_长亮"/>
        <s v="BDPDWS开发_CDI配合测试"/>
        <s v="BDPHADP 长亮 X20260122000030_关于基金业绩模型的优化需求"/>
        <s v="南通众和_反洗钱"/>
        <s v="CRM集市_X20260122000030_关于基金业绩模型的优化需求"/>
        <s v="X20251124000006-表格明细下转"/>
        <s v="RTL迁移需求-天阳 "/>
        <s v="X20240428000013_对私额度登记信息新增字段"/>
        <s v="EMA集市6个作业需改造和回归测试以及配合UDAS数据测试"/>
        <s v="关于信用卡业务EAST报送数据治理的项目第2批次-X20250915000014-M.RCI.1104"/>
        <s v="静安支行问题查询 LD250700146360"/>
        <s v="E变更流程状态及影像、报表查询需求-CCRM"/>
        <s v="2026年第1季度_总行小金部(宇信初级开发） "/>
        <s v="校招面试"/>
        <s v="增设客户账户查证查询需求"/>
        <s v="配合NRP清包袱分析"/>
        <s v="零售经管开发"/>
        <s v="数据入仓--冯莉杰"/>
        <s v="X20250109000004-M.RCI.1104"/>
        <s v="联系记录登记同步任务执行信息_PCRM"/>
        <s v="RAD版本上线"/>
        <s v="MRP同业存款需求"/>
        <s v="智能体评测范围及准出条件讨论会议"/>
        <s v="创建脱敏视图库"/>
        <s v="大数据平台运维"/>
        <s v="网点层级分户需求-开发方案讨论会"/>
        <s v="对公CRM移动端-增值税发票接口替换"/>
        <s v="数据对比和脚本准备_PCRM"/>
        <s v="企业客户粘性模型_需求调研及分析"/>
        <s v="凭证兑付信息表（发生额情况表）开发测试"/>
        <s v="开发测试工作问题讨论会议"/>
        <s v="CCM需求澄清与分析"/>
        <s v="深圳分行网银提额审批问题查询，微信"/>
        <s v="需求调研"/>
        <s v="实时准实时报表数据问题排查"/>
        <s v="安装ai"/>
        <s v="隐私计算安全测评"/>
        <s v="CRM集市生产运维"/>
        <s v="需求分析设计与口径调研"/>
        <s v="整合模型3月版需求"/>
        <s v="X20260129000031需求分析"/>
        <s v="CCM业务运维"/>
        <s v="fdm集市优化重定价逻辑"/>
        <s v="【例行工作】应用运维"/>
        <s v="CRM的尽调模块接入WPS web office实现报告的在线预览编辑"/>
        <s v="三月版整合模型代码评审"/>
        <s v="CFFIS交接"/>
        <s v="手机银行理财产品批量购买和赎回功能（天天灵）优化-BDPHADP-X20251210000031集市接口配合联调测试数据加载"/>
        <s v="公司部业绩分成功能讨论会"/>
        <s v="问题查询1"/>
        <s v="特殊资产冻结解冻需求开发-实时对公场景"/>
        <s v="反洗钱报送信创"/>
        <s v="【通用】外部交流"/>
        <s v="X20251103000036_关于网点汇总数据的优化需求"/>
        <s v="A模式POC验证-信雅达"/>
        <s v="[例行工作] 团队管理、生产问题协助、流程处理、会议"/>
        <s v="账户明细查询需求评审问题处理"/>
        <s v="反诈运营风险看板维护"/>
        <s v="【校招面试】校招面试"/>
        <s v="大数据仓库管理规程因机构调整更新"/>
        <s v="写需求细则"/>
        <s v="【数据仓库】数据仓库配合优化"/>
        <s v="S批量导入报错信息展示时间延长"/>
        <s v="FRM集市上线流程"/>
        <s v="FRM集市日常"/>
        <s v="使用RPA查找客户信息_交易菜单导航与客户信息查询并提取模块_RPAM_X20260302000012"/>
        <s v="征信日志脱敏技术方案"/>
        <s v="规则引擎新增字段"/>
        <s v="贷款用途-监管报送集市配合改造"/>
        <s v="A模式POC-信雅达-转账场景"/>
        <s v="火山NL2SQL产品POC测试"/>
        <s v="数据服务管理配合新增接口"/>
        <s v="DSM-配合鉴真"/>
        <s v="第一批次"/>
        <s v="BDAS.DWC_CHA渠道集市新增存款标签中间表结果表"/>
        <s v="BDPHADP-大数据配合"/>
        <s v="风险监控指标功能优化"/>
        <s v="X20250305000005-BDPDWS"/>
        <s v="司库智能问数--智能体开发"/>
        <s v="CAFBDM"/>
        <s v="科目调整剔除244001"/>
        <s v="X20251124000006-智能问数更换保存token接口"/>
        <s v="X20260203000022 RBW标签调整"/>
        <s v="开会"/>
        <s v="整合模型利率维护及智芯相关部分对标调整优化"/>
        <s v="掌上行新增模块默认显示事件"/>
        <s v="KPI项目-数仓开发"/>
        <s v="【例行工作】时效保障"/>
        <s v="BDPHADP 天正 X20260122000030_关于基金业绩模型的优化需求 "/>
        <s v="IM2026031600019事件查询"/>
        <s v=" X20260116000038-柜面代发补充柜员号及机构号需求-BDPHADP"/>
        <s v="大数据入仓"/>
        <s v="掌上行4.5ui设计"/>
        <s v="入仓任务处理S40_F_EVT_C_MID_AGMT_SHARE"/>
        <s v="未结清融资凭证信息表（业务存续情况表）开发测试"/>
        <s v="网点竞争力掌上行配置"/>
        <s v="源系统改造影响性分析"/>
        <s v="三月版EMA需求代码评审"/>
        <s v="对公CRM-英文地址线上变更"/>
        <s v="cffis他行未查询到报告原因排查"/>
        <s v="迎检内容讨论会"/>
        <s v="同业三方存款、活期与定期存款追数"/>
        <s v="25年项目尽调内容讨论会"/>
        <s v="凭证贸易背景信息表（发生额情况表）开发测试"/>
        <s v="【例行工作】风险领域监管报送专项治理项目工作量评审"/>
        <s v="数仓作业重要等级划分标准制定"/>
        <s v="PCRM3月版进度跟踪会"/>
        <s v="零售AI外呼项目需求澄清会"/>
        <s v="【例行工作】监管报送小组组会"/>
        <s v="批量时效问题讨论会"/>
        <s v="行内大模型问答助手测试调优"/>
        <s v="金市-债券OCI账户资产配置规划求解-需求分析"/>
        <s v="周会"/>
        <s v="需求流程"/>
        <s v="应用组组会"/>
        <s v="风险领域监管报送专项治理项目-智能财报改造"/>
        <s v="edm百行银联接口修改"/>
        <s v="【事件】IM2026031700002事件处理"/>
        <s v="智能迁移方案探索"/>
        <s v="浦东分行客户经理调研问题清单处理"/>
        <s v="新增客户经理更换调整功能-PCRM"/>
        <s v="【例行工作】反洗钱综合管理系统刷数"/>
        <s v="会话式人工智能技改功能研究"/>
        <s v="渗透测试JWT未校验问题分析"/>
        <s v="新增需求分析"/>
        <s v="大数据供数催收系统逻辑修改"/>
        <s v="【项目工作】反洗钱信创"/>
        <s v="苏州分行黄金取现需求沟通"/>
        <s v="和苏州分行对接，周报功能迁移到CRM"/>
        <s v="冰壶比赛组织筹备"/>
        <s v="工时填报-组会讨论"/>
        <s v="预警流程及信号优化业务需求"/>
        <s v="修改调整数据资产管理体系建设咨询服务合同"/>
        <s v="IRMS征信授权数据迁移方案讨论"/>
        <s v="RAD衍生区维护4"/>
        <s v="大数据开发-DWC-X20240802000008"/>
        <s v="【DWC采集切换】卸数迁移为采集入仓0309-0312"/>
        <s v="【中试基地】材料准备"/>
        <s v="智能问数科技建设成果文档撰写"/>
        <s v="X20250109000004-CACRS"/>
        <s v="DWS数仓生产测试运维&amp;DWS生产磁盘告警处理"/>
        <s v="对公存款下沉模型新增字段-3月版"/>
        <s v="S任务个性化编辑保存时更新修改时间和用户"/>
        <s v="数仓功能-X20251212000031_数字人民币交行对公钱包反洗钱交易信息获取业务需求"/>
        <s v="X20250612000039_合意贷款外币口径修改开发"/>
        <s v="风险监控规则功能优化"/>
        <s v="M.EDWDWS.PIS-关于数据表入仓以及磁升芯开发改造需求"/>
        <s v="凭证特殊情况说明表（发生额情况表）开发测试"/>
        <s v="个人借记卡影响性分析"/>
        <s v="fal外管提数"/>
        <s v="宁波地方特色数据纳入预警信号功能"/>
        <s v="时效治理项目搞又臭又长的上线流程测试报告"/>
        <s v="CCM优化作业时效"/>
        <s v="【l例行工作】审计二期项目例会等"/>
        <s v="普惠验数"/>
        <s v="实时数仓三月版需求调研分析"/>
        <s v="RSD生产问题排查"/>
        <s v="【大模型客服】实时工单"/>
        <s v="关于信用卡业务EAST报送数据治理的项目第2批次-X20250915000014-FIBDS"/>
        <s v="IM2026031600002 事件处理"/>
        <s v="AIGC项目第9批次-PAW应用投产"/>
        <s v="X20260128000014_对公客户经理工作台建设项目 需求澄清会"/>
        <s v="3月16日入仓切换采集配合"/>
        <s v="【例行工作】模型梳理"/>
        <s v="生产安全周会"/>
        <s v="零售CRM接入实时数据需求跟进"/>
        <s v="解决生产问题-业务"/>
        <s v="工时填报-日常运维"/>
        <s v="NRP集市_X20260122000030_关于基金业绩模型的优化需求"/>
        <s v="【方案编写】监管报送衍生区过渡期运营方案"/>
        <s v="【普惠信贷MVP】智能体研发、模型监控"/>
        <s v="应用等级讨论会议"/>
        <s v="Openclaw框架调研"/>
        <s v="车辆运行记录导出_RPAM"/>
        <s v="重点领域清单跟踪"/>
        <s v="熟悉数据部各个应用的产品经理和架构师"/>
        <s v="工时填报—技改问题修复"/>
        <s v="工时填报-反洗钱日常运维"/>
        <s v="【生产运维】生产问题关于行内票据逾期规则处理"/>
        <s v="CCM集市作业时效优化"/>
        <s v="PCRM X20260122000030_关于基金业绩模型的优化需求 "/>
        <s v="小微金融贷款分析"/>
        <s v=" X20260116000038-柜面代发补充柜员号及机构号需求-运营风险监控"/>
        <s v="配岗信息查询"/>
        <s v="吴小倩-工作事项"/>
        <s v="流水鉴真规则梳理"/>
        <s v="数据部应用代码情况排查"/>
        <s v="整理数据资产管理体系建设咨询服务合同模板"/>
        <s v="S脚本预览改为读取文件"/>
        <s v="L02追数-0312周"/>
        <s v="司库智能问数-主智能体提示词设计"/>
        <s v="MLM特征集市四宫格表开发"/>
        <s v="票易贷数据迁移_数据仓库集群"/>
        <s v="X20241014000009_零售客户企业微信标签开发_1批次_RBW标签开发"/>
        <s v="EMA新机构历史数据追溯"/>
        <s v="X20260116000008_个人经营贷还款的反洗钱报送需求书_"/>
        <s v="整合模型落标"/>
        <s v="统一生物"/>
        <s v="NRP新机构历史数据追溯"/>
        <s v="M.RCI.CCR-关于数据表入仓以及磁升芯开发改造需求"/>
        <s v="udas首页优化"/>
        <s v="CRM授信尽调开发看板"/>
        <s v="X20251124000006-智能问数表格数据区分200条"/>
        <s v="3月13日晚采集配合迁移问题排查"/>
        <s v="【普惠信贷MVP】智能体研发"/>
        <s v="MRP集市清包袱工作项"/>
        <s v="【运行变更】版本上线投产&amp;数据验证"/>
        <s v="CRM尽调报告撰写后端功能开发"/>
        <s v="小微金融需求对接"/>
        <s v="凭证融资信息表（发生额情况表）开发测试"/>
        <s v="首页AUM/客户数据准实时数据展示_实时数仓"/>
        <s v="关于PRMS互联网贷款核销数据上传及下游核销标识相关功能优化的需求"/>
        <s v="MMM日常维护1"/>
        <s v="OKR汇报"/>
        <s v="【例行工作】风险引擎日常需求推进-0312周"/>
        <s v="应用及集市重要等级划分标准制定"/>
        <s v="_x0009_0313OKR汇报"/>
        <s v="粘性模型需求评审会"/>
        <s v="承兑汇票影响性分析"/>
        <s v="保函迁移_CAFBDM"/>
        <s v="司库项目-司库移动端看板开发"/>
        <s v="大数据仓库集群运维及sas应用权限视图梳理"/>
        <s v="_x0009_0313上线包回归测试"/>
        <s v="需求调研分析"/>
        <s v="dataops例会"/>
        <s v="ORC开发"/>
        <s v="【会议通知】掌上行重点开发事项沟通"/>
        <s v="MRP需求评审"/>
        <s v="【例行工作】外部数据运维0312-0213"/>
        <s v="康冉3.12-3.13"/>
        <s v="RBW 新机构历史数据追溯"/>
        <s v="X20251119000002_计算区"/>
        <s v="需求评审"/>
        <s v="CAFBDM金融计算"/>
        <s v="可行性分析"/>
        <s v="解决生产问题-批量"/>
        <s v="事件查询 IM2026031210243"/>
        <s v="crm架构梳理讨论"/>
        <s v="X20260203000023_x0009_ 多银行资金池信投杭实优化业务需求书  司库应用计算区 m.tbs.tca"/>
        <s v="【长期】自动化测试探索"/>
        <s v="10月第三周可疑社团分析"/>
        <s v="供应商个人效能试算"/>
        <s v="业务提数-跨境金融部20260306001"/>
        <s v="企业客户粘性模型讨论"/>
        <s v="采集平台创建L50数据源"/>
        <s v="使用RPA查找客户信息_本地文件管理与数据读取模块_RPAM_X20260302000012"/>
        <s v="监管缺陷-整合模型金融市场"/>
        <s v="测试评审跟踪"/>
        <s v="【长期】瑜伽俱乐部组织"/>
        <s v="【例行工作】dataops建设"/>
        <s v="【例行工作】组会"/>
        <s v="【例行工作】RAD测试"/>
        <s v="外包招聘"/>
        <s v="【例行工作】月版测试管理"/>
        <s v="代发需求澄清会"/>
        <s v="普惠客户经理需求"/>
        <s v="新增币种影响性分析"/>
        <s v="fdm集市开发"/>
        <s v="反洗钱配合测试3"/>
        <s v="机构改造追数（251231）验证"/>
        <s v="对公存款下沉影响分析调整切换-3月版"/>
        <s v="财务指标提取-PDF表格定位"/>
        <s v="RAD&amp;RSD衍生区维护5"/>
        <s v="【评审】EAST制度升级与平台优化项目验收评审"/>
        <s v="零售CRM代发需求会"/>
        <s v="【例行工作】上线需求对齐"/>
        <s v="X20251027000015_智能面签分析语音播报优化"/>
        <s v="【例行工作】投产变更"/>
        <s v="沉睡户有移动支付无产品及代发客户分析"/>
        <s v="A模式人力POC-信雅达"/>
        <s v="【AI手机银行】需求讨论"/>
        <s v="项目管理【技术优化】 "/>
        <s v="组合管理系统质押业务明细表新增原始合同编号-X20260120000023"/>
        <s v="122000308接口限流排查"/>
        <s v="票据业务影响性分析"/>
        <s v="缺陷变更率和事件解决率"/>
        <s v="营销二维码逻辑优化_PCRM"/>
        <s v="项目管理【模型迁移】"/>
        <s v="【批量运维】监管报送批量"/>
        <s v="智能尽调需求-CRM配合打包、评审等"/>
        <s v="配岗状态查询开发 2"/>
        <s v="“零售风险决策引擎智能升级项目”验收评审会"/>
        <s v="党员大会0313"/>
        <s v="车贷监测看板新增瑞福德产品"/>
        <s v="X20251024000005主借人变更等贷后变更交易征信报送需求"/>
        <s v="3月13日DWS入仓配合上线"/>
        <s v="征信"/>
        <s v="粘性模型公私联动相关"/>
        <s v="超级工作台项目需求澄清会"/>
        <s v="crm采购材料准备"/>
        <s v="双录质检"/>
        <s v="“30计划”_从人工配置到智能生成：数据入仓流程自动化创新实践_demo实现"/>
        <s v="同业业绩分配改造功能需求设计"/>
        <s v="BDPHADP配合任务"/>
        <s v="丰富存量企业营销标签_PCRM"/>
        <s v="DSM配合开发"/>
        <s v="张倩 配合生产问题排查"/>
        <s v="市场核心曲线Agent工具开发"/>
        <s v="RSD紧急版本投产"/>
        <s v="BDPDWS-财政贴息需求第三批次-数仓风险集市配合修改"/>
        <s v="汽车专项分期客户分析,自动绑定还款月监测代码数据核对"/>
        <s v="ai交易员"/>
        <s v="监管可信区-科融"/>
        <s v="X20251024000020关于零售催收系统对接新决策引擎的优化需求书（第一批次）PP环境引擎规则测试"/>
        <s v="实时采集业务表设计"/>
        <s v="本体论_采集hive数据到doris_20260326"/>
        <s v="X20260122000019_信用卡业务接入考核机构等优化运维需求_FRM集市开发"/>
        <s v="BDPHADP"/>
        <s v="PISA-关于数据表入仓以及磁升芯开发改造需求"/>
        <s v="X20240428000013_整合模型_反诈数据开发"/>
        <s v="金数配合测试"/>
        <s v="指标时效推进"/>
        <s v="RAD&amp;RSD衍生区维护4"/>
        <s v="DWS数据集群-数仓应用一队-DWS数仓配合反洗钱跑数"/>
        <s v="绿色金融影响性分析"/>
        <s v="智能问数功能测试及测试评审"/>
        <s v="RSD生产事件运维"/>
        <s v="需求对接-需求评审自动化流程"/>
        <s v="BDAS_DWC_入仓两张表修改表结构开发工作"/>
        <s v="配岗状态查询开发"/>
        <s v="【例行工作】测试评审"/>
        <s v="CCM集市清包袱需求评审_x000a_"/>
        <s v="DWS 天正 X20260122000030_关于基金业绩模型的优化调整"/>
        <s v="零售CRMAI外呼功能分析"/>
        <s v="CRM数据批量迁移采集"/>
        <s v="【人力统计】监管计算衍生区外包人力储备统计"/>
        <s v="【例行工作】上线评审"/>
        <s v="项目管理"/>
        <s v="粘性模型数据"/>
        <s v="分行视图需求推进"/>
        <s v="三月版EMA需求调研及分析"/>
        <s v="【数据安全专项】模型管理办法修订"/>
        <s v="【进度跟踪】MRP金融市场清包袱本周工作进展"/>
        <s v="RAD衍生区维护3"/>
        <s v="任务管理新增“是否有下游”查询条件"/>
        <s v="“30计划”_从人工配置到智能生成：数据入仓流程自动化创新实践_PPT制作"/>
        <s v="【缺陷处理】监管报送缺陷处理"/>
        <s v="“30计划”_从人工配置到智能生成：数据入仓流程自动化创新实践_活动申请表撰写"/>
        <s v="【例行工作】项目管理"/>
        <s v="追数相关程序-增加表分区及备份数据"/>
        <s v="AIGC生成式技术综合应用之企业级知识问答体系建设_DQAA"/>
        <s v="提数运维"/>
        <s v="架构例会待办事项跟踪"/>
        <s v="反洗钱培训"/>
        <s v="根据已有信息整理外部数据来源安全风险评估表"/>
        <s v="《X20251107000051_云网点视频能力迁移》排期会"/>
        <s v="小模型平台问题讨论"/>
        <s v="cdp升级"/>
        <s v="规则引擎"/>
        <s v="生产数据权限初始化-大数据"/>
        <s v="市场价格曲线分析报告"/>
        <s v="FIBDS-财政贴息功能-金融基础数据统计报送配合"/>
      </sharedItems>
    </cacheField>
    <cacheField name="所属公司" numFmtId="0">
      <sharedItems containsBlank="1" count="20">
        <s v="深圳市长亮科技股份有限公司"/>
        <m/>
        <s v="高伟达软件股份有限公司"/>
        <s v="北京东方国信科技股份有限公司"/>
        <s v="北京宇信科技集团股份有限公司"/>
        <s v="上海天正智能数据服务有限公司"/>
        <s v="中电金信软件有限公司"/>
        <s v="上海复深蓝软件股份有限公司"/>
        <s v="南京科融数据系统股份有限公司"/>
        <s v="天阳宏业科技股份有限公司"/>
        <s v="北京银丰新融科技开发有限公司"/>
        <s v="神州数码融信软件有限公司"/>
        <s v="京北方信息技术股份有限公司"/>
        <s v="北京中科金财科技股份有限公司"/>
        <s v="博彦科技股份有限公司"/>
        <s v="方正国际软件（北京）有限公司"/>
        <s v="软通动力信息技术（集团）股份有限公司"/>
        <s v="上海中鑫信息技术有限公司"/>
        <s v="建信金融科技有限责任公司"/>
        <s v="上海艾融软件股份有限公司"/>
      </sharedItems>
    </cacheField>
    <cacheField name="开发领域" numFmtId="0">
      <sharedItems containsBlank="1" count="8">
        <s v="数据开发"/>
        <m/>
        <s v="CRM"/>
        <s v="监管报送"/>
        <s v="网络金融银行领域（上海）"/>
        <s v="支付结算应用群"/>
        <s v="信贷及信用卡领域（上海）"/>
        <s v="网络金融银行领域（苏州）"/>
      </sharedItems>
    </cacheField>
    <cacheField name="驻场模式" numFmtId="0">
      <sharedItems containsBlank="1" count="3">
        <s v="B模式"/>
        <m/>
        <s v="A模式"/>
      </sharedItems>
    </cacheField>
    <cacheField name="所属部落" numFmtId="0">
      <sharedItems containsBlank="1" count="13">
        <s v="数据开发部落"/>
        <s v="智能研发部落"/>
        <s v="信息管理部落"/>
        <s v="核心系统重构项目组"/>
        <m/>
        <s v="监管报送部落"/>
        <s v="上海科技管理部落"/>
        <s v="数据平台部落"/>
        <s v="信用卡业务系统3.0项目组"/>
        <s v="数管科技管理部落"/>
        <s v="数据测试部落"/>
        <s v="上海零售信贷部落"/>
        <s v="上海综合管理部落"/>
      </sharedItems>
    </cacheField>
    <cacheField name="所属小队" numFmtId="0">
      <sharedItems containsBlank="1" count="73">
        <s v="大数据应用三队"/>
        <s v="基础模型小队"/>
        <s v="基础数据小队"/>
        <s v="同业CRM小队"/>
        <s v="零售对公CRM APP小队"/>
        <s v="UDAS风险数据小队"/>
        <s v="NRP集市小队"/>
        <s v="数据小队"/>
        <m/>
        <s v="数据测试小队"/>
        <s v="银保监报送小队"/>
        <s v="大数据应用一队"/>
        <s v="配置管理小队（上海）"/>
        <s v="监管报送集市小队"/>
        <s v="大数据应用二队"/>
        <s v="UDAS公共1队"/>
        <s v="大数据入仓小队"/>
        <s v="司库监管报送小队"/>
        <s v="零售对公CRM PC小队"/>
        <s v="授信全流程-数据小队"/>
        <s v="智能风控小队"/>
        <s v="BI工具小队"/>
        <s v="数据组小队"/>
        <s v="运营集市小队"/>
        <s v="UDAS零售数据小队"/>
        <s v="UDAS基础数据小队"/>
        <s v="UDAS公共大队"/>
        <s v="零售业务数据分析小队"/>
        <s v="对公应用小队"/>
        <s v="数据治理助理小队（数管）"/>
        <s v="反洗钱小队"/>
        <s v="综合监管报送小队"/>
        <s v="测试小队"/>
        <s v="行政助理小队（数管）"/>
        <s v="外数服务小队"/>
        <s v="应用开发小队"/>
        <s v="智能应用小队"/>
        <s v="数据模型小队"/>
        <s v="央行监管报送小队"/>
        <s v="零售应用小队"/>
        <s v="数仓应用一队"/>
        <s v="DBA小队(大数据)"/>
        <s v="UDAS公司数据小队"/>
        <s v="运维支持小队"/>
        <s v="数据服务小队"/>
        <s v="智能脱敏小队"/>
        <s v="反洗钱综合管理小队"/>
        <s v="智能平台小队"/>
        <s v="TD入仓小队"/>
        <s v="财务报表小队"/>
        <s v="风险模型小队"/>
        <s v="数据专家小队（数管）"/>
        <s v="DLA小队"/>
        <s v="数据平台自研小队"/>
        <s v="hdq小队"/>
        <s v="大零售数据分析小队"/>
        <s v="QA小队（数管）"/>
        <s v="研发管理小队"/>
        <s v="人行征信小队"/>
        <s v="实时数仓小队"/>
        <s v="标签管理平台小队"/>
        <s v="ADP小队"/>
        <s v="运营风险小队"/>
        <s v="Xenon调度小队"/>
        <s v="数据抽取小队"/>
        <s v="UDAS公共2队"/>
        <s v="非零BP数据小队"/>
        <s v="通用平台小队"/>
        <s v="UDAS公共3队"/>
        <s v="工具开发小队"/>
        <s v="实时接入小队"/>
        <s v="DSDGS小队"/>
        <s v="Stella小队"/>
      </sharedItems>
    </cacheField>
    <cacheField name="应用系统" numFmtId="0">
      <sharedItems containsBlank="1" count="76">
        <s v="Hadoop大数据集群"/>
        <m/>
        <s v="公司客户关系管理"/>
        <s v="掌上行"/>
        <s v="信用风险监测预警"/>
        <s v="监管可信区"/>
        <s v="统一报表及指标平台"/>
        <s v="金融基础数据模型计算区"/>
        <s v="司库应用计算区"/>
        <s v="司库风险管理"/>
        <s v="DWS数据集群"/>
        <s v="司库智能问数"/>
        <s v="征信管理应用计算区"/>
        <s v="数据仓库集群"/>
        <s v="零售客户关系管理"/>
        <s v="数据仓库"/>
        <s v="数据采集工具"/>
        <s v="1104报送"/>
        <s v="区域特色报表"/>
        <s v="外部数据管理"/>
        <s v="大模型智能体"/>
        <s v="金融基础数据统计报送"/>
        <s v="活体检测"/>
        <s v="信用风险管理监测应用计算区"/>
        <s v="实时开发平台"/>
        <s v="指纹认证"/>
        <s v="关联图谱"/>
        <s v="流程机器人集中管理"/>
        <s v="人行征信"/>
        <s v="EAST报送"/>
        <s v="数据资产管理"/>
        <s v="资产负债管理"/>
        <s v="供应链报送模块"/>
        <s v="智能研报分析"/>
        <s v="监管报送应用计算区"/>
        <s v="央行监管报送"/>
        <s v="统一生物识别"/>
        <s v="数据服务管理"/>
        <s v="统一影像识别"/>
        <s v="人行账户报送2.0"/>
        <s v="保证贷款报送"/>
        <s v="反洗钱报送"/>
        <s v="大数据分析服务"/>
        <s v="人行存保系统"/>
        <s v="同业客户关系管理"/>
        <s v="尽调报告助手"/>
        <s v="开源算法平台"/>
        <s v="智能财报分析"/>
        <s v="风险决策引擎"/>
        <s v="利率报备明细报送"/>
        <s v="客户风险统计报送"/>
        <s v="审计署报送2.0"/>
        <s v="规则引擎"/>
        <s v="司库监管报送"/>
        <s v="反洗钱数据集市"/>
        <s v="可视化报表助手"/>
        <s v="SAS数据分析挖掘"/>
        <s v="司库看板"/>
        <s v="审计综合管理系统"/>
        <s v="企业资金流信息共享"/>
        <s v="语音文本互转服务"/>
        <s v="实时数仓"/>
        <s v="双录质检"/>
        <s v="隐私计算平台"/>
        <s v="数据脱敏管理"/>
        <s v="运营风险监控"/>
        <s v="分析圈客一体化"/>
        <s v="联机服务集群"/>
        <s v="反洗钱综合管理系统"/>
        <s v="会话式人工智能服务"/>
        <s v="支付统计分析集市"/>
        <s v="FAL报送"/>
        <s v="信用卡主题报表"/>
        <s v="魔镜智能风控"/>
        <s v="支付信息报送"/>
        <s v="智能问数助手"/>
      </sharedItems>
    </cacheField>
    <cacheField name="批次" numFmtId="0">
      <sharedItems containsBlank="1" count="154">
        <s v="ADPM需求-X20231222000020[第6批]"/>
        <m/>
        <s v="ADPM需求-X20250409000030[第1批]"/>
        <s v="ADPM需求-X20250612000039[第6批]"/>
        <s v="ADPM需求-X20240926000006[第3批]"/>
        <s v="ADPM需求-X20240108000018[第8批]"/>
        <s v="ADPM需求-X20251104000031[第1批]"/>
        <s v="ADPM需求-X20250305000005[第1批]"/>
        <s v="ADPM需求-X20260204000040[第2批]"/>
        <s v="ADPM需求-X20250620000012[第1批]"/>
        <s v="ADPM需求-X20240423000001[第12批]"/>
        <s v="ADPM需求-X20260106000017[第1批]"/>
        <s v="ADPM需求-X20240119000030[第2批]"/>
        <s v="ADPM需求-X20251210000003[第2批]"/>
        <s v="ADPM需求-X20250422000007[第2批]"/>
        <s v="ADPM需求-X20251219000038[第2批]"/>
        <s v="ADPM需求-X20250708000021[第2批]"/>
        <s v="ADPM需求-X20251027000041[第1批]"/>
        <s v="ADPM需求-X20251215000003[第3批]"/>
        <s v="ADPM需求-X20251216000025[第1批]"/>
        <s v="ADPM需求-X20250923000046[第1批]"/>
        <s v="ADPM需求-X20251219000026[第1批]"/>
        <s v="ADPM需求-X20251124000006[第3批]"/>
        <s v="ADPM需求-X20260211000013[第1批]"/>
        <s v="ADPM需求-X20260212000001[第1批]"/>
        <s v="ADPM需求-X20251218000014[第2批]"/>
        <s v="ADPM需求-X20240108000016[第14批]"/>
        <s v="ADPM需求-X20251024000020[第2批]"/>
        <s v="ADPM需求-X20250529000032[第1批]"/>
        <s v="ADPM需求-X20251113000032[第2批]"/>
        <s v="ADPM需求-X20250522000026[第5批]"/>
        <s v="ADPM需求-X20250915000014[第2批]"/>
        <s v="ADPM需求-X20240821000010[第2批]"/>
        <s v="ADPM需求-X20260127000009[第1批]"/>
        <s v="ADPM需求-X20250522000019[第1批]"/>
        <s v="ADPM需求-X20241028000016[第1批]"/>
        <s v="ADPM需求-X20251218000036[第1批]"/>
        <s v="ADPM需求-X20260311000039[第2批]"/>
        <s v="ADPM需求-X20251210000015[第1批]"/>
        <s v="ADPM需求-X20230711000010[第7批]"/>
        <s v="ADPM需求-X20260128000012[第1批]"/>
        <s v="ADPM需求-X20260105000050[第1批]"/>
        <s v="ADPM需求-X20260127000011[第1批]"/>
        <s v="ADPM需求-X20250910000012[第1批]"/>
        <s v="ADPM需求-X20260114000002[第1批]"/>
        <s v="ADPM需求-X20260205000012[第1批]"/>
        <s v="ADPM需求-X20251028000045[第1批]"/>
        <s v="ADPM需求-X20250418000043[第3批]"/>
        <s v="ADPM需求-X20251017000010[第1批]"/>
        <s v="ADPM需求-X20260121000010[第1批]"/>
        <s v="ADPM需求-X20241029000029[第2批]"/>
        <s v="ADPM需求-X20250326000033[第2批]"/>
        <s v="ADPM需求-X20260116000002[第1批]"/>
        <s v="ADPM需求-X20251112000008[第1批]"/>
        <s v="ADPM需求-X20260116000024[第1批]"/>
        <s v="ADPM需求-X20250701000015[第1批]"/>
        <s v="ADPM需求-X20260119000039[第1批]"/>
        <s v="ADPM需求-X20250306000014[第2批]"/>
        <s v="ADPM需求-X20251210000031[第1批]"/>
        <s v="ADPM需求-X20251205000020[第1批]"/>
        <s v="ADPM需求-X20260121000042[第1批]"/>
        <s v="ADPM需求-X20230330000025[第1批]"/>
        <s v="ADPM需求-X20251118000017[第2批]"/>
        <s v="ADPM需求-X20260227000049[第1批]"/>
        <s v="ADPM需求-X20260206000032[第1批]"/>
        <s v="ADPM需求-X20260116000041[第1批]"/>
        <s v="ADPM需求-X20251111000014[第1批]"/>
        <s v="ADPM需求-X20251114000042[第2批]"/>
        <s v="ADPM需求-X20260305000008[第1批]"/>
        <s v="ADPM需求-X20260128000041[第1批]"/>
        <s v="ADPM需求-X20260129000011[第1批]"/>
        <s v="ADPM需求-X20250918000030[第2批]"/>
        <s v="ADPM需求-X20250922000036[第5批]"/>
        <s v="ADPM需求-X20251126000012[第1批]"/>
        <s v="ADPM需求-X20260120000001[第1批]"/>
        <s v="ADPM需求-X20260225000005[第1批]"/>
        <s v="ADPM需求-X20251027000001[第1批]"/>
        <s v="ADPM需求-X20251208000004[第3批]"/>
        <s v="ADPM需求-X20250421000027[第4批]"/>
        <s v="ADPM需求-X20251022000005[第6批]"/>
        <s v="ADPM需求-X20240218000019[第6批]"/>
        <s v="ADPM需求-X20260122000030[第1批]"/>
        <s v="ADPM需求-X20250821000002[第1批]"/>
        <s v="ADPM需求-X20260311000039[第1批]"/>
        <s v="ADPM需求-X20260119000019[第1批]"/>
        <s v="ADPM需求-X20260213000002[第5批]"/>
        <s v="ADPM需求-X20251017000036[第2批]"/>
        <s v="ADPM需求-X20260116000004[第1批]"/>
        <s v="ADPM需求-X20251125000015[第2批]"/>
        <s v="ADPM需求-X20260206000021[第1批]"/>
        <s v="ADPM需求-X20260210000002[第2批]"/>
        <s v="ADPM需求-X20240428000013[第3批]"/>
        <s v="ADPM需求-X20251114000012[第2批]"/>
        <s v="ADPM需求-X20260210000014[第1批]"/>
        <s v="ADPM需求-X20260203000034[第3批]"/>
        <s v="ADPM需求-X20251119000002[第2批]"/>
        <s v="ADPM需求-X20250902000015[第2批]"/>
        <s v="ADPM需求-X20250220000008[第2批]"/>
        <s v="ADPM需求-X20251219000017[第1批]"/>
        <s v="ADPM需求-X20251024000005[第1批]"/>
        <s v="ADPM需求-X20240808000017[第2批]"/>
        <s v="ADPM需求-X20251217000022[第1批]"/>
        <s v="ADPM需求-X20250808000034[第1批]"/>
        <s v="ADPM需求-X20260120000021[第1批]"/>
        <s v="ADPM需求-X20251231000027[第1批]"/>
        <s v="ADPM需求-X20241008000007[第1批]"/>
        <s v="ADPM需求-X20251231000031[第1批]"/>
        <s v="ADPM需求-X20251202000010[第1批]"/>
        <s v="ADPM需求-X20240912000015[第4批]"/>
        <s v="ADPM需求-X20260204000031[第1批]"/>
        <s v="ADPM需求-X20250224000040[第2批]"/>
        <s v="ADPM需求-X20231124000028[第1批]"/>
        <s v="ADPM需求-X20251215000034[第2批]"/>
        <s v="ADPM需求-X20240620000011[第1批]"/>
        <s v="ADPM需求-X20260116000036[第1批]"/>
        <s v="ADPM需求-X20251020000035[第3批]"/>
        <s v="ADPM需求-X20251027000026[第3批]"/>
        <s v="ADPM需求-X20260227000054[第1批]"/>
        <s v="ADPM需求-X20251219000033[第1批]"/>
        <s v="ADPM需求-X20251222000002[第1批]"/>
        <s v="ADPM需求-X20250109000004[第1批]"/>
        <s v="ADPM需求-X20260302000013[第1批]"/>
        <s v="ADPM需求-X20260107000035[第1批]"/>
        <s v="ADPM需求-X20260122000006[第1批]"/>
        <s v="ADPM需求-X20260114000021[第1批]"/>
        <s v="ADPM需求-X20250109000025[第1批]"/>
        <s v="ADPM需求-X20260121000012[第1批]"/>
        <s v="ADPM需求-X20260203000022[第1批]"/>
        <s v="ADPM需求-X20260116000038[第1批]"/>
        <s v="ADPM需求-X20250929000030[第4批]"/>
        <s v="ADPM需求-X20251125000006[第1批]"/>
        <s v="ADPM需求-X20251204000015[第1批]"/>
        <s v="ADPM需求-X20240802000008[第1批]"/>
        <s v="ADPM需求-X20251212000031[第2批]"/>
        <s v="ADPM需求-X20240327000020[第9批]"/>
        <s v="ADPM需求-X20250806000004[第1批]"/>
        <s v="ADPM需求-X20251024000012[第2批]"/>
        <s v="ADPM需求-X20260116000008[第1批]"/>
        <s v="ADPM需求-X20230711000010[第6批]"/>
        <s v="ADPM需求-X20251009000013[第4批]"/>
        <s v="ADPM需求-X20251024000020[第1批]"/>
        <s v="ADPM需求-X20251119000002[第1批]"/>
        <s v="ADPM需求-X20260203000023[第1批]"/>
        <s v="ADPM需求-X20251027000015[第2批]"/>
        <s v="ADPM需求-X20260120000023[第1批]"/>
        <s v="ADPM需求-X20260116000039[第1批]"/>
        <s v="ADPM需求-X20260126000020[第3批]"/>
        <s v="ADPM需求-X20250923000047[第2批]"/>
        <s v="ADPM需求-X20260203000019[第1批]"/>
        <s v="ADPM需求-X20251114000019[第2批]"/>
        <s v="ADPM需求-X20260213000002[第4批]"/>
        <s v="ADPM需求-X20240327000020[第8批]"/>
        <s v="ADPM需求-X20250902000018[第1批]"/>
        <s v="ADPM需求-X20260126000020[第2批]"/>
      </sharedItems>
    </cacheField>
    <cacheField name="所属的ADPM需求" numFmtId="0">
      <sharedItems containsBlank="1" count="212">
        <s v="UDAS业务数据模型迁移"/>
        <m/>
        <s v="基于整合模型金融市场领域的MRP迁移改造需求"/>
        <s v="投行业务管理平台优化需求"/>
        <s v="关于在对公CRM新增周报管理功能的需求"/>
        <s v="2025年经营指标体系建设"/>
        <s v="2024年度经营单位数字化管理建设项目"/>
        <s v="慧信工程-监管报送集市建设"/>
        <s v="关于对公CRM客户经理业绩前端页面调整的需求书"/>
        <s v="关于江苏金租接入车生态项目的需求书"/>
        <s v="【反电诈】关于优化警银数据交互功能的需求"/>
        <s v="监管一表通三期"/>
        <s v="关于司库进阶版功能建设的需求"/>
        <s v="IRMS票易贷数据迁移功能优化业务需求书-业务功能类V4.5"/>
        <s v="大数据仓库及应用系统数据时效治理专项优化项目(2024年)"/>
        <s v="运营风险监控平台存量模型优化（重要物品类、账户及交易类等）"/>
        <s v="零售内评分池对接、中小企业营收取数逻辑优化的运维需求"/>
        <s v="udas和数仓对上海地区支行代客业务指标统计适配性改造"/>
        <s v="网点交易量等指标掌上行展示工作"/>
        <s v="南通众和应收账款业务业务需求书"/>
        <s v="电信网络诈骗受害人保护项目业务需求书"/>
        <s v="关于抖音电商业务功能优化需求书"/>
        <s v="E变更流程状态及影像、报表查询需求"/>
        <s v="易鑫商车贷迁移功能优化需求"/>
        <s v="关于优化对公CRM个人敏感信息脱敏展示的需求"/>
        <s v="司库移动端智能问数业务需求"/>
        <s v="平安普惠线下模式功能优化业务需求书"/>
        <s v="关于建设重点科技企业金融服务统计表及经营分析看板的需求"/>
        <s v="零售CRM营销数字化及AI外呼智能化赋能项目"/>
        <s v="关于增加风险预警信息e联提示功能等业务需求书"/>
        <s v="财政系统报文逻辑优化及修复"/>
        <s v="慧信工程-风险底线排查与监测预警系统及全面风险指标体系建设"/>
        <s v="掌上行4.5建设项目"/>
        <s v=" 关于零售催收系统对接新决策引擎的优化需求书"/>
        <s v="关于网联支付积分抵现功能的开发需求"/>
        <s v="2026年个人电子渠道竞争力提升数据分析提取需求书"/>
        <s v="关于数据采集平台交互体验提升的业务需求"/>
        <s v="远程银行中心实时断点任务外呼情况分析需求"/>
        <s v="关于零售信贷互联网贷款业务的反欺诈图析分析提炼需求"/>
        <s v="普惠IRMS系统业务方案功能优化需求书"/>
        <s v="2025年零售CRM代发功能优化业务需求书"/>
        <s v="关于反电诈管理项目的需求"/>
        <s v="关于信用卡业务EAST报送数据治理的项目"/>
        <s v="掌上行稳增长增加支行及新增区需求书"/>
        <s v="数据安全管理能力提升专项行动业务需求书"/>
        <s v="关于调整2026年信用卡五级分类报送逻辑的开发需求书"/>
        <s v="网新系统质押券调整信息下行配置改造"/>
        <s v=" 金融基础数据个人贷款发生额（行内自营业务）开发需求"/>
        <s v="保证金相关会计科目调整 维护类需求书"/>
        <s v="金融基础数据数据核对表开发"/>
        <s v="关于UDAS中普惠贷款取数口径的优化需求"/>
        <s v="统一生物识别和活体检测针对CTID三要素核验即将下线的优化改造业务需求书"/>
        <s v="个人征信报送优化需求"/>
        <s v="关于优化企微客户认证和联系记录数据的业务需求书"/>
        <s v="指纹认证技改项目"/>
        <s v="抖音放心借风险行为评分卡指标加工"/>
        <s v="关于零售CRM客户视图展示非柜限额信息的业务需求"/>
        <s v="资负系统增加可下钻报表及数据逻辑优化需求"/>
        <s v="研报分析解读功能"/>
        <s v="活体检测小程序推流服务升级需求书"/>
        <s v="征信查询用户体验优化需求"/>
        <s v="blaze决策引擎部署"/>
        <s v="凯捷商车贷迁移功能优化需求"/>
        <s v="关于信用卡分期业务财政贴息功能的开发需求书"/>
        <s v="对公信贷智能化提升项目"/>
        <s v="手机银行人脸识别支持的证件类型优化需求"/>
        <s v="本币程序化交易系统新增AI存单报价功能需求"/>
        <s v="二级市场福费廷优化"/>
        <s v="关于零售CRM接入实时经营数据的业务需求书"/>
        <s v="多渠道外呼营销标签管理及频次控制需求"/>
        <s v="企业手机银行资金看板优化需求"/>
        <s v="【反电诈】浙江省”智卡通“双链路优化购黄金、可疑转账的需求"/>
        <s v="关于原积分商城（易百）订单数据回迁的需求"/>
        <s v="关于信用卡人行征信报送逾期金额整改的开发需求书"/>
        <s v="关于运营风险监控平台新增交易级外币期权合约资产及负债核算码反向余额的监测"/>
        <s v="关于信用卡催收系统全流程优化项目"/>
        <s v="关于优化AI原生的智能化尽调的需求"/>
        <s v="关于大数仓供数文件字符集切换及下游配合改造的需求"/>
        <s v="车贷等业务风险看板优化及数据支持"/>
        <s v="关于信用卡还款等业务经营监测分析需求"/>
        <s v="反洗钱模型监测性能提升项目需求书"/>
        <s v="1104报表中G21、G22、G2501、G2502 金市拆表自动化需求"/>
        <s v="零售CRM个人客户敏感信息屏蔽业务需求书"/>
        <s v="远程银行中心养老金获客看板线上化需求"/>
        <s v="ASONE及金管局数据下载RPA机器人"/>
        <s v="【机构改革终版】同业CRM业绩分配功能优化"/>
        <s v="2025年反洗钱系统模型及功能优化项目"/>
        <s v="零售客户企业微信标签开发"/>
        <s v="业务需求书-对公征信卡校验关联明细信息提取需求"/>
        <s v="关于公安联网核查征信优化的需求"/>
        <s v="远程银行中心信用卡分期智能外呼策略优化需求"/>
        <s v="权益平台S+权益对接支付宝业务需求书"/>
        <s v="关于新增纪念币预约兑付的业务需求书"/>
        <s v="关于通过智能外呼与客户交互发送对账链接短信的需求"/>
        <s v="企微渠道客群体系数据分析质效优化需求"/>
        <s v="运营流程审核系统收费减免配置需求"/>
        <s v="关于优化CRM尽调环节受益人信息识别的业务需求书"/>
        <s v="关于手机银行理财产品批量购买和赎回功能（天天灵）优化的需求"/>
        <s v="关于银企直联批量支付交易反洗钱报送优化的需求"/>
        <s v="对公客户经理工作台建设项目"/>
        <s v="慧信工程-非零授信全流程系统建设"/>
        <s v="绿色金融业务管理系统"/>
        <s v="关于IST-PAD客户基础信息增加客户权益模块及优化管户信息的业务需求书"/>
        <s v="财富智能配置中心"/>
        <s v="关于代发开户、激活交易纳入风控平台需求书"/>
        <s v="关于个人结算账户申报补报机制优化的业务需求书"/>
        <s v="关于花呗再分期及反洗钱报送调整的需求"/>
        <s v="类代发业绩统计优化需求"/>
        <s v="关于银联无卡系统数据安全整改优化的需求"/>
        <s v="微车贷财政贴息业务优化需求书"/>
        <s v="数据集团 风险信息模块业务需求"/>
        <s v="关于账单分期活动和灰名单功能的优化需求"/>
        <s v="奇瑞商车贷迁移功能优化需求"/>
        <s v="场景快贷升级项目（票易贷和电子保函）"/>
        <s v="Udas优化代客及信用债业务指标"/>
        <s v="金融制裁及敏感名单监测系统新增反洗钱特别预防措施名单标识等功能优化业务需求书"/>
        <s v="关联交易监测报表优化202509"/>
        <s v="互联网贷款支用环节增加ECIF证件有效期拦截"/>
        <s v="企业e宅还款流水查询和贷款用途增加归还本行贷款以及支付流水变更功能等业务需求书"/>
        <s v="关于信用卡客户个人信息更新BI提醒功能的业务需求"/>
        <s v="金融“五篇大文章”专项贷款统计2026制度修订开发需求"/>
        <s v="Dify平台新增投资智库分析助手"/>
        <s v="元宇宙银行行庆电子相册的优化需求"/>
        <s v="关于抖音电商收单业务风险监测功能需求书"/>
        <s v="企业网银营运数据分析功能需求"/>
        <s v="司库数据监管报送需求书"/>
        <s v="公私联动系统优化需求"/>
        <s v="关于基金业绩模型的优化需求"/>
        <s v="关于供应链业务对接票交所e链数据报送的需求"/>
        <s v="参管平台配置收费代码需求"/>
        <s v="关于优化E变更证件有效期账户自动解控的业务需求书"/>
        <s v="UDAS、掌上行、CRM新机构历史数据追溯"/>
        <s v="关于对公客户、资产转让等报表的口径优化需求"/>
        <s v="关于神华银企直联账户查询定制化的需求"/>
        <s v="掌上行定价管理通知协定存款页面优化需求书"/>
        <s v="关于优化CIMC对公客户反洗钱评级推送规则的业务需求书"/>
        <s v="关于优化掌上行线上供应链核心企业明细页面的需求"/>
        <s v="信义贷自助转账还款功能优化业务需求书"/>
        <s v="宅即贷存量业务征信报送优化业务需求书"/>
        <s v="关于云管家新增网点服务人员测指标及展示的需求"/>
        <s v="【反电诈】02651客户状态字查询维护交易权限"/>
        <s v="上海银行个人存款业务信息授权书的业务需求书"/>
        <s v="信义贷国补贴息业务需求"/>
        <s v="贷后系统新增行内征信缓存跑批规则"/>
        <s v="中小微资金流信息共享平台查询优化开发需求"/>
        <s v="关于数据表入仓以及磁升芯开发改造需求"/>
        <s v="主借人变更等贷后变更交易征信报送"/>
        <s v="保险业务支持线上双录话术自动语音播报功能的需求"/>
        <s v="关于零售高潜客户标签开发业务需求书"/>
        <s v="【反电诈】江苏省涉诈受害人数据报送的需求"/>
        <s v="关于客户之声派单增加撤诉等功能的需求"/>
        <s v="支付中心微服务2.0基座升级瑶光5.0需求"/>
        <s v="FineBI看板产品完善与业务支持"/>
        <s v="沉睡户促活脚本优化 总行科技建设业务需求"/>
        <s v="【预警模型】个体工商户及小微企业10万及以下柜面跨行转账手续费未9折"/>
        <s v="关于现有文件入仓切换至采集平台入仓的需求"/>
        <s v="关于宅即贷业务申报流程优化改造的需求"/>
        <s v="【反电诈】交易风险监控平台新增我行高价值客户名单及自动更新功能、反诈建模输出结果在OPM落表"/>
        <s v="关于企业网银客户限额线上调额功能的需求"/>
        <s v="2026年非现场监管报送制度升级需求"/>
        <s v="宁波地方特色数据纳入预警信号功能"/>
        <s v="内部资金转移定价管理系统项目建设"/>
        <s v="关于期次产品增加借记卡新户及新资金客户标签业务需求书"/>
        <s v="UDAS批量开户报表逻辑优化需求"/>
        <s v="基金交易明细新增支持客户号查询"/>
        <s v="跨境转汇业务FTZMIS报送优化需求"/>
        <s v="新增信义贷PLUS业务线策略迁移需求"/>
        <s v="关于运营实物要素管理系统功能优化的需求"/>
        <s v="个人手机银行新增老年客户陪伴式服务人员企微名片功能需求"/>
        <s v="对公结算账户看板"/>
        <s v="关于增设客户账户查证查询需求"/>
        <s v="狮桥个人车主贷业务需求"/>
        <s v="慧信工程-风险底线排查与监测预警系统及全面风险指标体系建设项目快速投产上线流程20260319"/>
        <s v="SAS数据分析挖掘系统数据脱敏需求"/>
        <s v="增值税发票系统查询区间拓展需求"/>
        <s v="FW0122026031300023_总行财富管理与私人银行部生产后台数据修改申请202600043"/>
        <s v="预警流程及信号优化业务需求"/>
        <s v="关于开展个人客户限额管理通知的配套字段需求"/>
        <s v="京小贷对接管会系统功能优化需求书"/>
        <s v="埋点中间表新增查转账、基金、贷款、权益、信用卡还款、频道数据业务需求书"/>
        <s v="EAST监管报送优化需求"/>
        <s v="营销授权策略开关配置及管控需求"/>
        <s v="柜面代发补充柜员号及机构号需求"/>
        <s v="上海银行担保基金担保费收取 业务需求书"/>
        <s v="关于掌上行“网点竞争力”页面优化的需求"/>
        <s v="英文地址线上变更流程"/>
        <s v="风险领域监管报送专项治理项目"/>
        <s v="手机银行新增管户客户经理调整功能"/>
        <s v="G机关与银行业金融机构 开展跨境资金交易监管的需求说明书"/>
        <s v="1"/>
        <s v="数字人民币交行对公钱包反洗钱交易信息获取业务需求"/>
        <s v="AIGC生成式技术综合应用之企业级知识问答体系建设"/>
        <s v="信托产品代销数据抽取等优化需求"/>
        <s v="APP流量分配模型数据表迁入基础集市"/>
        <s v="个人经营贷还款的反洗钱报送需求书"/>
        <s v="对公集市配合智能问数模型新增需求"/>
        <s v="关于PRMS互联网贷款核销数据上传及下游核销标识相关功能优化的需求"/>
        <s v="司库移动端看板业务需求书"/>
        <s v="多银行资金池信投杭实优化业务需求书"/>
        <s v="关于零售信贷基于关联图谱平台 反欺诈数据分析业务支持的需求书202602"/>
        <s v="智能面签分析语音播报优化"/>
        <s v="UDAS平台技术优化项目"/>
        <s v="组合管理系统质押业务明细表新增原始合同编号"/>
        <s v="信义贷进企CRM和云掌柜业务功能需求"/>
        <s v="零售风险决策引擎智能升级项目"/>
        <s v="关于电子保函的优化需求"/>
        <s v="新质检平台按保险评估问卷类型新增前置校验控制需求"/>
        <s v="信用卡业务接入考核机构等优化运维需求"/>
        <s v="网上支付清算和统一跨行代收数据入仓改造"/>
        <s v="关于预警规则作适配性调整需求"/>
        <s v="云网点视频能力迁移"/>
        <s v="关于支持跨产品附卡申请的需求"/>
      </sharedItems>
    </cacheField>
    <cacheField name="工作类型" numFmtId="0">
      <sharedItems containsBlank="1" count="3">
        <m/>
        <s v="通用开发（苏州）"/>
        <s v="通用测试（上海）"/>
      </sharedItems>
    </cacheField>
    <cacheField name="人员等级" numFmtId="0">
      <sharedItems containsBlank="1" count="5">
        <s v="中级"/>
        <m/>
        <s v="资深"/>
        <s v="高级"/>
        <s v="初级"/>
      </sharedItems>
    </cacheField>
    <cacheField name="用户名" numFmtId="0">
      <sharedItems count="406">
        <s v="cs9316@bosc.cn"/>
        <s v="307438@bosc.cn"/>
        <s v="cs5698@bosc.cn"/>
        <s v="cs2303@bosc.cn"/>
        <s v="cs6318@bosc.cn"/>
        <s v="cs7825@bosc.cn"/>
        <s v="cs0966@bosc.cn"/>
        <s v="cs1663@bosc.cn"/>
        <s v="cs7763@bosc.cn"/>
        <s v="cs101076@bosc.cn"/>
        <s v="cs100924@bosc.cn"/>
        <s v="cs101133@bosc.cn"/>
        <s v="cs3225@bosc.cn"/>
        <s v="cs4237@bosc.cn"/>
        <s v="cs1711@bosc.cn"/>
        <s v="cs100416@bosc.cn"/>
        <s v="cs6140@bosc.cn"/>
        <s v="cs100315@bosc.cn"/>
        <s v="cs9091@bosc.cn"/>
        <s v="cs6565@bosc.cn"/>
        <s v="cs6758@bosc.cn"/>
        <s v="cs9009@bosc.cn"/>
        <s v="cs9665@bosc.cn"/>
        <s v="cs8932@bosc.cn"/>
        <s v="cs101206@bosc.cn"/>
        <s v="cs0493@bosc.cn"/>
        <s v="cs7628@bosc.cn"/>
        <s v="cs100308@bosc.cn"/>
        <s v="cs0987@bosc.cn"/>
        <s v="cs100902@bosc.cn"/>
        <s v="cs0574@bosc.cn"/>
        <s v="cs100191@bosc.cn"/>
        <s v="cs0375@bosc.cn"/>
        <s v="cs8393@bosc.cn"/>
        <s v="cs7862@bosc.cn"/>
        <s v="cs101220@bosc.cn"/>
        <s v="cs100010@bosc.cn"/>
        <s v="303471@bosc.cn"/>
        <s v="cs7071@bosc.cn"/>
        <s v="cs3509@bosc.cn"/>
        <s v="cs100377@bosc.cn"/>
        <s v="cs8500@bosc.cn"/>
        <s v="cs4771@bosc.cn"/>
        <s v="cs101081@bosc.cn"/>
        <s v="cs0227@bosc.cn"/>
        <s v="306190@bosc.cn"/>
        <s v="cs3168@bosc.cn"/>
        <s v="cs100301@bosc.cn"/>
        <s v="cs101254@bosc.cn"/>
        <s v="cs101338@bosc.cn"/>
        <s v="cs8843@bosc.cn"/>
        <s v="cs6364@bosc.cn"/>
        <s v="cs8404@bosc.cn"/>
        <s v="cs3632@bosc.cn"/>
        <s v="cs101104@bosc.cn"/>
        <s v="cs9050@bosc.cn"/>
        <s v="cs5324@bosc.cn"/>
        <s v="303482@bosc.cn"/>
        <s v="304805@bosc.cn"/>
        <s v="cs100875@bosc.cn"/>
        <s v="cs1714@bosc.cn"/>
        <s v="cs0898@bosc.cn"/>
        <s v="cs100513@bosc.cn"/>
        <s v="cs5187@bosc.cn"/>
        <s v="cs2868@bosc.cn"/>
        <s v="cs6470@bosc.cn"/>
        <s v="cs3436@bosc.cn"/>
        <s v="cs0495@bosc.cn"/>
        <s v="cs3585@bosc.cn"/>
        <s v="cs2860@bosc.cn"/>
        <s v="cs8696@bosc.cn"/>
        <s v="cs8805@bosc.cn"/>
        <s v="cs101351@bosc.cn"/>
        <s v="cs100853@bosc.cn"/>
        <s v="cs3196@bosc.cn"/>
        <s v="cs0604@bosc.cn"/>
        <s v="306545@bosc.cn"/>
        <s v="cs0326@bosc.cn"/>
        <s v="cs7902@bosc.cn"/>
        <s v="cs0254@bosc.cn"/>
        <s v="cs6391@bosc.cn"/>
        <s v="cs0770@bosc.cn"/>
        <s v="304059@bosc.cn"/>
        <s v="cs101303@bosc.cn"/>
        <s v="cs4953@bosc.cn"/>
        <s v="304765@bosc.cn"/>
        <s v="cs4491@bosc.cn"/>
        <s v="cs0581@bosc.cn"/>
        <s v="cs3212@bosc.cn"/>
        <s v="307311@bosc.cn"/>
        <s v="cs8827@bosc.cn"/>
        <s v="cs0985@bosc.cn"/>
        <s v="305419@bosc.cn"/>
        <s v="cs0025@bosc.cn"/>
        <s v="cs6441@bosc.cn"/>
        <s v="cs5736@bosc.cn"/>
        <s v="307135@bosc.cn"/>
        <s v="306836@bosc.cn"/>
        <s v="cs9226@bosc.cn"/>
        <s v="cs3399@bosc.cn"/>
        <s v="303514@bosc.cn"/>
        <s v="cs0815@bosc.cn"/>
        <s v="cs1922@bosc.cn"/>
        <s v="303060@bosc.cn"/>
        <s v="307139@bosc.cn"/>
        <s v="cs3920@bosc.cn"/>
        <s v="cs5214@bosc.cn"/>
        <s v="306523@bosc.cn"/>
        <s v="307357@bosc.cn"/>
        <s v="cs0247@bosc.cn"/>
        <s v="cs0556@bosc.cn"/>
        <s v="cs100657@bosc.cn"/>
        <s v="cs4132@bosc.cn"/>
        <s v="cs3579@bosc.cn"/>
        <s v="cs0568@bosc.cn"/>
        <s v="cs0703@bosc.cn"/>
        <s v="cs101286@bosc.cn"/>
        <s v="cs0409@bosc.cn"/>
        <s v="307442@bosc.cn"/>
        <s v="304826@bosc.cn"/>
        <s v="304792@bosc.cn"/>
        <s v="cs100028@bosc.cn"/>
        <s v="303569@bosc.cn"/>
        <s v="cs0354@bosc.cn"/>
        <s v="302476@bosc.cn"/>
        <s v="302570@bosc.cn"/>
        <s v="cs4920@bosc.cn"/>
        <s v="305042@bosc.cn"/>
        <s v="306175@bosc.cn"/>
        <s v="301732@bosc.cn"/>
        <s v="cs0502@bosc.cn"/>
        <s v="304855@bosc.cn"/>
        <s v="cs3384@bosc.cn"/>
        <s v="cs1940@bosc.cn"/>
        <s v="cs8856@bosc.cn"/>
        <s v="304049@bosc.cn"/>
        <s v="303436@bosc.cn"/>
        <s v="cs100698@bosc.cn"/>
        <s v="304814@bosc.cn"/>
        <s v="306527@bosc.cn"/>
        <s v="307628@bosc.cn"/>
        <s v="303447@bosc.cn"/>
        <s v="306519@bosc.cn"/>
        <s v="cs0381@bosc.cn"/>
        <s v="305026@bosc.cn"/>
        <s v="cs101102@bosc.cn"/>
        <s v="302551@bosc.cn"/>
        <s v="cs0728@bosc.cn"/>
        <s v="304793@bosc.cn"/>
        <s v="303930@bosc.cn"/>
        <s v="305131@bosc.cn"/>
        <s v="305907@bosc.cn"/>
        <s v="304812@bosc.cn"/>
        <s v="303504@bosc.cn"/>
        <s v="306762@bosc.cn"/>
        <s v="303439@bosc.cn"/>
        <s v="307134@bosc.cn"/>
        <s v="cs5337@bosc.cn"/>
        <s v="cs2783@bosc.cn"/>
        <s v="305337@bosc.cn"/>
        <s v="306532@bosc.cn"/>
        <s v="307310@bosc.cn"/>
        <s v="cs7709@bosc.cn"/>
        <s v="cs8594@bosc.cn"/>
        <s v="305888@bosc.cn"/>
        <s v="cs3813@bosc.cn"/>
        <s v="304795@bosc.cn"/>
        <s v="305341@bosc.cn"/>
        <s v="307441@bosc.cn"/>
        <s v="cs3312@bosc.cn"/>
        <s v="305840@bosc.cn"/>
        <s v="cs3372@bosc.cn"/>
        <s v="cs100109@bosc.cn"/>
        <s v="306171@bosc.cn"/>
        <s v="cs6805@bosc.cn"/>
        <s v="cs0100@bosc.cn"/>
        <s v="305388@bosc.cn"/>
        <s v="cs5111@bosc.cn"/>
        <s v="306462@bosc.cn"/>
        <s v="cs101313@bosc.cn"/>
        <s v="304932@bosc.cn"/>
        <s v="303519@bosc.cn"/>
        <s v="cs100457@bosc.cn"/>
        <s v="cs100725@bosc.cn"/>
        <s v="306066@bosc.cn"/>
        <s v="306529@bosc.cn"/>
        <s v="304092@bosc.cn"/>
        <s v="cs100455@bosc.cn"/>
        <s v="306544@bosc.cn"/>
        <s v="cs3951@bosc.cn"/>
        <s v="cs4921@bosc.cn"/>
        <s v="cs8345@bosc.cn"/>
        <s v="303313@bosc.cn"/>
        <s v="305358@bosc.cn"/>
        <s v="307138@bosc.cn"/>
        <s v="307136@bosc.cn"/>
        <s v="cs3134@bosc.cn"/>
        <s v="cs0226@bosc.cn"/>
        <s v="cs4724@bosc.cn"/>
        <s v="cs7437@bosc.cn"/>
        <s v="306177@bosc.cn"/>
        <s v="cs9358@bosc.cn"/>
        <s v="cs9427@bosc.cn"/>
        <s v="cs7900@bosc.cn"/>
        <s v="cs0296@bosc.cn"/>
        <s v="cs3633@bosc.cn"/>
        <s v="cs9601@bosc.cn"/>
        <s v="307451@bosc.cn"/>
        <s v="cs0945@bosc.cn"/>
        <s v="cs101077@bosc.cn"/>
        <s v="306530@bosc.cn"/>
        <s v="cs5506@bosc.cn"/>
        <s v="cs0979@bosc.cn"/>
        <s v="305188@bosc.cn"/>
        <s v="cs100658@bosc.cn"/>
        <s v="305266@bosc.cn"/>
        <s v="305352@bosc.cn"/>
        <s v="304085@bosc.cn"/>
        <s v="cs7884@bosc.cn"/>
        <s v="302573@bosc.cn"/>
        <s v="305350@bosc.cn"/>
        <s v="cs100883@bosc.cn"/>
        <s v="cs3270@bosc.cn"/>
        <s v="cs1085@bosc.cn"/>
        <s v="304077@bosc.cn"/>
        <s v="307439@bosc.cn"/>
        <s v="cs4803@bosc.cn"/>
        <s v="cs101148@bosc.cn"/>
        <s v="cs5803@bosc.cn"/>
        <s v="cs5491@bosc.cn"/>
        <s v="cs6101@bosc.cn"/>
        <s v="306525@bosc.cn"/>
        <s v="cs4783@bosc.cn"/>
        <s v="305396@bosc.cn"/>
        <s v="cs0310@bosc.cn"/>
        <s v="303473@bosc.cn"/>
        <s v="cs4800@bosc.cn"/>
        <s v="307447@bosc.cn"/>
        <s v="cs8051@bosc.cn"/>
        <s v="cs5941@bosc.cn"/>
        <s v="305087@bosc.cn"/>
        <s v="307351@bosc.cn"/>
        <s v="cs0593@bosc.cn"/>
        <s v="cs2843@bosc.cn"/>
        <s v="cs5427@bosc.cn"/>
        <s v="306475@bosc.cn"/>
        <s v="cs7759@bosc.cn"/>
        <s v="cs100843@bosc.cn"/>
        <s v="304057@bosc.cn"/>
        <s v="306537@bosc.cn"/>
        <s v="cs3593@bosc.cn"/>
        <s v="304303@bosc.cn"/>
        <s v="cs0602@bosc.cn"/>
        <s v="cs5347@bosc.cn"/>
        <s v="305887@bosc.cn"/>
        <s v="cs0411@bosc.cn"/>
        <s v="305415@bosc.cn"/>
        <s v="cs2813@bosc.cn"/>
        <s v="cs6755@bosc.cn"/>
        <s v="cs101335@bosc.cn"/>
        <s v="306463@bosc.cn"/>
        <s v="cs6757@bosc.cn"/>
        <s v="cs9394@bosc.cn"/>
        <s v="cs9136@bosc.cn"/>
        <s v="cs0256@bosc.cn"/>
        <s v="cs6784@bosc.cn"/>
        <s v="cs7801@bosc.cn"/>
        <s v="cs4126@bosc.cn"/>
        <s v="306180@bosc.cn"/>
        <s v="cs100497@bosc.cn"/>
        <s v="cs0883@bosc.cn"/>
        <s v="cs7620@bosc.cn"/>
        <s v="cs100244@bosc.cn"/>
        <s v="cs3511@bosc.cn"/>
        <s v="304773@bosc.cn"/>
        <s v="cs0586@bosc.cn"/>
        <s v="cs8945@bosc.cn"/>
        <s v="305431@bosc.cn"/>
        <s v="cs101134@bosc.cn"/>
        <s v="cs7831@bosc.cn"/>
        <s v="303494@bosc.cn"/>
        <s v="cs4873@bosc.cn"/>
        <s v="304304@bosc.cn"/>
        <s v="cs100832@bosc.cn"/>
        <s v="cs3929@bosc.cn"/>
        <s v="cs6716@bosc.cn"/>
        <s v="cs7102@bosc.cn"/>
        <s v="cs2181@bosc.cn"/>
        <s v="306526@bosc.cn"/>
        <s v="cs101128@bosc.cn"/>
        <s v="cs3366@bosc.cn"/>
        <s v="cs100724@bosc.cn"/>
        <s v="305414@bosc.cn"/>
        <s v="306187@bosc.cn"/>
        <s v="304775@bosc.cn"/>
        <s v="cs4658@bosc.cn"/>
        <s v="cs100806@bosc.cn"/>
        <s v="cs3378@bosc.cn"/>
        <s v="cs100871@bosc.cn"/>
        <s v="cs3018@bosc.cn"/>
        <s v="305401@bosc.cn"/>
        <s v="305425@bosc.cn"/>
        <s v="306467@bosc.cn"/>
        <s v="307307@bosc.cn"/>
        <s v="cs6323@bosc.cn"/>
        <s v="306538@bosc.cn"/>
        <s v="304799@bosc.cn"/>
        <s v="305481@bosc.cn"/>
        <s v="cs8531@bosc.cn"/>
        <s v="305405@bosc.cn"/>
        <s v="cs100897@bosc.cn"/>
        <s v="cs101007@bosc.cn"/>
        <s v="cs101005@bosc.cn"/>
        <s v="cs9726@bosc.cn"/>
        <s v="cs100723@bosc.cn"/>
        <s v="cs9413@bosc.cn"/>
        <s v="305184@bosc.cn"/>
        <s v="cs100407@bosc.cn"/>
        <s v="cs5591@bosc.cn"/>
        <s v="cs6845@bosc.cn"/>
        <s v="cs6762@bosc.cn"/>
        <s v="cs9066@bosc.cn"/>
        <s v="cs8940@bosc.cn"/>
        <s v="cs100889@bosc.cn"/>
        <s v="306985@bosc.cn"/>
        <s v="303450@bosc.cn"/>
        <s v="cs8592@bosc.cn"/>
        <s v="cs8400@bosc.cn"/>
        <s v="cs4263@bosc.cn"/>
        <s v="cs0396@bosc.cn"/>
        <s v="cs101315@bosc.cn"/>
        <s v="cs101057@bosc.cn"/>
        <s v="cs3597@bosc.cn"/>
        <s v="cs101070@bosc.cn"/>
        <s v="cs100504@bosc.cn"/>
        <s v="cs0874@bosc.cn"/>
        <s v="cs1715@bosc.cn"/>
        <s v="cs101183@bosc.cn"/>
        <s v="cs1878@bosc.cn"/>
        <s v="cs0952@bosc.cn"/>
        <s v="cs9436@bosc.cn"/>
        <s v="cs101008@bosc.cn"/>
        <s v="cs3561@bosc.cn"/>
        <s v="cs1706@bosc.cn"/>
        <s v="cs101171@bosc.cn"/>
        <s v="cs100988@bosc.cn"/>
        <s v="cs1907@bosc.cn"/>
        <s v="cs0805@bosc.cn"/>
        <s v="cs9425@bosc.cn"/>
        <s v="cs6673@bosc.cn"/>
        <s v="cs0408@bosc.cn"/>
        <s v="cs5112@bosc.cn"/>
        <s v="cs9185@bosc.cn"/>
        <s v="cs9485@bosc.cn"/>
        <s v="cs101103@bosc.cn"/>
        <s v="cs0509@bosc.cn"/>
        <s v="cs0395@bosc.cn"/>
        <s v="cs100270@bosc.cn"/>
        <s v="cs7269@bosc.cn"/>
        <s v="306252@bosc.cn"/>
        <s v="cs6114@bosc.cn"/>
        <s v="306191@bosc.cn"/>
        <s v="cs8364@bosc.cn"/>
        <s v="cs0837@bosc.cn"/>
        <s v="306531@bosc.cn"/>
        <s v="cs0958@bosc.cn"/>
        <s v="cs7823@bosc.cn"/>
        <s v="cs7240@bosc.cn"/>
        <s v="cs5114@bosc.cn"/>
        <s v="cs4396@bosc.cn"/>
        <s v="cs5421@bosc.cn"/>
        <s v="cs0962@bosc.cn"/>
        <s v="cs2596@bosc.cn"/>
        <s v="cs100331@bosc.cn"/>
        <s v="cs7799@bosc.cn"/>
        <s v="cs1661@bosc.cn"/>
        <s v="cs9581@bosc.cn"/>
        <s v="305377@bosc.cn"/>
        <s v="307133@bosc.cn"/>
        <s v="cs7436@bosc.cn"/>
        <s v="cs5404@bosc.cn"/>
        <s v="cs2883@bosc.cn"/>
        <s v="cs4432@bosc.cn"/>
        <s v="319957@bosc.cn"/>
        <s v="cs7679@bosc.cn"/>
        <s v="cs101325@bosc.cn"/>
        <s v="306534@bosc.cn"/>
        <s v="305473@bosc.cn"/>
        <s v="cs7707@bosc.cn"/>
        <s v="305382@bosc.cn"/>
        <s v="cs0567@bosc.cn"/>
        <s v="cs0521@bosc.cn"/>
        <s v="305363@bosc.cn"/>
        <s v="cs6371@bosc.cn"/>
        <s v="304064@bosc.cn"/>
        <s v="307234@bosc.cn"/>
        <s v="cs4799@bosc.cn"/>
        <s v="303028@bosc.cn"/>
        <s v="cs101004@bosc.cn"/>
        <s v="305421@bosc.cn"/>
        <s v="305424@bosc.cn"/>
        <s v="306860@bosc.cn"/>
        <s v="307450@bosc.cn"/>
        <s v="305484@bosc.cn"/>
        <s v="cs6406@bosc.cn"/>
        <s v="305432@bosc.cn"/>
      </sharedItems>
    </cacheField>
    <cacheField name="工号" numFmtId="0">
      <sharedItems count="406">
        <s v="cs9316"/>
        <s v="307438"/>
        <s v="cs5698"/>
        <s v="cs2303"/>
        <s v="cs6318"/>
        <s v="cs7825"/>
        <s v="cs0966"/>
        <s v="cs1663"/>
        <s v="cs7763"/>
        <s v="cs101076"/>
        <s v="cs100924"/>
        <s v="cs101133"/>
        <s v="cs3225"/>
        <s v="cs4237"/>
        <s v="cs1711"/>
        <s v="cs100416"/>
        <s v="cs6140"/>
        <s v="cs100315"/>
        <s v="cs9091"/>
        <s v="cs6565"/>
        <s v="cs6758"/>
        <s v="cs9009"/>
        <s v="cs9665"/>
        <s v="cs8932"/>
        <s v="cs101206"/>
        <s v="cs0493"/>
        <s v="cs7628"/>
        <s v="cs100308"/>
        <s v="cs0987"/>
        <s v="cs100902"/>
        <s v="cs0574"/>
        <s v="cs100191"/>
        <s v="cs0375"/>
        <s v="cs8393"/>
        <s v="cs7862"/>
        <s v="cs101220"/>
        <s v="cs100010"/>
        <s v="303471"/>
        <s v="cs7071"/>
        <s v="cs3509"/>
        <s v="cs100377"/>
        <s v="cs8500"/>
        <s v="cs4771"/>
        <s v="cs101081"/>
        <s v="cs0227"/>
        <s v="306190"/>
        <s v="cs3168"/>
        <s v="cs100301"/>
        <s v="cs101254"/>
        <s v="cs101338"/>
        <s v="cs8843"/>
        <s v="cs6364"/>
        <s v="cs8404"/>
        <s v="cs3632"/>
        <s v="cs101104"/>
        <s v="cs9050"/>
        <s v="cs5324"/>
        <s v="303482"/>
        <s v="304805"/>
        <s v="cs100875"/>
        <s v="cs1714"/>
        <s v="cs0898"/>
        <s v="cs100513"/>
        <s v="cs5187"/>
        <s v="cs2868"/>
        <s v="cs6470"/>
        <s v="cs3436"/>
        <s v="cs0495"/>
        <s v="cs3585"/>
        <s v="cs2860"/>
        <s v="cs8696"/>
        <s v="cs8805"/>
        <s v="cs101351"/>
        <s v="cs100853"/>
        <s v="cs3196"/>
        <s v="cs0604"/>
        <s v="306545"/>
        <s v="cs0326"/>
        <s v="cs7902"/>
        <s v="cs0254"/>
        <s v="cs6391"/>
        <s v="cs0770"/>
        <s v="304059"/>
        <s v="cs101303"/>
        <s v="cs4953"/>
        <s v="304765"/>
        <s v="cs4491"/>
        <s v="cs0581"/>
        <s v="cs3212"/>
        <s v="307311"/>
        <s v="cs8827"/>
        <s v="cs0985"/>
        <s v="305419"/>
        <s v="cs0025"/>
        <s v="cs6441"/>
        <s v="cs5736"/>
        <s v="307135"/>
        <s v="306836"/>
        <s v="cs9226"/>
        <s v="cs3399"/>
        <s v="303514"/>
        <s v="cs0815"/>
        <s v="cs1922"/>
        <s v="303060"/>
        <s v="307139"/>
        <s v="cs3920"/>
        <s v="cs5214"/>
        <s v="306523"/>
        <s v="307357"/>
        <s v="cs0247"/>
        <s v="cs0556"/>
        <s v="cs100657"/>
        <s v="cs4132"/>
        <s v="cs3579"/>
        <s v="cs0568"/>
        <s v="cs0703"/>
        <s v="cs101286"/>
        <s v="cs0409"/>
        <s v="307442"/>
        <s v="304826"/>
        <s v="304792"/>
        <s v="cs100028"/>
        <s v="303569"/>
        <s v="cs0354"/>
        <s v="302476"/>
        <s v="302570"/>
        <s v="cs4920"/>
        <s v="305042"/>
        <s v="306175"/>
        <s v="301732"/>
        <s v="cs0502"/>
        <s v="304855"/>
        <s v="cs3384"/>
        <s v="cs1940"/>
        <s v="cs8856"/>
        <s v="304049"/>
        <s v="303436"/>
        <s v="cs100698"/>
        <s v="304814"/>
        <s v="306527"/>
        <s v="307628"/>
        <s v="303447"/>
        <s v="306519"/>
        <s v="cs0381"/>
        <s v="305026"/>
        <s v="cs101102"/>
        <s v="302551"/>
        <s v="cs0728"/>
        <s v="304793"/>
        <s v="303930"/>
        <s v="305131"/>
        <s v="305907"/>
        <s v="304812"/>
        <s v="303504"/>
        <s v="306762"/>
        <s v="303439"/>
        <s v="307134"/>
        <s v="cs5337"/>
        <s v="cs2783"/>
        <s v="305337"/>
        <s v="306532"/>
        <s v="307310"/>
        <s v="cs7709"/>
        <s v="cs8594"/>
        <s v="305888"/>
        <s v="cs3813"/>
        <s v="304795"/>
        <s v="305341"/>
        <s v="307441"/>
        <s v="cs3312"/>
        <s v="305840"/>
        <s v="cs3372"/>
        <s v="cs100109"/>
        <s v="306171"/>
        <s v="cs6805"/>
        <s v="cs0100"/>
        <s v="305388"/>
        <s v="cs5111"/>
        <s v="306462"/>
        <s v="cs101313"/>
        <s v="304932"/>
        <s v="303519"/>
        <s v="cs100457"/>
        <s v="cs100725"/>
        <s v="306066"/>
        <s v="306529"/>
        <s v="304092"/>
        <s v="cs100455"/>
        <s v="306544"/>
        <s v="cs3951"/>
        <s v="cs4921"/>
        <s v="cs8345"/>
        <s v="303313"/>
        <s v="305358"/>
        <s v="307138"/>
        <s v="307136"/>
        <s v="cs3134"/>
        <s v="cs0226"/>
        <s v="cs4724"/>
        <s v="cs7437"/>
        <s v="306177"/>
        <s v="cs9358"/>
        <s v="cs9427"/>
        <s v="cs7900"/>
        <s v="cs0296"/>
        <s v="cs3633"/>
        <s v="cs9601"/>
        <s v="307451"/>
        <s v="cs0945"/>
        <s v="cs101077"/>
        <s v="306530"/>
        <s v="cs5506"/>
        <s v="cs0979"/>
        <s v="305188"/>
        <s v="cs100658"/>
        <s v="305266"/>
        <s v="305352"/>
        <s v="304085"/>
        <s v="cs7884"/>
        <s v="302573"/>
        <s v="305350"/>
        <s v="cs100883"/>
        <s v="cs3270"/>
        <s v="cs1085"/>
        <s v="304077"/>
        <s v="307439"/>
        <s v="cs4803"/>
        <s v="cs101148"/>
        <s v="cs5803"/>
        <s v="cs5491"/>
        <s v="cs6101"/>
        <s v="306525"/>
        <s v="cs4783"/>
        <s v="305396"/>
        <s v="cs0310"/>
        <s v="303473"/>
        <s v="cs4800"/>
        <s v="307447"/>
        <s v="cs8051"/>
        <s v="cs5941"/>
        <s v="305087"/>
        <s v="307351"/>
        <s v="cs0593"/>
        <s v="cs2843"/>
        <s v="cs5427"/>
        <s v="306475"/>
        <s v="cs7759"/>
        <s v="cs100843"/>
        <s v="304057"/>
        <s v="306537"/>
        <s v="cs3593"/>
        <s v="304303"/>
        <s v="cs0602"/>
        <s v="cs5347"/>
        <s v="305887"/>
        <s v="cs0411"/>
        <s v="305415"/>
        <s v="cs2813"/>
        <s v="cs6755"/>
        <s v="cs101335"/>
        <s v="306463"/>
        <s v="cs6757"/>
        <s v="cs9394"/>
        <s v="cs9136"/>
        <s v="cs0256"/>
        <s v="cs6784"/>
        <s v="cs7801"/>
        <s v="cs4126"/>
        <s v="306180"/>
        <s v="cs100497"/>
        <s v="cs0883"/>
        <s v="cs7620"/>
        <s v="cs100244"/>
        <s v="cs3511"/>
        <s v="304773"/>
        <s v="cs0586"/>
        <s v="cs8945"/>
        <s v="305431"/>
        <s v="cs101134"/>
        <s v="cs7831"/>
        <s v="303494"/>
        <s v="cs4873"/>
        <s v="304304"/>
        <s v="cs100832"/>
        <s v="cs3929"/>
        <s v="cs6716"/>
        <s v="cs7102"/>
        <s v="cs2181"/>
        <s v="306526"/>
        <s v="cs101128"/>
        <s v="cs3366"/>
        <s v="cs100724"/>
        <s v="305414"/>
        <s v="306187"/>
        <s v="304775"/>
        <s v="cs4658"/>
        <s v="cs100806"/>
        <s v="cs3378"/>
        <s v="cs100871"/>
        <s v="cs3018"/>
        <s v="305401"/>
        <s v="305425"/>
        <s v="306467"/>
        <s v="307307"/>
        <s v="cs6323"/>
        <s v="306538"/>
        <s v="304799"/>
        <s v="305481"/>
        <s v="cs8531"/>
        <s v="305405"/>
        <s v="cs100897"/>
        <s v="cs101007"/>
        <s v="cs101005"/>
        <s v="cs9726"/>
        <s v="cs100723"/>
        <s v="cs9413"/>
        <s v="305184"/>
        <s v="cs100407"/>
        <s v="cs5591"/>
        <s v="cs6845"/>
        <s v="cs6762"/>
        <s v="cs9066"/>
        <s v="cs8940"/>
        <s v="cs100889"/>
        <s v="306985"/>
        <s v="303450"/>
        <s v="cs8592"/>
        <s v="cs8400"/>
        <s v="cs4263"/>
        <s v="cs0396"/>
        <s v="cs101315"/>
        <s v="cs101057"/>
        <s v="cs3597"/>
        <s v="cs101070"/>
        <s v="cs100504"/>
        <s v="cs0874"/>
        <s v="cs1715"/>
        <s v="cs101183"/>
        <s v="cs1878"/>
        <s v="cs0952"/>
        <s v="cs9436"/>
        <s v="cs101008"/>
        <s v="cs3561"/>
        <s v="cs1706"/>
        <s v="cs101171"/>
        <s v="cs100988"/>
        <s v="cs1907"/>
        <s v="cs0805"/>
        <s v="cs9425"/>
        <s v="cs6673"/>
        <s v="cs0408"/>
        <s v="cs5112"/>
        <s v="cs9185"/>
        <s v="cs9485"/>
        <s v="cs101103"/>
        <s v="cs0509"/>
        <s v="cs0395"/>
        <s v="cs100270"/>
        <s v="cs7269"/>
        <s v="306252"/>
        <s v="cs6114"/>
        <s v="306191"/>
        <s v="cs8364"/>
        <s v="cs0837"/>
        <s v="306531"/>
        <s v="cs0958"/>
        <s v="cs7823"/>
        <s v="cs7240"/>
        <s v="cs5114"/>
        <s v="cs4396"/>
        <s v="cs5421"/>
        <s v="cs0962"/>
        <s v="cs2596"/>
        <s v="cs100331"/>
        <s v="cs7799"/>
        <s v="cs1661"/>
        <s v="cs9581"/>
        <s v="305377"/>
        <s v="307133"/>
        <s v="cs7436"/>
        <s v="cs5404"/>
        <s v="cs2883"/>
        <s v="cs4432"/>
        <s v="319957"/>
        <s v="cs7679"/>
        <s v="cs101325"/>
        <s v="306534"/>
        <s v="305473"/>
        <s v="cs7707"/>
        <s v="305382"/>
        <s v="cs0567"/>
        <s v="cs0521"/>
        <s v="305363"/>
        <s v="cs6371"/>
        <s v="304064"/>
        <s v="307234"/>
        <s v="cs4799"/>
        <s v="303028"/>
        <s v="cs101004"/>
        <s v="305421"/>
        <s v="305424"/>
        <s v="306860"/>
        <s v="307450"/>
        <s v="305484"/>
        <s v="cs6406"/>
        <s v="305432"/>
      </sharedItems>
    </cacheField>
    <cacheField name="卡片类型" numFmtId="0">
      <sharedItems count="3">
        <s v="系统功能"/>
        <s v="事项任务"/>
        <s v="条目需求"/>
      </sharedItems>
    </cacheField>
    <cacheField name="人员角色" numFmtId="0">
      <sharedItems containsBlank="1" count="17">
        <s v="开发"/>
        <m/>
        <s v="管理人员（小队级）"/>
        <s v="需求分析BA"/>
        <s v="测试"/>
        <s v="配置管理员"/>
        <s v="数据分析助理"/>
        <s v="小队长"/>
        <s v="测试小队长"/>
        <s v="UI设计"/>
        <s v="招聘助理"/>
        <s v="部落长"/>
        <s v="产品经理"/>
        <s v="QA"/>
        <s v="行政助理"/>
        <s v="管理人员（部落级）"/>
        <s v="综合助理"/>
      </sharedItems>
    </cacheField>
    <cacheField name="ADPM需求类型" numFmtId="0">
      <sharedItems containsBlank="1" count="5">
        <s v="项目"/>
        <m/>
        <s v="维护需求"/>
        <s v="年度预算制"/>
        <s v="问题/事件"/>
      </sharedItems>
    </cacheField>
    <cacheField name="ADPM需求编号" numFmtId="0">
      <sharedItems containsBlank="1" count="211">
        <s v="X20231222000020"/>
        <m/>
        <s v="X20260224000012"/>
        <s v="X20250409000030"/>
        <s v="X20260228000040"/>
        <s v="X20250612000039"/>
        <s v="X20240926000006"/>
        <s v="X20240108000018"/>
        <s v="X20251104000031"/>
        <s v="X20250305000005"/>
        <s v="X20260204000040"/>
        <s v="X20250620000012"/>
        <s v="X20240423000001"/>
        <s v="X20260106000017"/>
        <s v="X20240119000030"/>
        <s v="X20251210000003"/>
        <s v="X20250422000007"/>
        <s v="X20251219000038"/>
        <s v="X20250708000021"/>
        <s v="X20251027000041"/>
        <s v="X20250117000017"/>
        <s v="X20251215000003"/>
        <s v="X20251216000025"/>
        <s v="X20250923000046"/>
        <s v="X20251219000026"/>
        <s v="X20251124000006"/>
        <s v="X20260211000013"/>
        <s v="X20250929000029"/>
        <s v="X20250331000031"/>
        <s v="X20260212000001"/>
        <s v="X20251218000014"/>
        <s v="X20240108000016"/>
        <s v="X20250724000029"/>
        <s v="X20251024000020"/>
        <s v="X20250529000032"/>
        <s v="X20260121000013"/>
        <s v="X20251106000044"/>
        <s v="X20260105000030"/>
        <s v="X20260313000021"/>
        <s v="X20251113000032"/>
        <s v="X20250522000026"/>
        <s v="X20240428000013"/>
        <s v="X20250915000014"/>
        <s v="X20240821000010"/>
        <s v="X20260309000010"/>
        <s v="X20260127000009"/>
        <s v="X20250522000019"/>
        <s v="X20260113000032"/>
        <s v="X20241028000016"/>
        <s v="X20251218000036"/>
        <s v="X20260121000018"/>
        <s v="X20260311000039"/>
        <s v="X20260210000035"/>
        <s v="X20251210000015"/>
        <s v="X20230711000010"/>
        <s v="X20260128000012"/>
        <s v="X20260105000050"/>
        <s v="X20260127000011"/>
        <s v="X20250126000014"/>
        <s v="X20250910000012"/>
        <s v="X20260211000058"/>
        <s v="X20260317000007"/>
        <s v="X20250923000047"/>
        <s v="X20260126000020"/>
        <s v="X20260211000032"/>
        <s v="X20260114000002"/>
        <s v="X20260205000012"/>
        <s v="X20260129000028"/>
        <s v="X20251028000045"/>
        <s v="X20250418000043"/>
        <s v="X20251017000010"/>
        <s v="X20250804000029"/>
        <s v="X20260305000008"/>
        <s v="X20260228000013"/>
        <s v="X20260119000041"/>
        <s v="X20250306000014"/>
        <s v="X20260206000032"/>
        <s v="X20260121000010"/>
        <s v="X20260323000045"/>
        <s v="X20260224000003"/>
        <s v="X20240102000016"/>
        <s v="X20260204000053"/>
        <s v="X20241029000029"/>
        <s v="X20260105000029"/>
        <s v="X20260204000032"/>
        <s v="X20260202000012"/>
        <s v="X20250326000033"/>
        <s v="X20241014000009"/>
        <s v="X20250928000034"/>
        <s v="X20260116000002"/>
        <s v="X20260105000032"/>
        <s v="X20251112000008"/>
        <s v="X20260116000024"/>
        <s v="X20250701000015"/>
        <s v="X20260122000001"/>
        <s v="X20260119000039"/>
        <s v="X20260313000045"/>
        <s v="X20251210000031"/>
        <s v="X20251205000020"/>
        <s v="X20260128000014"/>
        <s v="X20240108000030"/>
        <s v="X20251120000013"/>
        <s v="X20260121000042"/>
        <s v="X20230330000025"/>
        <s v="X20260227000001"/>
        <s v="X20251119000002"/>
        <s v="X20251118000017"/>
        <s v="X20251031000158"/>
        <s v="X20260227000049"/>
        <s v="X20260116000041"/>
        <s v="X20251027000039"/>
        <s v="X20251111000014"/>
        <s v="X20251114000042"/>
        <s v="X20250225000018"/>
        <s v="X20260128000041"/>
        <s v="X20260129000011"/>
        <s v="X20250918000030"/>
        <s v="X20250922000036"/>
        <s v="X20251126000012"/>
        <s v="X20260120000001"/>
        <s v="X20260114000018"/>
        <s v="X20260225000005"/>
        <s v="X20251027000001"/>
        <s v="X20251208000004"/>
        <s v="X20250421000027"/>
        <s v="X20251022000005"/>
        <s v="X20240218000019"/>
        <s v="X20260122000030"/>
        <s v="X20250821000002"/>
        <s v="X20260119000019"/>
        <s v="X20260129000031"/>
        <s v="X20260213000002"/>
        <s v="X20251106000039"/>
        <s v="X20251017000036"/>
        <s v="X20251209000005"/>
        <s v="X20260116000004"/>
        <s v="X20251203000009"/>
        <s v="X20251125000015"/>
        <s v="X20260206000021"/>
        <s v="X20260210000002"/>
        <s v="X20251114000012"/>
        <s v="X20260210000014"/>
        <s v="X20260203000034"/>
        <s v="X20250902000015"/>
        <s v="X20250220000008"/>
        <s v="X20251219000017"/>
        <s v="X20251024000005"/>
        <s v="X20240808000017"/>
        <s v="X20251231000009"/>
        <s v="X20251217000022"/>
        <s v="X20250808000034"/>
        <s v="X20231124000028"/>
        <s v="X20251208000010"/>
        <s v="X20251224000022"/>
        <s v="X20260120000021"/>
        <s v="X20251020000035"/>
        <s v="X20260227000054"/>
        <s v="X20251231000027"/>
        <s v="X20241008000007"/>
        <s v="X20251231000031"/>
        <s v="X20251202000010"/>
        <s v="X20240912000015"/>
        <s v="X20260204000031"/>
        <s v="X20250224000040"/>
        <s v="X20251215000034"/>
        <s v="X20240620000011"/>
        <s v="X20260116000036"/>
        <s v="X20251027000026"/>
        <s v="X20251113000020"/>
        <s v="X20251219000033"/>
        <s v="X20251222000002"/>
        <s v="X20250109000004"/>
        <s v="X20260318000031"/>
        <s v="X20260302000013"/>
        <s v="X20260107000035"/>
        <s v="X20260313000040"/>
        <s v="X20260210000034"/>
        <s v="X20260122000006"/>
        <s v="X20260114000021"/>
        <s v="X20250109000025"/>
        <s v="X20260121000012"/>
        <s v="X20260203000022"/>
        <s v="X20260116000038"/>
        <s v="X20250929000030"/>
        <s v="X20250909000021"/>
        <s v="X20251125000006"/>
        <s v="X20250509000021"/>
        <s v="X20251204000015"/>
        <s v="X20240802000008"/>
        <s v="X20251212000031"/>
        <s v="X20240327000020"/>
        <s v="X20250806000004"/>
        <s v="X20251024000012"/>
        <s v="X20260116000008"/>
        <s v="X20260105000001"/>
        <s v="X20251009000013"/>
        <s v="X20251120000001"/>
        <s v="X20260203000023"/>
        <s v="X20260225000011"/>
        <s v="X20251027000015"/>
        <s v="X20230809000027"/>
        <s v="X20260120000023"/>
        <s v="X20250626000031"/>
        <s v="X20240327000016"/>
        <s v="X20260105000047"/>
        <s v="X20260116000039"/>
        <s v="X20260122000019"/>
        <s v="X20260203000019"/>
        <s v="X20251114000019"/>
        <s v="X20251107000051"/>
        <s v="X20250902000018"/>
      </sharedItems>
    </cacheField>
    <cacheField name="应用标识" numFmtId="0">
      <sharedItems containsBlank="1" count="76">
        <s v="BDPHADP"/>
        <m/>
        <s v="CCRM"/>
        <s v="AMBI"/>
        <s v="RAD"/>
        <s v="RTZ"/>
        <s v="UDAS"/>
        <s v="CAFBDM"/>
        <s v="M.TBS.TCA"/>
        <s v="M.TBS.RM"/>
        <s v="BDPDWS"/>
        <s v="M.TBS.INTQUERY"/>
        <s v="CACRS"/>
        <s v="BDAS.DWC"/>
        <s v="PCRM"/>
        <s v="EDW"/>
        <s v="DAT"/>
        <s v="M.RCI.1104"/>
        <s v="M.RCI.QYTS"/>
        <s v="EDM"/>
        <s v="LLMA"/>
        <s v="FIBDS"/>
        <s v="UBI.LD"/>
        <s v="CACRMM"/>
        <s v="RTDP"/>
        <s v="UBI.FPID"/>
        <s v="RG"/>
        <s v="RPAM"/>
        <s v="CRPBC"/>
        <s v="M.RBAC.EAST"/>
        <s v="DAMP"/>
        <s v="ALM"/>
        <s v="M.RPBC.SSC"/>
        <s v="RAD.IARR"/>
        <s v="CARSR"/>
        <s v="RPBC"/>
        <s v="UBI"/>
        <s v="DSM"/>
        <s v="UIR"/>
        <s v="M.RPBC.AR2"/>
        <s v="M.RPBC.GLR"/>
        <s v="AMLR"/>
        <s v="BDAS"/>
        <s v="RPBC.DIS"/>
        <s v="ICRM"/>
        <s v="DDRA"/>
        <s v="BDM"/>
        <s v="IAFS"/>
        <s v="REP.RDE"/>
        <s v="M.RCI.IMAS"/>
        <s v="CRSR"/>
        <s v="M.RBAC.SJS2"/>
        <s v="REP"/>
        <s v="M.TBS.RR"/>
        <s v="M.EDWDWS.AML"/>
        <s v="VRA"/>
        <s v="DAM"/>
        <s v="M.TBS.BD"/>
        <s v="IAMS"/>
        <s v="CFFIS"/>
        <s v="CAIS.STIS"/>
        <s v="EDWRTDW"/>
        <s v="AMPSM.DRI"/>
        <s v="PCP"/>
        <s v="DMM"/>
        <s v="ORC"/>
        <s v="CAS"/>
        <s v="BDPOSC"/>
        <s v="AMLIMS"/>
        <s v="CAIS"/>
        <s v="M.EDWDWS.PIS"/>
        <s v="M.RCI.FAL"/>
        <s v="M.RCI.CCR"/>
        <s v="MMM"/>
        <s v="PISA"/>
        <s v="DQAA"/>
      </sharedItems>
    </cacheField>
    <cacheField name="需求牵头部门（三级）" numFmtId="0">
      <sharedItems containsBlank="1" count="18">
        <m/>
        <s v="开发一部"/>
        <s v="基础中台开发团队"/>
        <s v="司库开发团队"/>
        <s v="智能创新开发团队"/>
        <s v="开发七部"/>
        <s v="开发四部"/>
        <s v="开发六部"/>
        <s v="开发二部"/>
        <s v="开发三部"/>
        <s v="智能平台部"/>
        <s v="移动开发团队"/>
        <s v="杭州分行科技"/>
        <s v="智能应用二部"/>
        <s v="开发八部"/>
        <s v="开发五部"/>
        <s v="南京分行科技"/>
        <s v="核心平台开发团队"/>
      </sharedItems>
    </cacheField>
    <cacheField name="ADPM需求状态" numFmtId="0">
      <sharedItems containsBlank="1" count="3">
        <s v="进行中"/>
        <m/>
        <s v="挂起"/>
      </sharedItems>
    </cacheField>
    <cacheField name="工作卡状态" numFmtId="0">
      <sharedItems count="15">
        <s v="已完成"/>
        <s v="进行中"/>
        <s v="详细设计"/>
        <s v="可行性分析"/>
        <s v="待测试"/>
        <s v="需求验收"/>
        <s v="联调"/>
        <s v="开发"/>
        <s v="投产准备"/>
        <s v="待排期"/>
        <s v="研发中"/>
        <s v="待办"/>
        <s v="待上线"/>
        <s v="集成测试"/>
        <s v="就绪"/>
      </sharedItems>
    </cacheField>
    <cacheField name="描述" numFmtId="0">
      <sharedItems containsBlank="1" count="1615" longText="1">
        <s v="udas_e_gs_corp_dpst_bal_hd新增字段，银联标识、土保标识、源系统期限、源系统期限代码 仓内上下游联调测试（回归部分）按照3轮测试评估_x000a_"/>
        <m/>
        <s v="1. 代码开发 2. 配合联调"/>
        <s v="UDAS_F_GS_IND_FIN_LOAN_DTL_N新增互联网标签 脚本开发_x000a_UDAS_F_GS_IND_FIN_LOAN_DTL_N新增互联网标签 单元测试_x000a_"/>
        <s v="机构KPI页面配置及数据测试验证"/>
        <s v="RDI_F_IND_AGNFUND_TX_BW作业迁移分析，S层缺失字段登记、脚本开发"/>
        <s v="1.查看调试客户视图，集团视图代码逻辑。"/>
        <s v="重点指标配合测试、新旧线比对配合测试"/>
        <s v="新增作业:E_CRM_C_MNGR_WORK_STC_SUM(对公客户经理工作结构统计表) 初始化和批量脚本开发完成"/>
        <s v="接口开发"/>
        <s v="1.X20250305000005-江苏金租接入车生态需求:在测试环境跑一表通报表20260313的数据，并配合下游进行测试验证。_x000a_2.X20250305000005-江苏金租接入车生态需求:在自动化测试平台测试20260327版本的脚本。_x000a_3.现金报送需求：配合下游排查集市“核心收费交易明细”表20251231期“科目代码”、“账号”字段的生产数据问题。"/>
        <s v="新兴板块-下钻页面指标、管理指标:修改一个存储过程【分行代客客户模型黄金租赁有效户逻辑修改】"/>
        <s v="司库数据集团资金日报明细表数据核对"/>
        <s v="票易贷测试"/>
        <s v="一表通旧线数据与新线数据对比，并分析差异原因_x000a_重点指标差异对比"/>
        <s v="RLG_CHAIN_CCM_COMPANY_ADS 配合CCM迁移切换"/>
        <s v="1.验证重点指标修复后问题_x000a_2.开发一表通转east对公信贷分户账逻辑"/>
        <s v="整合模型损益开发测试"/>
        <s v="写白皮书_x000a_E_FRM_NRWA_RETAIL_EXPOSURE_2_x000a_E_FRM_I9_DEVAL_CRDCARD_MT_x000a_写需求概要设计"/>
        <s v="债券积数表查数_x000a_中收表测试、低成本负债测试"/>
        <s v="UDAS_F_CORP_LOAN_BAL_MESSAGE\UDAS_F_CORP_CONSLOAN_BAL\UDAS_F_CORP_LOAN_OCCUR_MESSAGE\UDAS_F_CORP_LOAN_INFO 测试验证。"/>
        <s v="503518"/>
        <s v="掌上行 20260327版本 在 PI  环境部署测试验证 ； 已完成 100% ；"/>
        <s v="脚本开发开发中1个：企业信用受益权投资流水表，增加补录数据组逻辑，脚本开发自测"/>
        <s v="联调 接口监管报送17接口（应收款项）、监管报送18接口（应付款项），监管报送04接口（债券），监管报送03接口（银行贷款）  "/>
        <s v="开发宝山国资委-债务融资驾驶舱 和应收应付驾驶舱"/>
        <s v="SQLREVIEW生产数据验证。"/>
        <s v="修改采集表采集平台开发，抽取测试数据并验证数据准确性_x000a_表清单：iccs_cutoff_differ,iccs_cutoff_record"/>
        <s v="新入表采集平台开发，抽取测试数据并验证数据准确性_x000a_表清单：coi_change_form_info,coi_change_ins_qry_info"/>
        <s v="1.打包测试上线包_x000a_2.修改上线脚本_x000a_3.配合查数调研出数情况"/>
        <s v="整合模型-TP01_CPCT_INR_RTG_RSLT_INF_W 对公客户内部评级结果信息 新增字段，LN_RTG_RSLT_CD  当前评级审定R3代码。_x000a_SQLREVIEW生产数据验证。"/>
        <s v="UPR_CRDT_INFO_M  调整  推数测试"/>
        <s v="新兴板块-下钻页面指标、管理指标:新增/修改指标配置【新增同业机构代发调整项、修改同业机构代发净增指标】_x000a_"/>
        <s v="对公CRM内个人敏感信息脱敏数据处理"/>
        <s v="配合下游测试 南通众和数据，票易贷迁移测试"/>
        <s v="可视化报表助手运维"/>
        <s v="配合测试人员测试"/>
        <s v="1.通过跑批数据反馈脚本代码逻辑有问题，需要修改脚本逻辑。添加新产品代码41022051-无抵押线下模式_x000a_2.重新跑批验证数据_x000a_fidi_etl /fidi/cacrs_crpbc/lgy/etl/i_lnacc_w_hlw.sql &quot;--hivevar SHDATA=SHDATA --hivevar FIDI_CRPBC=fidi_cacrs_crpbc --hivevar V_CURR_DATE=20260317 --hivevar V_YEST_DATE=20260316&quot; /fidi/cacrs_crpbc/lgy/log/20260317/etl_i_lnacc_w_hlw_20260317.log_x000a_fidi_etl /fidi/cacrs_crpbc/lgy/etl/i_lnacc_w.sql &quot;--hivevar SHDATA=SHDATA --hivevar FIDI_CRPBC=fidi_cacrs_crpbc --hivevar V_CURR_DATE=20260317 --hivevar V_YEST_DATE=20260316&quot; /fidi/cacrs_crpbc/lgy/log/20260317/etl_i_lnacc_w_20260317.log_x000a_fidi_etl /fidi/cacrs_crpbc/lgy/etl/i_rltrepymt_w.sql &quot;--hivevar SHDATA=SHDATA --hivevar FIDI_CRPBC=fidi_cacrs_crpbc --hivevar V_CURR_DATE=20260317 --hivevar V_YEST_DATE=20260316&quot; /fidi/cacrs_crpbc/lgy/log/20260317/etl_i_rltrepymt_w_20260317.log_x000a_fidi_etl /fidi/cacrs_crpbc/lgy/etl/i_ctr_wrntctr_rel_w.sql &quot;--hivevar SHDATA=SHDATA --hivevar FIDI_CRPBC=fidi_cacrs_crpbc --hivevar V_CURR_DATE=20260317 --hivevar V_YEST_DATE=20260316&quot; /fidi/cacrs_crpbc/lgy/log/20260317/etl_i_ctr_wrntctr_rel_w_20260317.log_x000a_fidi_etl /fidi/cacrs_crpbc/lgy/etl/i_acctspectrstdspn_a.sql &quot;--hivevar SHDATA=SHDATA --hivevar FIDI_CRPBC=fidi_cacrs_crpbc --hivevar V_CURR_DATE=20260317 --hivevar V_YEST_DATE=20260316&quot; /fidi/cacrs_crpbc/lgy/log/20260317/etl_i_acctspectrstdspn_a_20260317.log_x000a_fidi_etl /fidi/cacrs_crpbc/lgy/etl/i_c_anp_ci_acctbs.sql &quot;--hivevar SHDATA=SHDATA --hivevar FIDI_CRPBC=fidi_cacrs_crpbc --hivevar V_CURR_DATE=20260317 --hivevar V_YEST_DATE=20260316&quot; /fidi/cacrs_crpbc/lgy/log/20260317/etl_i_c_anp_ci_acctbs_20260317.log_x000a_fidi_etl /fidi/cacrs_crpbc/lgy/etl/i_c_anp_ci_acctbs_dbt.sql &quot;--hivevar SHDATA=SHDATA --hivevar FIDI_CRPBC=fidi_cacrs_crpbc --hivevar V_CURR_DATE=20260317 --hivevar V_YEST_DATE=20260316&quot; /fidi/cacrs_crpbc/lgy/log/20260317/etl_i_c_anp_ci_acctbs_dbt_20260317.log_x000a_fidi_etl /fidi/cacrs_crpbc/lgy/etl/i_c_anp_ci_acctbsinf.sql &quot;--hivevar SHDATA=SHDATA --hivevar FIDI_CRPBC=fidi_cacrs_crpbc --hivevar V_CURR_DATE=20260317 --hivevar V_YEST_DATE=20260316&quot; /fidi/cacrs_crpbc/lgy/log/20260317/etl_i_c_anp_ci_acctbsinf_20260317.log_x000a_fidi_etl /fidi/cacrs_crpbc/lgy/etl/i_c_anp_ci_acctdbtinf.sql &quot;--hivevar SHDATA=SHDATA --hivevar FIDI_CRPBC=fidi_cacrs_crpbc --hivevar V_CURR_DATE=20260317 --hivevar V_YEST_DATE=20260316&quot; /fidi/cacrs_crpbc/lgy/log/20260317/etl_i_c_anp_ci_acctdbtinf_20260317.log_x000a_fidi_etl /fidi/cacrs_crpbc/lgy/etl/i_c_anp_ci_acctmthlyblginf.sql &quot;--hivevar SHDATA=SHDATA --hivevar FIDI_CRPBC=fidi_cacrs_crpbc --hivevar V_CURR_DATE=20260317 --hivevar V_YEST_DATE=20260316&quot; /fidi/cacrs_crpbc/lgy/log/20260317/etl_i_c_anp_ci_acctmthlyblginf_20260317.log_x000a_fidi_etl /fidi/cacrs_crpbc/lgy/etl/i_c_anp_ci_motgacltalctrctinf.sql &quot;--hivevar SHDATA=SHDATA --hivevar FIDI_CRPBC=fidi_cacrs_crpbc --hivevar V_CURR_DATE=20260317 --hivevar V_YEST_DATE=20260316&quot; /fidi/cacrs_crpbc/lgy/log/20260317/etl_i_c_anp_ci_motgacltalctrctinf_20260317.log_x000a_fidi_etl /fidi/cacrs_crpbc/lgy/etl/i_c_anp_ci_rltrepymtinf.sql &quot;--hivevar SHDATA=SHDATA --hivevar FIDI_CRPBC=fidi_cacrs_crpbc --hivevar V_CURR_DATE=20260317 --hivevar V_YEST_DATE=20260316&quot; /fidi/cacrs_crpbc/lgy/log/20260317/etl_i_c_anp_ci_rltrepymtinf_20260317.log_x000a_fidi_etl /fidi/cacrs_crpbc/lgy/etl/i_c_anp_ci_acctspectrstdspn.sql &quot;--hivevar SHDATA=SHDATA --hivevar FIDI_CRPBC=fidi_cacrs_crpbc --hivevar V_CURR_DATE=20260317 --hivevar V_YEST_DATE=20260316&quot; /fidi/cacrs_crpbc/lgy/log/20260317/etl_i_c_anp_ci_acctspectrstdspn_20260317.log_x000a_fidi_etl /fidi/cacrs_crpbc/lgy/etl/i_vt_anp_ci_rptdatecode.sql &quot;--hivevar SHDATA=SHDATA --hivevar FIDI_CRPBC=fidi_cacrs_crpbc --hivevar V_CURR_DATE=20260317 --hivevar V_YEST_DATE=20260316&quot; /fidi/cacrs_crpbc/lgy/log/20260317/etl_i_vt_anp_ci_rptdatecode_20260317.log_x000a_fidi_etl /fidi/cacrs_crpbc/lgy/etl/i_v_anp_ci_acctbs.sql &quot;--hivevar SHDATA=SHDATA --hivevar FIDI_CRPBC=fidi_cacrs_crpbc --hivevar V_CURR_DATE=20260317 --hivevar V_YEST_DATE=20260316&quot; /fidi/cacrs_crpbc/lgy/log/20260317/etl_i_v_anp_ci_acctbs_20260317.log_x000a_fidi_etl /fidi/cacrs_crpbc/lgy/etl/i_v_anp_ci_acctbsinf.sql &quot;--hivevar SHDATA=SHDATA --hivevar FIDI_CRPBC=fidi_cacrs_crpbc --hivevar V_CURR_DATE=20260317 --hivevar V_YEST_DATE=20260316&quot; /fidi/cacrs_crpbc/lgy/log/20260317/etl_i_v_anp_ci_acctbsinf_20260317.log_x000a_fidi_etl /fidi/cacrs_crpbc/lgy/etl/i_v_anp_ci_acctdbtinf.sql &quot;--hivevar SHDATA=SHDATA --hivevar FIDI_CRPBC=fidi_cacrs_crpbc --hivevar V_CURR_DATE=20260317 --hivevar V_YEST_DATE=20260316&quot; /fidi/cacrs_crpbc/lgy/log/20260317/etl_i_v_anp_ci_acctdbtinf_20260317.log_x000a_fidi_etl /fidi/cacrs_crpbc/lgy/etl/i_v_anp_ci_acctmthlyblginf.sql &quot;--hivevar SHDATA=SHDATA --hivevar FIDI_CRPBC=fidi_cacrs_crpbc --hivevar V_CURR_DATE=20260317 --hivevar V_YEST_DATE=20260316&quot; /fidi/cacrs_crpbc/lgy/log/20260317/etl_i_v_anp_ci_acctmthlyblginf_20260317.log_x000a_fidi_etl /fidi/cacrs_crpbc/lgy/etl/i_v_anp_ci_motgacltalctrctinf.sql &quot;--hivevar SHDATA=SHDATA --hivevar FIDI_CRPBC=fidi_cacrs_crpbc --hivevar V_CURR_DATE=20260317 --hivevar V_YEST_DATE=20260316&quot; /fidi/cacrs_crpbc/lgy/log/20260317/etl_i_v_anp_ci_motgacltalctrctinf_20260317.log_x000a_fidi_etl /fidi/cacrs_crpbc/lgy/etl/i_v_anp_ci_rltrepymtinf.sql &quot;--hivevar SHDATA=SHDATA --hivevar FIDI_CRPBC=fidi_cacrs_crpbc --hivevar V_CURR_DATE=20260317 --hivevar V_YEST_DATE=20260316&quot; /fidi/cacrs_crpbc/lgy/log/20260317/etl_i_v_anp_ci_rltrepymtinf_20260317.log_x000a_fidi_etl /fidi/cacrs_crpbc/lgy/etl/i_v_anp_ci_acctspectrstdspn.sql &quot;--hivevar SHDATA=SHDATA --hivevar FIDI_CRPBC=fidi_cacrs_crpbc --hivevar V_CURR_DATE=20260317 --hivevar V_YEST_DATE=20260316&quot; /fidi/cacrs_crpbc/lgy/log/20260317/etl_i_v_anp_ci_acctspectrstdspn_20260317.log_x000a_fidi_etl /fidi/cacrs_crpbc/lgy/etl/i_p_anp_ci_acctbsinf.sql &quot;--hivevar SHDATA=SHDATA --hivevar FIDI_CRPBC=fidi_cacrs_crpbc --hivevar V_CURR_DATE=20260317 --hivevar V_YEST_DATE=20260316&quot; /fidi/cacrs_crpbc/lgy/log/20260317/etl_i_p_anp_ci_acctbsinf_20260317.log_x000a_fidi_etl /fidi/cacrs_crpbc/lgy/etl/i_p_anp_ci_acctbs.sql &quot;--hivevar SHDATA=SHDATA --hivevar FIDI_CRPBC=fidi_cacrs_crpbc --hivevar V_CURR_DATE=20260317 --hivevar V_YEST_DATE=20260316&quot; /fidi/cacrs_crpbc/lgy/log/20260317/etl_i_p_anp_ci_acctbs_20260317.log_x000a_fidi_etl /fidi/cacrs_crpbc/lgy/etl/i_p_anp_ci_acctdbtinf.sql &quot;--hivevar SHDATA=SHDATA --hivevar FIDI_CRPBC=fidi_cacrs_crpbc --hivevar V_CURR_DATE=20260317 --hivevar V_YEST_DATE=20260316&quot; /fidi/cacrs_crpbc/lgy/log/20260317/etl_i_p_anp_ci_acctdbtinf_20260317.log_x000a_fidi_etl /fidi/cacrs_crpbc/lgy/etl/i_p_anp_ci_acctmthlyblginf.sql &quot;--hivevar SHDATA=SHDATA --hivevar FIDI_CRPBC=fidi_cacrs_crpbc --hivevar V_CURR_DATE=20260317 --hivevar V_YEST_DATE=20260316&quot; /fidi/cacrs_crpbc/lgy/log/20260317/etl_i_p_anp_ci_acctmthlyblginf_20260317.log_x000a_fidi_etl /fidi/cacrs_crpbc/lgy/etl/i_p_anp_ci_motgacltalctrctinf.sql &quot;--hivevar SHDATA=SHDATA --hivevar FIDI_CRPBC=fidi_cacrs_crpbc --hivevar V_CURR_DATE=20260317 --hivevar V_YEST_DATE=20260316&quot; /fidi/cacrs_crpbc/lgy/log/20260317/etl_i_p_anp_ci_motgacltalctrctinf_20260317.log_x000a_fidi_etl /fidi/cacrs_crpbc/lgy/etl/i_p_anp_ci_rltrepymtinf.sql &quot;--hivevar SHDATA=SHDATA --hivevar FIDI_CRPBC=fidi_cacrs_crpbc --hivevar V_CURR_DATE=20260317 --hivevar V_YEST_DATE=20260316&quot; /fidi/cacrs_crpbc/lgy/log/20260317/etl_i_p_anp_ci_rltrepymtinf_20260317.log_x000a_fidi_etl /fidi/cacrs_crpbc/lgy/etl/i_p_anp_ci_acctspectrstdspn.sql &quot;--hivevar SHDATA=SHDATA --hivevar FIDI_CRPBC=fidi_cacrs_crpbc --hivevar V_CURR_DATE=20260317 --hivevar V_YEST_DATE=20260316&quot; /fidi/cacrs_crpbc/lgy/log/20260317/etl_i_p_anp_ci_acctspectrstdspn_20260317.log_x000a_"/>
        <s v="专项任务--张泠文--反洗钱客户基本身份信息治理看板  --反洗钱客户基本身份信息治理看板（进行中）_x000a_专项任务--杨博--中小企业贷款信息  --完成中小企业贷款信息数据支持"/>
        <s v="1、按照会议内容重新设计AI外呼原型图；_x000a_2、和业务老师沟通AI外呼360视图页面的展示及操作；_x000a_3、梳理代发的菜单；"/>
        <s v="需求开发"/>
        <s v="科创补录表需求对接+配合测试+大额流入流出数据分类"/>
        <s v="1、虹口支行（按照新的架构来，可以看下附件中“变动表”中O列是虹口支行所对映的F-R列）账户在2024年1-12月和2025年1-112月期间（1）被管控（智芯前：暂停非柜面、休眠、不收不付；智芯后：被设置状态字）的次数及涉及的账户数；（2）在此期间设置非柜面限额的次数及涉及的账户数；（3）管控和限额的总计的次数及涉及的账户数。--该数据麻烦尽量今天给出_x000a_2、其余所有分行、支行，按新的架构，以上3点取数。涉及分行：8家异地分行、总行营业部、浦东分行、上海自贸试验区分行、黄浦支行、徐汇支行、长宁支行、静安支行、普陀支行、杨浦支行、漕河泾支行、闵行支行、宝山支行、嘉定支行、松江支行、青浦支行、奉贤支行、金山支行、崇明支行。_x000a_谢谢！"/>
        <s v="S85_FBIS_AUTPAYINFO,S85_FBIS_AUTPAYBAKDET策略改动修改"/>
        <s v="&quot;1、结果表重新扫描空值率和码值；_x000a_2、检查码值不通过的原因；&quot;"/>
        <s v="S93变动影响性分析，脚本口径更改，测试数据配合测试"/>
        <s v="RDI_SECU_TRUST_CUST调研"/>
        <s v="RDI_A_IND_NEW_CUST_BIZ_ND表数据测试"/>
        <s v="环境管理流程修改"/>
        <s v="应收应付相关报表设计"/>
        <s v="顾玄怡-质检大数据模型数据较少原因排查_x000a_杨文超-全量派单处理时间及人员，各号码最近外呼情况_x000a__x000a_"/>
        <s v="L10__x0009_LMT_ECIF_CATEGORY_DETAIL,L10_LMT_ECIF_CATEGORY_SYNC_FLOW,L10_LMT_BATCH_ECIF_MERGE_QUOTA_INFO等多张表新表入仓数据加载测试，配合联调测试20260302,20260310等日期加载。"/>
        <s v="mrp_b_t_credit_bond_bal_new_init.py，mrp_b_t_credit_bond_bal_new0200.py映射分析，脚本提测_x000a_字段级映射文档维护"/>
        <s v="S85_FFPS_AUTPAYINFO_2_H脚本开发、数据加载测试"/>
        <s v="作业：CRM_P_INDEX_ORG_CUST_IND 新增字段：当日借记卡新户，E_CRM_P_INDEX_ORG 新增标签：当日借记卡新户数-XH131。执行sqlreview，白皮书，提测。"/>
        <s v="姚蔚--企业满意度评分为满意的客户的网银签约情况数据：需求分析，脚本编写，数据查询，核对数据_x000a_"/>
        <s v="iccs_acctbal_monitor_diff,iccs_mch_apply_ntf,iccs_own_mch_risk,iccs_alipay_apply,iccs_order_cncl_idx,iccs_alipay_detail,iccs_bytepay_detail00等抽数入仓及配合上下游联调测试"/>
        <s v="指标数据验证，逻辑验证，调整"/>
        <s v="1、需求分析调研类工作_x000a_分析X20251103000036需求改造点，涉及大数据NRP_E_MIS_JYDW_2088_RPT_SUM、UDAS_E1_XYK_2100_RPT_SUM作业调整口径调研；_x000a_涉及业务提供作业为源系统表及集市表，找对应整合模型的表及字段"/>
        <s v="理财销量业务模型20260320数据验证6个复杂字段，修改脚本逻辑"/>
        <s v="专项任务-陈姿-代发新户领取企业明细代码开发，看板搭建和优化"/>
        <s v="配合建信金科的开发老师对区域特色的报表测试情况差异原因进行分析。"/>
        <s v="看板描述:_x000a_       ,稳增长报表优化_x000a_       ,&quot;经营单位零售信贷业务重点产品经营月报-资产质量&quot;指标口径分析, 已回复_x000a_       ,&quot;经营单位信用卡业务经营月报-资产质量&quot;指标口径分析, 已回复_x000a_       ,&quot;掌上行信用风险指标报表优化需求&quot;和梅苏源确认最后工作量_x000a_             ,工作量评估（四期）-UDAS模板（风险地图）基准（202603）.xlsx_x000a_             ,工作量评估（四期）-掌上行模板（风险地图）基准（202603）.xls"/>
        <s v="客户经理业绩功能开发"/>
        <s v="数据安全管理能力提升专项行动材料反馈：子公司自查问题反馈"/>
        <s v="MIS_DTL_FIVE_LVL_CLS_LOAN_脚本修改，数据验证"/>
        <s v="E_AML_TB_ACC_TXN_300_KJ_HMD导出作业调整，配合测试"/>
        <s v="_x0009_0327投产版本打包提测"/>
        <s v="20260325-分析新线集市是否满足需求(接口重构)-个人贷款发生额"/>
        <s v="CCM_C_ITEM_CFG开发测试"/>
        <s v="配合验数"/>
        <s v="新增一个页面配置【代客业务】_x000a_一个页面测试（数据、图表）【代客业务】"/>
        <s v="E_CRM_C_MNGR_WORK_EFF_SUM 脚本开发测试"/>
        <s v="大数据RTL_BW_TBOND_EVT_NEW--凭证式兑付跑数、数据验证"/>
        <s v="零售机构画像页面贷款指标配置调整并测试"/>
        <s v="贷款补贴0228数据测试比对提测"/>
        <s v="1月份测试数据核对报表开发"/>
        <s v="1.3月版Git投产内容核对检查，VSS上CAB文件维护_x000a_2.3月版投产内容代码评审，已完成以下内容_x000a_(1).X20240218000019_公私联动系统优化需求_x000a_(2).X20230223000010_核心重构项目_x000a_(3).X20240926000006_2024年度经营单位数字化管理建设项目"/>
        <s v="南通众和新增产品脚本测试：CDI_C_CIMS_ONB_ACCT_H"/>
        <s v="页面测试【贷款日均】二批次投产_x000a_页面回填文档编写【贷款日均】三批次投产_x000a_新增页面小i口径梳理、指标文档梳理【贷款日均】三批次投产"/>
        <s v="企业授信切换演练验证以及代码评审"/>
        <s v="静龙交接事项安排会议、PRMS、irms集市交接安排讨论"/>
        <s v="同业存款积数表低成本负债逻辑调整_下游联调测试_x000a_三方存管积数表低成本负债逻辑调整_下游联调测试_x000a_"/>
        <s v="1.处理生产角色申请权限内容_x000a_2.公司板块战新标签迁移表更新数据，配合重新卸数测试_x000a_"/>
        <s v="进行个人贷款余额表核查表开发。"/>
        <s v="抖音放心借风险行为评分卡指标加工需求分析以及数据调研"/>
        <s v="T05_PAY_PLAN_EVT_S84_x000a_T05_MT_PROJ_CONT_REG_EVT_S84_x000a_T05_IBBM_RATION_RESULT_EVT_S84_x000a_T05_IBBM_PUBLIC_EVT_S84_x000a_T05_IBBM_PROJECT_EVT_S84_x000a_T05_IBBM_INTM_PROJECT_EVT_S84_x000a_T05_IBBM_CREDIT_EVT_S84_x000a_T03_MT_PROJ_INFO_H_S84_x000a_T03_IBBM_AGMT_BOND_INFO_S84_x000a_T03_IBBM_AGMT_ASSET_INFO_S84 --数据加载20260323"/>
        <s v="非柜限额功能测试"/>
        <s v="新兴板块-下钻页面指标、管理指标:修改模型设计【标准化企信转基金】"/>
        <s v="修改CTL、O  F 增加字段，报表平台修改维度"/>
        <s v="需求：科创有贷户评价模型 科技：张海濛_x000a_为增强科技金融客户服务质效，提升客户粘性和市场份额，围绕经营深度、合作广度、价值转化、风险管控等维度，契合科技创新周期特性，初步规划我行科技客户经营评价体系。"/>
        <s v="征信系统中证信评分批量上传、下载、反馈文件解析入库、密码修改代码开发、测试_x000a_征信系统复核页面条件查询问题修改、测试"/>
        <s v="企业征信异议录入审批接口开发调试"/>
        <s v="数据服务接口开发数据治理,压测性能，配合下游联调,测试数据准确性"/>
        <s v="B_WJ_CUST_INFO 修改数据表取数数据源及数据表名"/>
        <s v="实时AUM接口数据联通测试"/>
        <s v="非柜限额接口开发_x000a_ai外呼营销任务相关功能开发"/>
        <s v="客户经理业绩修改测试"/>
        <s v="s21_t_cc_ccd_cust_x000a_s21_ecacctcpccopy_x000a_s21_eccifid_x000a_s21_eccifciftype_x000a_实时接入表数据及对应铺底表数据多轮同步"/>
        <s v="1.e事通逻辑梳理_x000a_2.页面设计_x000a_3.画页面"/>
        <s v="配合测试"/>
        <s v="执行对公客户经理业绩指标等级变化测试"/>
        <s v="1.排查rad导出报表的生产问题"/>
        <s v="数据库模块开发"/>
        <s v="授信逻辑切换，卡校验跑批测试"/>
        <s v="监管数据检核_x000a_ta03_east_result_sxxxb_w_x000a_ta03_east_result_grxdywjjb_w"/>
        <s v="RTL_BW_COMM_PENSION_BAL_NEW 修改逻辑_x000a_对比15个字段差异点"/>
        <s v="工作交接_x000a_与开发过工作量_x000a_与开发过代码"/>
        <s v="MRP_B_T_STD_CORP_CREDIT_BAL开发"/>
        <s v="专项任务-胡雯-分析B_CORP_DPST_BAL普通企业存款余额模型（总账口径）对掌上行的影响。"/>
        <s v="新线集市新增模型“同业基金投资余额表”相关文档维护，脚本开发测试"/>
        <s v="G2501/G2502 总计17个指标旧线未出数详细原因分析"/>
        <s v="类代发功能开发"/>
        <s v="专项任务-吴进丰-体验质检看板调整,今日已完成70%"/>
        <s v="解决规则引擎，波动性检查观察期数据被修改成调出的问题。"/>
        <s v="上线文档整理，查询慢sql优化，上线脚本编写，业务问题反馈。"/>
        <s v="1、票易贷迁移数据问题溯源，部分数据重跑，修改涉及脚本的sql，重新备份数据_x000a_2、测试环境跑其他需求，现将票易贷c层跑批sql编写出来，后续直接跑跑批脚本和备份临时比对表"/>
        <s v="客户360视图-基础信息-手机号根据角色判断展示权限的需求分析"/>
        <s v="卡校验20260323数据整理_x000a_授信协议关闭报文拆分（10000w一个文件）_x000a_2个报文上传人行（410-420）_x000a_投产演练调度整理_x000a_组织机构代码8285户处理_x000a_配合授信协议改造演练"/>
        <s v="专项任务-陈姿-信义贷看板数据不一致原因排查；专项任务-陈姿-校园金融看板2月份数据更新；"/>
        <s v="DSM_BizGrpInfo_001司库-客商信息查询接口加载脚本"/>
        <s v="联调朴道-姓名身份证号二要素核验接口查询"/>
        <s v="&quot;新增1个kudu接口：DSM_IntfCrmOrgStatIndex_001       rtrbw_intf_crm_org_stat_index_x000a_入参： etl_dt（必输） + org_id（选填）&quot;"/>
        <s v="视图开发V_RDI_F_INDIV_CUST_TXN、V_RDI_F_INDIV_DEB_CARD、V_RDI_F_INDIV_LOAN_ACCT、V_RDI_F_INDIV_REPAY_PLAN、V_RDI_INDIV_COLLATERAL_LOAN、V_RDI_INDIV_STRU_BAL"/>
        <s v="票据、跨境对标及落标检核"/>
        <s v="1.验证重点指标修复后问题_x000a_2.分析一表通转east对公信贷分户账逻辑"/>
        <s v="开发对公客户拜访纪要信息"/>
        <s v="1、逻辑模型与生产ddl差异比对结果文档整理确认，整理最新差异结果给到对应开发确认修改。_x000a_2、整理整合模型生产全量表清单，拉全量表结构，给到修滔老师导数据资产管理平台。_x000a_3、新增落标表主键检核配置测试_x000a_S51_CCSS_FK_DECI_RESP_RESULT_H  dt,pk_id_x000a_S51_CCSS_FK_YSQ_APPL_H dt,task_no_x000a_4、0327版本生产调度配置同名库测试，及sit2环境同步配置测试_x000a_S51_CCSS_FK_YSQ_APPL_x000a_S51_CCSS_FK_DECI_RESP_RESULT_x000a_S71_NFTP_CM_CURVE_DEF_H_x000a_S71_NFTP_CM_CURVE_DATA_H_x000a_S71_NFTP_CM_TERM_DEF_H_x000a_S71_NFTP_CM_CURVE_YIELD_H_x000a_S71_NFTP_RM_METHOD_RULE_DATA_H_x000a_S71_NFTP_RM_METHOD_RULE_H"/>
        <s v="RTL_BW_COMM_PENSION_BAL_NEW 主表差异修改脚本，验证数据，主表已对上_x000a_对比10个字段差异点"/>
        <s v="代客中收、分成开发_x000a_贵金属远掉开发"/>
        <s v="新兴板块-下钻页面指标、管理指标:修改一个存储过程【总行代客客户模型黄金租赁有效户逻辑修改】"/>
        <s v="udas_e_gs_corp_dpst_bal_hd新增字段，银联标识、土保标识、源系统期限、源系统期限代码 仓内上下游联调测试（改动部分）按照3轮测试评估_x000a_"/>
        <s v="新增作业:E_CRM_C_MNGR_WORK_STC_SUM(对公客户经理工作结构统计表) 整合模型分析"/>
        <s v="1.监管报送周例会"/>
        <s v="掌上行 20260327版本 在SIT 环境部署测试验证 ； 已完成 100% ；"/>
        <s v="司库数据集团资金日报汇总表数据核对"/>
        <s v="1、和信用卡业务沟通卡校验和反馈失败的清单；_x000a_2、整理11月份漏期清单并同步业务核对；_x000a_3、整理10未更新账户数据同步业务；"/>
        <s v="UDAS_F_GS_IND_FIN_LOAN_DTL_N新增互联网标签 概要设计评审_x000a_UDAS_F_GS_IND_FIN_LOAN_DTL_N新增互联网标签 详细设计评审_x000a_"/>
        <s v="1.X20250305000005-江苏金租接入车生态需求:在测试环境跑一表通报表20260313的数据，并配合下游进行测试验证。_x000a_2.X20250305000005-江苏金租接入车生态需求:20260327版本代码合版，并在测试环境跑20260318的测试数据。_x000a_3.X20250305000005-江苏金租接入车生态需求:在测试环境跑新线集市对公贷款相关的10个模型20260318的数据。"/>
        <s v="机构KPI提数_x000a_民营贷款户数净增BI112712"/>
        <s v="MRP标准化企信流水表开发"/>
        <s v="大数据RTL_BW_TBOND_EVT_NEW--凭证式认购跑数、数据验证"/>
        <s v="UPR_CRDT_INFO_M 开发"/>
        <s v="1.开发债券接口表"/>
        <s v="跑数据_x000a_CDI_CBS_LOAN_ACCT --ok_x000a_CDI_CBS_LOAN_ACCT_BAL  --ok_x000a_CDI_CBS_LOAN_ACCT_ACCUM  --ok_x000a_CDI_CBS_LOAN_INT_RATE  --OK_x000a_CDI_CORP_ACCT_BAL_ORIGIN  --ok_x000a_CDI_C_CIMS_ONB_ACCT_H  --ok_x000a_CDI_C_CIMS_ONB_ACCT_BAL_H  --ok_x000a_CDI_ACCT_PROD_BAL_S04  --ok_x000a_CDI_CBS_LOAN_INSTMT  --ok_x000a_CDI_ACCT_H_S04_x000a_CDI_ACCT_H_S07"/>
        <s v="整合模型-对公项目内部评级结果信息 新增字段，LN_RTG_RSLT_CD  项目最终评级等级代码。"/>
        <s v="tp03_idv_ln_lmtctr_inf_w_s05脚本迭代：  新增分组:国补贴息额度信息"/>
        <s v="1.编写全链路案例15条_x000a_2.协助对公征信开发环境铺数_x000a_3.测试集市脚本，处理代码扫描出错的问题。"/>
        <s v="投产支持"/>
        <s v="1.平安普惠线下模式功能优化业务需求书 贷前贷后的数据核对以及加载_x000a_**************************************************贷前*********************************************************_x0009__x000a__x000a__x000a__x0009_sh /automation/APP/templates/load_template0100_new.sh S90_LM_ACCT_CTRCT_INFO 20260317_x000a__x0009_sh /automation/APP/templates/load_template0100_s02.sh S90_LM_ACCT_CTRCT_INFO 20260317_x000a__x0009__x000a__x0009__x000a__x0009_sh /automation/APP/templates/pdm_template0100.sh S90_LM_ACCT_CTRCT_INFO_H 20260317_x000a__x000a__x000a__x0009_sh /automation/APP/templates/load_template0100_new.sh S90_LM_CREDIT_INFO 20260317_x000a__x0009_sh /automation/APP/templates/load_template0100_s02.sh S90_LM_CREDIT_INFO 20260317_x000a__x0009__x000a__x0009__x000a__x0009_sh /automation/APP/templates/pdm_template0100.sh S90_LM_CREDIT_INFO_H 20260317_x000a__x0009__x000a__x0009__x000a__x0009_sh /automation/APP/templates/load_template0100_new.sh S90_LM_IND_INFO 20260317_x000a__x0009_sh /automation/APP/templates/load_template0100_s02.sh S90_LM_IND_INFO 20260317_x000a__x0009__x000a__x0009__x000a__x0009_sh /automation/APP/templates/pdm_template0100.sh S90_LM_IND_INFO_H 20260317_x000a__x0009__x000a__x0009__x000a__x0009_sh /automation/APP/templates/load_template0100_new.sh S90_LM_RLT_REPYMT_INFO 20260317_x000a__x0009_sh /automation/APP/templates/load_template0100_s02.sh S90_LM_RLT_REPYMT_INFO 20260317_x000a__x0009__x000a__x0009__x000a__x0009_sh /automation/APP/templates/pdm_template0100.sh S90_LM_RLT_REPYMT_INFO_H 20260317_x000a__x0009__x000a_**************************************************贷后*********************************************************_x0009__x000a__x0009__x000a__x0009_sh /automation/APP/templates/load_template0100_new.sh S54_ICB_LOAN_INFO 20260317_x000a__x0009_sh /automation/APP/templates/load_template0100_s02.sh S54_ICB_LOAN_INFO 20260317_x000a__x0009__x000a__x0009__x000a__x0009_sh /automation/APP/templates/pdm_template0100.sh S54_ICB_LOAN_INFO_H 20260317_x000a__x0009__x000a__x0009__x000a__x0009__x000a__x0009_sh /automation/APP/templates/load_template0100_new.sh S54_ICB_LOAN_PLAN_INFO 20260317_x000a__x0009_sh /automation/APP/templates/load_template0100_s02.sh S54_ICB_LOAN_PLAN_INFO 20260317_x000a__x0009__x000a__x0009_sh /automation/APP/templates/pdm_template0100.sh S54_ICB_LOAN_PLAN_INFO_H 20260317_x000a__x0009__x000a__x0009_sh /automation/APP/templates/load_template0100_new.sh S54_ICB_LOAN_REPAY_INFO 20260317_x000a__x0009_sh /automation/APP/templates/load_template0100_s02.sh S54_ICB_LOAN_REPAY_INFO 20260317_x000a__x0009__x000a__x0009_sh /automation/APP/templates/pdm_template0100.sh S54_ICB_LOAN_REPAY_INFO_H 20260317_x000a__x0009__x000a__x0009_sh /automation/APP/templates/load_template0100_new.sh S54_ICB_LOAN_SPECIAL_REPAY 20260317_x000a__x0009_sh /automation/APP/templates/load_template0100_s02.sh S54_ICB_LOAN_SPECIAL_REPAY 20260317_x000a__x0009__x000a__x0009__x000a__x0009_sh /automation/APP/templates/pdm_template0100.sh S54_ICB_LOAN_SPECIAL_REPAY_H 20260317_x000a__x000a_2.跑批脚本梳理，授信。借贷，客户_x000a__x0009__x000a__x0009_借贷_x000a_fidi_etl /fidi/cacrs_crpbc/lgy/etl/i_lnacc_w_hlw.sql &quot;--hivevar SHDATA=SHDATA --hivevar FIDI_CRPBC=fidi_cacrs_crpbc --hivevar V_CURR_DATE=20260317 --hivevar V_YEST_DATE=20260316&quot; /fidi/cacrs_crpbc/lgy/log/20260317/etl_i_lnacc_w_hlw_20260317.log_x000a_fidi_etl /fidi/cacrs_crpbc/lgy/etl/i_lnacc_w.sql &quot;--hivevar SHDATA=SHDATA --hivevar FIDI_CRPBC=fidi_cacrs_crpbc --hivevar V_CURR_DATE=20260317 --hivevar V_YEST_DATE=20260316&quot; /fidi/cacrs_crpbc/lgy/log/20260317/etl_i_lnacc_w_20260317.log_x000a_fidi_etl /fidi/cacrs_crpbc/lgy/etl/i_rltrepymt_w.sql &quot;--hivevar SHDATA=SHDATA --hivevar FIDI_CRPBC=fidi_cacrs_crpbc --hivevar V_CURR_DATE=20260317 --hivevar V_YEST_DATE=20260316&quot; /fidi/cacrs_crpbc/lgy/log/20260317/etl_i_rltrepymt_w_20260317.log_x000a_fidi_etl /fidi/cacrs_crpbc/lgy/etl/i_ctr_wrntctr_rel_w.sql &quot;--hivevar SHDATA=SHDATA --hivevar FIDI_CRPBC=fidi_cacrs_crpbc --hivevar V_CURR_DATE=20260317 --hivevar V_YEST_DATE=20260316&quot; /fidi/cacrs_crpbc/lgy/log/20260317/etl_i_ctr_wrntctr_rel_w_20260317.log_x000a_fidi_etl /fidi/cacrs_crpbc/lgy/etl/i_acctspectrstdspn_a.sql &quot;--hivevar SHDATA=SHDATA --hivevar FIDI_CRPBC=fidi_cacrs_crpbc --hivevar V_CURR_DATE=20260317 --hivevar V_YEST_DATE=20260316&quot; /fidi/cacrs_crpbc/lgy/log/20260317/etl_i_acctspectrstdspn_a_20260317.log_x000a_fidi_etl /fidi/cacrs_crpbc/lgy/etl/i_c_anp_ci_acctbs.sql &quot;--hivevar SHDATA=SHDATA --hivevar FIDI_CRPBC=fidi_cacrs_crpbc --hivevar V_CURR_DATE=20260317 --hivevar V_YEST_DATE=20260316&quot; /fidi/cacrs_crpbc/lgy/log/20260317/etl_i_c_anp_ci_acctbs_20260317.log_x000a_fidi_etl /fidi/cacrs_crpbc/lgy/etl/i_c_anp_ci_acctbs_dbt.sql &quot;--hivevar SHDATA=SHDATA --hivevar FIDI_CRPBC=fidi_cacrs_crpbc --hivevar V_CURR_DATE=20260317 --hivevar V_YEST_DATE=20260316&quot; /fidi/cacrs_crpbc/lgy/log/20260317/etl_i_c_anp_ci_acctbs_dbt_20260317.log_x000a_fidi_etl /fidi/cacrs_crpbc/lgy/etl/i_c_anp_ci_acctbsinf.sql &quot;--hivevar SHDATA=SHDATA --hivevar FIDI_CRPBC=fidi_cacrs_crpbc --hivevar V_CURR_DATE=20260317 --hivevar V_YEST_DATE=20260316&quot; /fidi/cacrs_crpbc/lgy/log/20260317/etl_i_c_anp_ci_acctbsinf_20260317.log_x000a_fidi_etl /fidi/cacrs_crpbc/lgy/etl/i_c_anp_ci_acctdbtinf.sql &quot;--hivevar SHDATA=SHDATA --hivevar FIDI_CRPBC=fidi_cacrs_crpbc --hivevar V_CURR_DATE=20260317 --hivevar V_YEST_DATE=20260316&quot; /fidi/cacrs_crpbc/lgy/log/20260317/etl_i_c_anp_ci_acctdbtinf_20260317.log_x000a_fidi_etl /fidi/cacrs_crpbc/lgy/etl/i_c_anp_ci_acctmthlyblginf.sql &quot;--hivevar SHDATA=SHDATA --hivevar FIDI_CRPBC=fidi_cacrs_crpbc --hivevar V_CURR_DATE=20260317 --hivevar V_YEST_DATE=20260316&quot; /fidi/cacrs_crpbc/lgy/log/20260317/etl_i_c_anp_ci_acctmthlyblginf_20260317.log_x000a_fidi_etl /fidi/cacrs_crpbc/lgy/etl/i_c_anp_ci_motgacltalctrctinf.sql &quot;--hivevar SHDATA=SHDATA --hivevar FIDI_CRPBC=fidi_cacrs_crpbc --hivevar V_CURR_DATE=20260317 --hivevar V_YEST_DATE=20260316&quot; /fidi/cacrs_crpbc/lgy/log/20260317/etl_i_c_anp_ci_motgacltalctrctinf_20260317.log_x000a_fidi_etl /fidi/cacrs_crpbc/lgy/etl/i_c_anp_ci_rltrepymtinf.sql &quot;--hivevar SHDATA=SHDATA --hivevar FIDI_CRPBC=fidi_cacrs_crpbc --hivevar V_CURR_DATE=20260317 --hivevar V_YEST_DATE=20260316&quot; /fidi/cacrs_crpbc/lgy/log/20260317/etl_i_c_anp_ci_rltrepymtinf_20260317.log_x000a_fidi_etl /fidi/cacrs_crpbc/lgy/etl/i_c_anp_ci_acctspectrstdspn.sql &quot;--hivevar SHDATA=SHDATA --hivevar FIDI_CRPBC=fidi_cacrs_crpbc --hivevar V_CURR_DATE=20260317 --hivevar V_YEST_DATE=20260316&quot; /fidi/cacrs_crpbc/lgy/log/20260317/etl_i_c_anp_ci_acctspectrstdspn_20260317.log_x000a_fidi_etl /fidi/cacrs_crpbc/lgy/etl/i_vt_anp_ci_rptdatecode.sql &quot;--hivevar SHDATA=SHDATA --hivevar FIDI_CRPBC=fidi_cacrs_crpbc --hivevar V_CURR_DATE=20260317 --hivevar V_YEST_DATE=20260316&quot; /fidi/cacrs_crpbc/lgy/log/20260317/etl_i_vt_anp_ci_rptdatecode_20260317.log_x000a_fidi_etl /fidi/cacrs_crpbc/lgy/etl/i_v_anp_ci_acctbs.sql &quot;--hivevar SHDATA=SHDATA --hivevar FIDI_CRPBC=fidi_cacrs_crpbc --hivevar V_CURR_DATE=20260317 --hivevar V_YEST_DATE=20260316&quot; /fidi/cacrs_crpbc/lgy/log/20260317/etl_i_v_anp_ci_acctbs_20260317.log_x000a_fidi_etl /fidi/cacrs_crpbc/lgy/etl/i_v_anp_ci_acctbsinf.sql &quot;--hivevar SHDATA=SHDATA --hivevar FIDI_CRPBC=fidi_cacrs_crpbc --hivevar V_CURR_DATE=20260317 --hivevar V_YEST_DATE=20260316&quot; /fidi/cacrs_crpbc/lgy/log/20260317/etl_i_v_anp_ci_acctbsinf_20260317.log_x000a_fidi_etl /fidi/cacrs_crpbc/lgy/etl/i_v_anp_ci_acctdbtinf.sql &quot;--hivevar SHDATA=SHDATA --hivevar FIDI_CRPBC=fidi_cacrs_crpbc --hivevar V_CURR_DATE=20260317 --hivevar V_YEST_DATE=20260316&quot; /fidi/cacrs_crpbc/lgy/log/20260317/etl_i_v_anp_ci_acctdbtinf_20260317.log_x000a_fidi_etl /fidi/cacrs_crpbc/lgy/etl/i_v_anp_ci_acctmthlyblginf.sql &quot;--hivevar SHDATA=SHDATA --hivevar FIDI_CRPBC=fidi_cacrs_crpbc --hivevar V_CURR_DATE=20260317 --hivevar V_YEST_DATE=20260316&quot; /fidi/cacrs_crpbc/lgy/log/20260317/etl_i_v_anp_ci_acctmthlyblginf_20260317.log_x000a_fidi_etl /fidi/cacrs_crpbc/lgy/etl/i_v_anp_ci_motgacltalctrctinf.sql &quot;--hivevar SHDATA=SHDATA --hivevar FIDI_CRPBC=fidi_cacrs_crpbc --hivevar V_CURR_DATE=20260317 --hivevar V_YEST_DATE=20260316&quot; /fidi/cacrs_crpbc/lgy/log/20260317/etl_i_v_anp_ci_motgacltalctrctinf_20260317.log_x000a_fidi_etl /fidi/cacrs_crpbc/lgy/etl/i_v_anp_ci_rltrepymtinf.sql &quot;--hivevar SHDATA=SHDATA --hivevar FIDI_CRPBC=fidi_cacrs_crpbc --hivevar V_CURR_DATE=20260317 --hivevar V_YEST_DATE=20260316&quot; /fidi/cacrs_crpbc/lgy/log/20260317/etl_i_v_anp_ci_rltrepymtinf_20260317.log_x000a_fidi_etl /fidi/cacrs_crpbc/lgy/etl/i_v_anp_ci_acctspectrstdspn.sql &quot;--hivevar SHDATA=SHDATA --hivevar FIDI_CRPBC=fidi_cacrs_crpbc --hivevar V_CURR_DATE=20260317 --hivevar V_YEST_DATE=20260316&quot; /fidi/cacrs_crpbc/lgy/log/20260317/etl_i_v_anp_ci_acctspectrstdspn_20260317.log_x000a_fidi_etl /fidi/cacrs_crpbc/lgy/etl/i_p_anp_ci_acctbsinf.sql &quot;--hivevar SHDATA=SHDATA --hivevar FIDI_CRPBC=fidi_cacrs_crpbc --hivevar V_CURR_DATE=20260317 --hivevar V_YEST_DATE=20260316&quot; /fidi/cacrs_crpbc/lgy/log/20260317/etl_i_p_anp_ci_acctbsinf_20260317.log_x000a_fidi_etl /fidi/cacrs_crpbc/lgy/etl/i_p_anp_ci_acctbs.sql &quot;--hivevar SHDATA=SHDATA --hivevar FIDI_CRPBC=fidi_cacrs_crpbc --hivevar V_CURR_DATE=20260317 --hivevar V_YEST_DATE=20260316&quot; /fidi/cacrs_crpbc/lgy/log/20260317/etl_i_p_anp_ci_acctbs_20260317.log_x000a_fidi_etl /fidi/cacrs_crpbc/lgy/etl/i_p_anp_ci_acctdbtinf.sql &quot;--hivevar SHDATA=SHDATA --hivevar FIDI_CRPBC=fidi_cacrs_crpbc --hivevar V_CURR_DATE=20260317 --hivevar V_YEST_DATE=20260316&quot; /fidi/cacrs_crpbc/lgy/log/20260317/etl_i_p_anp_ci_acctdbtinf_20260317.log_x000a_fidi_etl /fidi/cacrs_crpbc/lgy/etl/i_p_anp_ci_acctmthlyblginf.sql &quot;--hivevar SHDATA=SHDATA --hivevar FIDI_CRPBC=fidi_cacrs_crpbc --hivevar V_CURR_DATE=20260317 --hivevar V_YEST_DATE=20260316&quot; /fidi/cacrs_crpbc/lgy/log/20260317/etl_i_p_anp_ci_acctmthlyblginf_20260317.log_x000a_fidi_etl /fidi/cacrs_crpbc/lgy/etl/i_p_anp_ci_motgacltalctrctinf.sql &quot;--hivevar SHDATA=SHDATA --hivevar FIDI_CRPBC=fidi_cacrs_crpbc --hivevar V_CURR_DATE=20260317 --hivevar V_YEST_DATE=20260316&quot; /fidi/cacrs_crpbc/lgy/log/20260317/etl_i_p_anp_ci_motgacltalctrctinf_20260317.log_x000a_fidi_etl /fidi/cacrs_crpbc/lgy/etl/i_p_anp_ci_rltrepymtinf.sql &quot;--hivevar SHDATA=SHDATA --hivevar FIDI_CRPBC=fidi_cacrs_crpbc --hivevar V_CURR_DATE=20260317 --hivevar V_YEST_DATE=20260316&quot; /fidi/cacrs_crpbc/lgy/log/20260317/etl_i_p_anp_ci_rltrepymtinf_20260317.log_x000a_fidi_etl /fidi/cacrs_crpbc/lgy/etl/i_p_anp_ci_acctspectrstdspn.sql &quot;--hivevar SHDATA=SHDATA --hivevar FIDI_CRPBC=fidi_cacrs_crpbc --hivevar V_CURR_DATE=20260317 --hivevar V_YEST_DATE=20260316&quot; /fidi/cacrs_crpbc/lgy/log/20260317/etl_i_p_anp_ci_acctspectrstdspn_20260317.log_x000a__x000a__x000a__x000a_i_cst_w_hlw.sql_x000a_    客户_x000a_fidi_etl /fidi/cacrs_crpbc/lgy/etl/i_cst_w_hlw.sql &quot;--hivevar SHDATA=SHDATA --hivevar FIDI_CRPBC=fidi_cacrs_crpbc --hivevar V_CURR_DATE=20260317 --hivevar V_YEST_DATE=20260316&quot; /fidi/cacrs_crpbc/logs/20260317/etl_i_cst_w_hlw_20260317.log_x000a_fidi_etl /fidi/cacrs_crpbc/lgy/etl/i_cst_w.sql &quot;--hivevar SHDATA=SHDATA --hivevar FIDI_CRPBC=fidi_cacrs_crpbc --hivevar V_CURR_DATE=20260317 --hivevar V_YEST_DATE=20260316&quot; /fidi/cacrs_crpbc/logs/20260317/etl_i_cst_w_20260317.log_x000a_fidi_etl /fidi/cacrs_crpbc/lgy/etl/i_c_pub_bi_bs.sql &quot;--hivevar SHDATA=SHDATA --hivevar FIDI_CRPBC=fidi_cacrs_crpbc --hivevar V_CURR_DATE=20260317 --hivevar V_YEST_DATE=20260316&quot; /fidi/cacrs_crpbc/lgy/log/20260317/etl_i_c_pub_bi_bs_20260317.log_x000a_fidi_etl /fidi/cacrs_crpbc/lgy/etl/i_c_pub_bi_eduinf.sql &quot;--hivevar SHDATA=SHDATA --hivevar FIDI_CRPBC=fidi_cacrs_crpbc --hivevar V_CURR_DATE=20260317 --hivevar V_YEST_DATE=20260316&quot; /fidi/cacrs_crpbc/lgy/log/20260317/etl_i_c_pub_bi_eduinf_20260317.log_x000a_fidi_etl /fidi/cacrs_crpbc/lgy/etl/i_c_pub_bi_fcsinf.sql &quot;--hivevar SHDATA=SHDATA --hivevar FIDI_CRPBC=fidi_cacrs_crpbc --hivevar V_CURR_DATE=20260317 --hivevar V_YEST_DATE=20260316&quot; /fidi/cacrs_crpbc/lgy/log/20260317/etl_i_c_pub_bi_fcsinf_20260317.log_x000a_fidi_etl /fidi/cacrs_crpbc/lgy/etl/i_c_pub_bi_id.sql &quot;--hivevar SHDATA=SHDATA --hivevar FIDI_CRPBC=fidi_cacrs_crpbc --hivevar V_CURR_DATE=20260317 --hivevar V_YEST_DATE=20260316&quot; /fidi/cacrs_crpbc/lgy/log/20260317/etl_i_c_pub_bi_id_20260317.log_x000a_fidi_etl /fidi/cacrs_crpbc/lgy/etl/i_c_pub_bi_mlginf.sql &quot;--hivevar SHDATA=SHDATA --hivevar FIDI_CRPBC=fidi_cacrs_crpbc --hivevar V_CURR_DATE=20260317 --hivevar V_YEST_DATE=20260316&quot; /fidi/cacrs_crpbc/lgy/log/20260317/etl_i_c_pub_bi_mlginf_20260317.log_x000a_fidi_etl /fidi/cacrs_crpbc/lgy/etl/i_c_pub_bi_octpninf.sql &quot;--hivevar SHDATA=SHDATA --hivevar FIDI_CRPBC=fidi_cacrs_crpbc --hivevar V_CURR_DATE=20260317 --hivevar V_YEST_DATE=20260316&quot; /fidi/cacrs_crpbc/lgy/log/20260317/etl_i_c_pub_bi_octpninf_20260317.log_x000a_fidi_etl /fidi/cacrs_crpbc/lgy/etl/i_c_pub_bi_redncinf.sql &quot;--hivevar SHDATA=SHDATA --hivevar FIDI_CRPBC=fidi_cacrs_crpbc --hivevar V_CURR_DATE=20260317 --hivevar V_YEST_DATE=20260316&quot; /fidi/cacrs_crpbc/lgy/log/20260317/etl_i_c_pub_bi_redncinf_20260317.log_x000a_fidi_etl /fidi/cacrs_crpbc/lgy/etl/i_c_pub_bi_spsinf.sql &quot;--hivevar SHDATA=SHDATA --hivevar FIDI_CRPBC=fidi_cacrs_crpbc --hivevar V_CURR_DATE=20260317 --hivevar V_YEST_DATE=20260316&quot; /fidi/cacrs_crpbc/lgy/log/20260317/etl_i_c_pub_bi_spsinf_20260317.log_x000a_fidi_etl /fidi/cacrs_crpbc/lgy/etl/i_v_pub_bi_eduinf.sql &quot;--hivevar SHDATA=SHDATA --hivevar FIDI_CRPBC=fidi_cacrs_crpbc --hivevar V_CURR_DATE=20260317 --hivevar V_YEST_DATE=20260316&quot; /fidi/cacrs_crpbc/lgy/log/20260317/etl_i_v_pub_bi_eduinf_20260317.log_x000a_fidi_etl /fidi/cacrs_crpbc/lgy/etl/i_v_pub_bi_fcsinf.sql &quot;--hivevar SHDATA=SHDATA --hivevar FIDI_CRPBC=fidi_cacrs_crpbc --hivevar V_CURR_DATE=20260317 --hivevar V_YEST_DATE=20260316&quot; /fidi/cacrs_crpbc/lgy/log/20260317/etl_i_v_pub_bi_fcsinf_20260317.log_x000a_fidi_etl /fidi/cacrs_crpbc/lgy/etl/i_v_pub_bi_id.sql &quot;--hivevar SHDATA=SHDATA --hivevar FIDI_CRPBC=fidi_cacrs_crpbc --hivevar V_CURR_DATE=20260317 --hivevar V_YEST_DATE=20260316&quot; /fidi/cacrs_crpbc/lgy/log/20260317/etl_i_v_pub_bi_id_20260317.log_x000a_fidi_etl /fidi/cacrs_crpbc/lgy/etl/i_v_pub_bi_mlginf.sql &quot;--hivevar SHDATA=SHDATA --hivevar FIDI_CRPBC=fidi_cacrs_crpbc --hivevar V_CURR_DATE=20260317 --hivevar V_YEST_DATE=20260316&quot; /fidi/cacrs_crpbc/lgy/log/20260317/etl_i_v_pub_bi_mlginf_20260317.log_x000a_fidi_etl /fidi/cacrs_crpbc/lgy/etl/i_v_pub_bi_octpninf.sql &quot;--hivevar SHDATA=SHDATA --hivevar FIDI_CRPBC=fidi_cacrs_crpbc --hivevar V_CURR_DATE=20260317 --hivevar V_YEST_DATE=20260316&quot; /fidi/cacrs_crpbc/lgy/log/20260317/etl_i_v_pub_bi_octpninf_20260317.log_x000a_fidi_etl /fidi/cacrs_crpbc/lgy/etl/i_v_pub_bi_redncinf.sql &quot;--hivevar SHDATA=SHDATA --hivevar FIDI_CRPBC=fidi_cacrs_crpbc --hivevar V_CURR_DATE=20260317 --hivevar V_YEST_DATE=20260316&quot; /fidi/cacrs_crpbc/lgy/log/20260317/etl_i_v_pub_bi_redncinf_20260317.log_x000a_fidi_etl /fidi/cacrs_crpbc/lgy/etl/i_v_pub_bi_spsinf.sql &quot;--hivevar SHDATA=SHDATA --hivevar FIDI_CRPBC=fidi_cacrs_crpbc --hivevar V_CURR_DATE=20260317 --hivevar V_YEST_DATE=20260316&quot; /fidi/cacrs_crpbc/lgy/log/20260317/etl_i_v_pub_bi_spsinf_20260317.log_x000a_fidi_etl /fidi/cacrs_crpbc/lgy/etl/i_v_pub_bi_bs.sql &quot;--hivevar SHDATA=SHDATA --hivevar FIDI_CRPBC=fidi_cacrs_crpbc --hivevar V_CURR_DATE=20260317 --hivevar V_YEST_DATE=20260316&quot; /fidi/cacrs_crpbc/lgy/log/20260317/etl_i_v_pub_bi_bs_20260317.log_x000a_fidi_etl /fidi/cacrs_crpbc/lgy/etl/i_p_pub_bi_bs.sql &quot;--hivevar SHDATA=SHDATA --hivevar FIDI_CRPBC=fidi_cacrs_crpbc --hivevar V_CURR_DATE=20260317 --hivevar V_YEST_DATE=20260316&quot; /fidi/cacrs_crpbc/lgy/log/20260317/etl_i_p_pub_bi_bs_20260317.log_x000a_fidi_etl /fidi/cacrs_crpbc/lgy/etl/i_p_pub_bi_eduinf.sql &quot;--hivevar SHDATA=SHDATA --hivevar FIDI_CRPBC=fidi_cacrs_crpbc --hivevar V_CURR_DATE=20260317 --hivevar V_YEST_DATE=20260316&quot; /fidi/cacrs_crpbc/lgy/log/20260317/etl_i_p_pub_bi_eduinf_20260317.log_x000a_fidi_etl /fidi/cacrs_crpbc/lgy/etl/i_p_pub_bi_redncinf.sql &quot;--hivevar SHDATA=SHDATA --hivevar FIDI_CRPBC=fidi_cacrs_crpbc --hivevar V_CURR_DATE=20260317 --hivevar V_YEST_DATE=20260316&quot; /fidi/cacrs_crpbc/lgy/log/20260317/etl_i_p_pub_bi_redncinf_20260317.log_x000a_fidi_etl /fidi/cacrs_crpbc/lgy/etl/i_p_pub_bi_spsinf.sql &quot;--hivevar SHDATA=SHDATA --hivevar FIDI_CRPBC=fidi_cacrs_crpbc --hivevar V_CURR_DATE=20260317 --hivevar V_YEST_DATE=20260316&quot; /fidi/cacrs_crpbc/lgy/log/20260317/etl_i_p_pub_bi_spsinf_20260317.log_x000a_fidi_etl /fidi/cacrs_crpbc/lgy/etl/i_p_pub_bi_fcsinf.sql &quot;--hivevar SHDATA=SHDATA --hivevar FIDI_CRPBC=fidi_cacrs_crpbc --hivevar V_CURR_DATE=20260317 --hivevar V_YEST_DATE=20260316&quot; /fidi/cacrs_crpbc/lgy/log/20260317/etl_i_p_pub_bi_fcsinf_20260317.log_x000a_fidi_etl /fidi/cacrs_crpbc/lgy/etl/i_p_pub_bi_id.sql &quot;--hivevar SHDATA=SHDATA --hivevar FIDI_CRPBC=fidi_cacrs_crpbc --hivevar V_CURR_DATE=20260317 --hivevar V_YEST_DATE=20260316&quot; /fidi/cacrs_crpbc/lgy/log/20260317/etl_i_p_pub_bi_id_20260317.log_x000a_fidi_etl /fidi/cacrs_crpbc/lgy/etl/i_p_pub_bi_mlginf.sql &quot;--hivevar SHDATA=SHDATA --hivevar FIDI_CRPBC=fidi_cacrs_crpbc --hivevar V_CURR_DATE=20260317 --hivevar V_YEST_DATE=20260316&quot; /fidi/cacrs_crpbc/lgy/log/20260317/etl_i_p_pub_bi_mlginf_20260317.log_x000a_fidi_etl /fidi/cacrs_crpbc/lgy/etl/i_p_pub_bi_octpninf.sql &quot;--hivevar SHDATA=SHDATA --hivevar FIDI_CRPBC=fidi_cacrs_crpbc --hivevar V_CURR_DATE=20260317 --hivevar V_YEST_DATE=20260316&quot; /fidi/cacrs_crpbc/lgy/log/20260317/etl_i_p_pub_bi_octpninf_20260317.log_x000a__x000a__x000a__x000a_     授信_x000a_fidi_etl /fidi/cacrs_crpbc/lgy/etl/i_ctr_w.sql &quot;--hivevar SHDATA=SHDATA --hivevar FIDI_CRPBC=fidi_cacrs_crpbc --hivevar V_CURR_DATE=20260317 --hivevar V_YEST_DATE=20260316&quot; /fidi/cacrs_crpbc/lgy/log/20260317/etl_i_ctr_w_20260317.log_x000a_fidi_etl /fidi/cacrs_crpbc/lgy/etl/i_c_anp_cc_creditlim.sql &quot;--hivevar SHDATA=SHDATA --hivevar FIDI_CRPBC=fidi_cacrs_crpbc --hivevar V_CURR_DATE=20260317 --hivevar V_YEST_DATE=20260316&quot; /fidi/cacrs_crpbc/lgy/log/20260317/etl_i_c_anp_cc_creditlim_20260317.log_x000a_fidi_etl /fidi/cacrs_crpbc/lgy/etl/i_c_anp_cc_ctrctbs.sql &quot;--hivevar SHDATA=SHDATA --hivevar FIDI_CRPBC=fidi_cacrs_crpbc --hivevar V_CURR_DATE=20260317 --hivevar V_YEST_DATE=20260316&quot; /fidi/cacrs_crpbc/lgy/log/20260317/etl_i_c_anp_cc_ctrctbs_20260317.log_x000a_fidi_etl /fidi/cacrs_crpbc/lgy/etl/i_v_anp_cc_ctrctbs_dif.sql &quot;--hivevar SHDATA=SHDATA --hivevar FIDI_CRPBC=fidi_cacrs_crpbc --hivevar V_CURR_DATE=20260317 --hivevar V_YEST_DATE=20260316&quot; /fidi/cacrs_crpbc/lgy/log/20260317/etl_i_v_anp_cc_ctrctbs_dif_20260317.log_x000a_fidi_etl /fidi/cacrs_crpbc/lgy/etl/i_v_anp_cc_creditlim.sql &quot;--hivevar SHDATA=SHDATA --hivevar FIDI_CRPBC=fidi_cacrs_crpbc --hivevar V_CURR_DATE=20260317 --hivevar V_YEST_DATE=20260316&quot; /fidi/cacrs_crpbc/lgy/log/20260317/etl_i_v_anp_cc_creditlim_20260317.log_x000a_fidi_etl /fidi/cacrs_crpbc/lgy/etl/i_v_anp_cc_ctrctbs.sql &quot;--hivevar SHDATA=SHDATA --hivevar FIDI_CRPBC=fidi_cacrs_crpbc --hivevar V_CURR_DATE=20260317 --hivevar V_YEST_DATE=20260316&quot; /fidi/cacrs_crpbc/lgy/log/20260317/etl_i_v_anp_cc_ctrctbs_20260317.log_x000a_fidi_etl /fidi/cacrs_crpbc/lgy/etl/i_p_anp_cc_creditlim.sql &quot;--hivevar SHDATA=SHDATA --hivevar FIDI_CRPBC=fidi_cacrs_crpbc --hivevar V_CURR_DATE=20260317 --hivevar V_YEST_DATE=20260316&quot; /fidi/cacrs_crpbc/lgy/log/20260317/etl_i_p_anp_cc_creditlim_20260317.log_x000a_fidi_etl /fidi/cacrs_crpbc/lgy/etl/i_p_anp_cc_ctrctbs.sql &quot;--hivevar SHDATA=SHDATA --hivevar FIDI_CRPBC=fidi_cacrs_crpbc --hivevar V_CURR_DATE=20260317 --hivevar V_YEST_DATE=20260316&quot; /fidi/cacrs_crpbc/lgy/log/20260317/etl_i_p_anp_cc_ctrctbs_20260317.log_x000a_"/>
        <s v="L04_OSI_SUBSTITUTE_CO_INFO修改开发测试"/>
        <s v="页面测试【贷款日均】（含3个标签卡、3个指标单元格表格、47个图表及事件联动）"/>
        <s v="1. 代码开发 2. 功能测试"/>
        <s v="执行验证对公普惠客户经理查询及修复问题复测"/>
        <s v="因人行调研需要，烦请明日（周二）中午前提取如下数据，谢谢。_x000a_    2026年1月-3月，客户年龄55周岁以上、交易金额2万元以上、交易渠道为柜面、ITM的取现交易的汇总笔数及汇总金额。_x000a__x000a_"/>
        <s v="开发宝山国资委-债务融资驾驶舱 "/>
        <s v="评审+UDAS数据问题+需求对接"/>
        <s v="1、在SIT测试：代发任务新增任务类型 13  对公CRM高潜代发目标；_x000a_2、在SIT测试：迁移客户列表；_x000a_3、会议过AI外呼：13:30-14:53"/>
        <s v="1.查看客户、集团视图数据表结构。_x000a_2.核对信号表对应数标与业务术语是否对应。"/>
        <s v="1.排查业务老师提出的生产问题"/>
        <s v="专项任务--曹佳源--大额资产储备监测看板  --大额资产储备监测看板支持(进行中)_x000a_专项任务--高悦--经营性物业贷款租金收入监测看板  --经营性物业贷款租金收入监测看板（进行中）_x000a_专项任务--张泠文--反洗钱客户基本身份信息治理看板  --反洗钱客户基本身份信息治理看板（进行中）_x000a_专项任务--胡怡雯--减费让利执行情况看板  --减费让利执行情况看板（初步完成并交付业务验收）_x000a_专项任务--曹峰--储能企业存贷款信息  --完成储能企业存贷款信息数据支持"/>
        <s v="ccm_forex_tx_new数据比对，完成50%"/>
        <s v="1：推动上游CCM和FRM集市跑数据。_x000a_2：跑UDAS_F_GS_LOAN_BAL_ACCT、UDAS_F_GS_LOAN_TX_ACCT等脚本20260318号数据。_x000a_3：跑数自测。"/>
        <s v="RDI_A_IND_NEW_CUST_BIZ_ND表脚本开发"/>
        <s v="1.UDAS_R_MACHN_TX_DT脚本逻辑重构，开发脚本核对数据，配置CAB"/>
        <s v="1、调整所有的问询问题，加上“指标”两字；_x000a_2、掌上行智能问数问询16个问题；"/>
        <s v="east新旧线902报表数据比对"/>
        <s v="mrp_b_t_credit_bond_bal_new_init.py，mrp_b_t_credit_bond_bal_new0200.py脚本开发_x000a_测试提测"/>
        <s v="理财销量业务模型20260320数据验证，修改脚本逻辑"/>
        <s v="顾玄怡-质检大数据模型与数仓模型差异统计及明细_x000a_刘张杰-话后满意度转接率提数_x000a_"/>
        <s v="姚蔚--企业咨询分析周明细数据0313-0319：需求分析，脚本编写，数据查询，核对数据_x000a_"/>
        <s v="本次上线14个表、1个静态表进行sqlreview测试，cab编写，提交提测"/>
        <s v="应收应付驾驶舱、报表设计"/>
        <s v="L04__x0009_PDMP_OC_OL_XT010026,L04_PDMP_OC_OL_XT010026_LIST等多张表新表入仓数据加载测试，配合联调测试20260302,20260310等日期加载。"/>
        <s v="L04_OC_OL_XT010006_H脚本开发、数据加载测试"/>
        <s v="L41__x0009_IB_CHARGE_DEDUCTION_REGISTER等多张表新表入仓数据加载测试，配合联调测试20260302,20260310等日期加载。"/>
        <s v="S04_KLNB_PRCG_ATTR_LDAY文件入湖及复制KLNB_PRCG_ATTR 20260326的p层分区数据到KLNB_PRCG_ATTR_LDAY 20260326的p层作为铺底  垒第二天0327的增量数据"/>
        <s v="跑批联调测试"/>
        <s v="E_CRM_EHR_MNGR_INFO (人力客户经理信息表) 新增字段口径调研"/>
        <s v="1、需求分析调研类工作_x000a_分析X20251103000036需求改造点，涉及大数据NRP_E_MIS_JYDW_2088_RPT_SUM、UDAS_E1_XYK_2100_RPT_SUM作业调整口径调研；_x000a_与业务沟通需求改造字段逻辑，涉及业务提供作业为源系统表及集市表，找对应整合模型的表及字段"/>
        <s v="修改涉及到磁升芯改造的信用卡脚本，跑批出20280822指标测试数据给业务老师测试"/>
        <s v="CCM_C_CUST_ORG_IND对应的FT标识及NRA客户标识的逻辑编写"/>
        <s v="核对CCM_C_ORG_INDEX "/>
        <s v="需求联调测试提测"/>
        <s v="作业：CRM_P_INDEX_ORG_CUST_IND 新增字段：当日借记卡新户，E_CRM_P_INDEX_ORG 新增标签：当日借记卡新户数-XH131。配合业务老师验证数据。"/>
        <s v="AML_PLTF_TRANS_DETAIL，AML_TRANS_BASIC_INFO，逻辑调整，数据测试"/>
        <s v="贷款页面指标替换，并跑页面进行测试"/>
        <s v="修改1个页面小i口径梳理、指标文档梳理【新兴kpi两个管理指标配置】_x000a_一个页面回填文档编写【新兴kpi两个管理指标配置】"/>
        <s v="看板描述:_x000a_    ,稳增长相关报表优化_x000a_    ,掌上行零售产品-关注类-子页面:_x000a_        ,编写指标配置文档_x000a_        ,经管配置表格_x000a_    ,掌上行零售产品-逾期类-子页面:_x000a_        ,编写指标配置文档_x000a_        ,经管配置表格"/>
        <s v="新兴板块-下钻页面指标、管理指标:指标的影响分析【同业机构代发新增调整项指标】_x000a_新兴板块-下钻页面指标、管理指标:修改模型设计【代客客户模型黄金租赁有效户逻辑修改】_x000a_新兴板块-下钻页面指标、管理指标:修改模型设计【托管对公存款修改数据范围】"/>
        <s v="脚本测试：SP_F_CORP_DPST_TX_FLAT"/>
        <s v="同业存款积数表低成本负债逻辑调整_开发测试_x000a_三方存管积数表低成本负债逻辑调整_开发测试_x000a_"/>
        <s v="1、每日卡校验及反馈数据汇总及分析；_x000a_2、美团信用卡国籍卡校验补报逻辑调整；_x000a_3、滴水贷报送逻辑调整；_x000a_4、同字节跳动开会讨论补报范围。"/>
        <s v="1.DWS侧RDI集市作业迁移至大数据、视图地表构建_x000a_(1).RDI集市对公存款账户明细RDI_CORP_DEPOSIT_ACCT作业概要设计及白皮书编写；_x000a_(2).RDI集市对公帐户级利润明细RDI_C_ACCT_PROFIT_DTL作业概要设计及白皮书编写；_x000a_(3).RDI集市(客户交易明细)分行下发RDI_CORP_CUST_TXN_DTL_INFO作业概要设计及白皮书编写；"/>
        <s v="CDA对私借据表借据类型口径优化（与UPR保持一致）"/>
        <s v="配合联调测试，加载测试数据_x000a_S22_TBDAILYINCOME_H_x000a_,S22_TBCLIENT_H_x000a_,S22_TBSHARE0_H_x000a_,S22_TBSHAREDETAIL0_H_x000a_,S22_TBPRDDAILY_H_x000a_,S22_TBPRODUCT_H_x000a_,S22_TBTRANSDAY_H_x000a_,S22_TBPRDPARAMVALUE_H_x000a_,S22_TBAUTOINVEST_H_x000a_,S22_TBSHYHHISCYCLE_H_x000a_,S22_TBPRICESET_H_x000a_,S22_TBTAINFO_H_x000a_,S22_TBVIRBANKACCMAP_H_x000a_,S22_TBTRANSREQ_H_x000a_,S22_TBTRANSREQBUY_H_x000a_,S22_TBTRANSREQSALE_H_x000a_,S22_TBTRANSCFM_H_x000a_,S22_TBSQUARE_H_x000a_,S22_TBHISTRANSREQBUY_H_x000a_,S22_TBHISTRANSREQSALE_H_x000a_,S22_TBHISTRANSREQ_H_x000a_,S22_TBDAILYINCOME_x000a_,S22_TBCLIENT_x000a_,S22_TBSHARE0_x000a_,S22_TBSHAREDETAIL0_x000a_,S22_TBPRDDAILY_x000a_,S22_TBPRODUCT_x000a_,S22_TBTRANSDAY_x000a_,S22_TBPRDPARAMVALUE_x000a_,S22_TBAUTOINVEST_x000a_,S22_TBSHYHHISCYCLE_x000a_,S22_TBPRICESET_x000a_,S22_TBTAINFO_x000a_,S22_TBVIRBANKACCMAP_x000a_,S22_TBTRANSREQ_x000a_,S22_TBTRANSREQBUY_x000a_,S22_TBTRANSREQSALE_x000a_,S22_TBTRANSCFM_x000a_,S22_TBSQUARE_x000a_,S22_TBHISTRANSREQBUY_x000a_,S22_TBHISTRANSREQSALE_x000a_,S22_TBHISTRANSREQ"/>
        <s v="1.日常开发问题协助排查_x000a_2.sas数据文件解析脚本开发_x000a_3.测试环境审计日志解析--按日期粒度查询datamask表对应的访问情况"/>
        <s v="数据安全自查测试环境脱敏信息清理方案讨论 ；下午清包袱会议、组长会议"/>
        <s v="个人相关数据测试"/>
        <s v="开户受益人需求会议，回归测试"/>
        <s v="20260324-分析新线集市是否满足需求(接口重构)-个人贷款发生额"/>
        <s v="X20251210000015 _关于优化企微客户认证和联系记录数据的业务需求书_x000a__x000a_insert_rtdp_json_webank_rtdp2crm_quchong_job_x000a_微信银行聊天记录-CRM"/>
        <s v="提测打包"/>
        <s v="s02_t_cust_blk_code_cmt_info_x000a_s02_t_cust_auth_info_x000a_s02_t_cust_address_info_x000a_实时接入表数据及对应铺底表数据多轮同步"/>
        <s v="普惠部平安普惠产品基于41022021新增41022051，S90完全复用现有表，S54现有表完全复用，除S54表ICB_LOAN_IOU新增字段为SLB_PRODUCT_NAME用于实际区分41022021和41022051_x000a_作为系统对接人，分析仓内使用情况"/>
        <s v="业绩审批添加客户经理选择"/>
        <s v="【123000716CRM提供客户等级等信息】 接口将增加输出项：客户经理所在网点号、网点名称_x000a_任务管理功能优化"/>
        <s v="1.处理生产角色申请权限内容_x000a_2.MRP集市使用的老明细补录数据需要下放到大数据，新建补录任务，配合卸数测试_x000a_"/>
        <s v="客户360视图-活期与账户页签增加非柜日/月/年限额字段的需求分析"/>
        <s v="财富智能配置中心跳转功能测试"/>
        <s v="测试，提测，投产"/>
        <s v="e_frm_i9_deval_gl_init.py作业开发_x000a_e_frm_i9_deval_gl_init.py作业测试"/>
        <s v="给下游出数_x000a_提测e_frm_i9_deval_gl_init_x000a_E_FRM_I9_DEVAL_BIZ_VARYETY_x000a_CAB开发"/>
        <s v="抖音放心借风险行为评分卡指标加工数据调研"/>
        <s v="数据测试"/>
        <s v="新兴板块-下钻页面指标、管理指标:模型评审【代客外汇掉期】"/>
        <s v="编写UDAS_F_GS_INVE_BANK_BIZ  测试验证数据"/>
        <s v="B_CRDT_APPRV_STATS_MODEL修改数据表取数数据源及数据表名"/>
        <s v="页面实时报表字段和批量逻辑开发"/>
        <s v="专项任务-陈姿-停发重点关注企业代码开发和验数"/>
        <s v="贷款补贴0228数据测试，比对外币定价底线数据。"/>
        <s v="类代发业绩功能测试"/>
        <s v="监管数据检核_x000a_ta03_east_result_dgxdywjjb_w"/>
        <s v="T05_PAY_PLAN_EVT_S84_x000a_T05_MT_PROJ_CONT_REG_EVT_S84_x000a_T05_IBBM_RATION_RESULT_EVT_S84_x000a_T05_IBBM_PUBLIC_EVT_S84_x000a_T05_IBBM_PROJECT_EVT_S84_x000a_T05_IBBM_INTM_PROJECT_EVT_S84_x000a_T05_IBBM_CREDIT_EVT_S84_x000a_T03_MT_PROJ_INFO_H_S84_x000a_T03_IBBM_AGMT_BOND_INFO_S84_x000a_T03_IBBM_AGMT_ASSET_INFO_S84 --数据加载20260318"/>
        <s v="CCM_C_LOAN_ACCT_INDEX数据验证"/>
        <s v="生产问题修复_x000a_组会_x000a_调整测试普惠审批台账问题"/>
        <s v="项目问题回复，业务文档整理，需求进度跟踪。"/>
        <s v="E_CRM_P_PAD_EXPAN_OPEN脚本开发测试"/>
        <s v="征信系统中证信评分批量上传、下载、反馈文件解析入库、密码修改代码开发、测试_x000a_征信系统自动触发用户导出功能修改、测试"/>
        <s v="DSM_EskThrDocEnqrIntf_001司库-三单查询接口加载脚本修改"/>
        <s v="1.客户管理系统对标"/>
        <s v="PP环境埋数服务部署、征信待复核4个菜单功能记录首字段加红加粗"/>
        <s v="1.票易贷需求验证_x000a_2.对公尽调报告场景开发查询"/>
        <s v="请求报文校验模块开发"/>
        <s v="配合卸数18张表数据，建表，调整SQL，配置CAB等"/>
        <s v="专项任务-姜仕燕-长尾智能外呼效益提取,今日已完成,已通过云文档交付"/>
        <s v="专项任务-胡雯-分析B_CORP_STRUDPST_BAL对公结构性存款余额模型对掌上行的影响。"/>
        <s v="票易贷全字段比对 合同表，担保合同 申请 合同和担保合同关系 数据量 比对 _x000a_0318 南通众和应收账款 配合下游测试"/>
        <s v="计财板块-下钻页面（合意贷模型）:修改一个存储过程SP_B_CORP_CO_LOAN_BAL 新增房地产贷款标签科创贷款标识投放金额投放金额X投放利率本年新发生标识_x000a_"/>
        <s v="专项任务-陈姿-信义贷看板流程效率换机构树之后，25年12月31日数据不一致，26年1月31日数据没有问题；信义贷看板规模结构数据无问题"/>
        <s v="1、票易贷迁移数据问题溯源，部分数据重跑，修改涉及脚本的sql，重新备份数据_x000a_2、.删除征信同名库下不带_QY后缀的表中20260228数据，重新重datamask环境插入同名库重新调用脚本并备份数据"/>
        <s v="卡校验20260322数据整理_x000a_测试环境大禹调度铺底_x000a_测试环境生成环境代码铺底_x000a_月版脚本配合提测_x000a_授信协议版本代码提测_x000a_授信协议关闭报文生成（30911）"/>
        <s v="对公CRM内个人敏感信息脱敏处理"/>
        <s v="28个doris+14个doris"/>
        <s v="1、落标表增转全脚本开发，测试环境联调测试_x000a_s51_ccss_fk_deci_resp_result_h_init.sql_x000a_s51_ccss_fk_deci_resp_result_h.sql_x000a_2、整理0327版本提测脚本清单，提交git，提交提测平台测试，共16个脚本_x000a_s51_ccss_fk_ysq_appl_h.sql_x000a_s71_nftp_cm_curve_def_h.sql_x000a_s71_nftp_cm_curve_data_h.sql_x000a_s71_nftp_cm_term_def_h.sql_x000a_s71_nftp_cm_curve_yield_h.sql_x000a_s71_nftp_rm_method_rule_data_h.sql_x000a_s71_nftp_rm_method_rule_h.sql等_x000a_3、填写0327版本上线清单内容，cab配置文件"/>
        <s v="机构KPI提数_x000a_科技金融贷款余额净增BI112711"/>
        <s v="1.重新比对重点指标差异并查询原因"/>
        <s v="1、查明并分析区域特色Q55报表20251231报表按发卡时间归类取到了4个26年发卡客户数的原因；_x000a_2、整理信用卡磁升芯20280616指标测试数据给业务老师测试。"/>
        <s v="对公存贷款流入流出统计模型开发与添加大禹调度任务 ； 已完成 100% ；"/>
        <s v="1.税务账户报送数据超长卡批处理"/>
        <s v="1. 代码开发"/>
        <s v="RDI_F_INDIV_REPAY_PLAN_SUZ、RDI_F_INDIV_DEB_CARD迁移前后全字段对比，RDI_F_INDIV_REPAY_PLAN_SUZ逻辑以及接口名调整"/>
        <s v="代客中收信息表开发"/>
        <s v="开发对公客户拜访申请信息"/>
        <s v="司库战略支撑模块司库系统首页口径整理"/>
        <s v="1、处理2月份漏期报送；_x000a_2、沟通信用卡校验和反馈失败清单；_x000a_3、参加个人征信待办事项沟通会议；"/>
        <s v="1.X20250305000005-江苏金租接入车生态需求:从datamask库同步84张一表通报表20260131的数据到测试库，并完成每张表数据量的比对。_x000a_2.X20250305000005-江苏金租接入车生态需求:在测试环境跑综合监管报表20260313的数据，并配合下游进行测试验证。_x000a_3.X20250305000005-江苏金租接入车生态需求:整理20260327版本的代码以及上线文档。"/>
        <s v="1.UDAS_R_BOS_TX_SUM脚本开发，测试数据，配置依赖，上传cab"/>
        <s v="新增作业:E_CRM_C_MNGR_WORK_STC_SUM(对公客户经理工作结构统计表) 口径调研"/>
        <s v="UDAS_F_GS_CORP_FIN_LOAN_DTL_N新增互联网标签 仓内上下游联调测试（改动部分）按照3轮测试评估_x000a_UDAS_F_GS_CORP_FIN_LOAN_DTL_N新增互联网标签 仓内上下游联调测试（回归部分）按照3轮测试评估_x000a_UDAS_F_GS_CORP_FIN_LOAN_DTL_N新增互联网标签 外围系统联调测试按照3轮测试评估_x000a_"/>
        <s v="票易贷脚本开发及数据测试"/>
        <s v="上线批次页面还原性测试"/>
        <s v="TP07_HR_PST_W 人力资源岗位信息更换来源表,并按照物理模型重新建表,开发完成跑入测试数据后供下游验证,并发影响性分析_x000a_监管需求,提供TP07_TELLR_INFO_W 柜员信息表最新脚本202510月的测试数据供监管验证_x000a_开发TP07_HR_EMPE_W 人力资源员工信息表新增监管需求口径, 并提供测试数据供下游验证_x000a_月版提测平台登记,汇总部分月版调度"/>
        <s v="1.参加民主评议党员大会_x000a_2.税务账户报送敏感数据复查"/>
        <s v="udas_e_gs_corp_dpst_bal_hd新增字段，银联标识、土保标识、源系统期限、源系统期限代码 单元测试_x000a_"/>
        <s v="脚本调整及验证：SP_F_CRM_C_A_REMIND_STATS、SP_B_GENERALIZE_INDEX_INN_CRM7"/>
        <s v="开发宝山国资委-债务融资驾驶舱 ，修改数据集团-金融市场信息驾驶舱"/>
        <s v="整合模型还款流水表追数脚本开发。"/>
        <s v="MRP债券投资余额代码评审，债券投资余额分成表开发。"/>
        <s v="RTL_BW_COMM_PENSION_BAL_NEW 数据验证，修改脚本_x000a_主表差异"/>
        <s v="脚本开发开发中2个：标准化企信余额分成表，新增接口，批量脚本及初始化建表脚本开发"/>
        <s v="票易贷 债项合同全字段比对"/>
        <s v="处理一二代转换错误人行单笔手工处理-李宁-报文已处理_x000a_处理纠正-个人-2026-03-04-常州分行-刘曼曼-报文已处理_x000a_处理一二代转换错误人行单笔手工处理-汪涛-报文已处理_x000a_处理一二代转换错误人行单笔手工处理-王甜-报文已处理_x000a_处理一二代转换错误人行单笔手工处理-岗峰举-报文已处理"/>
        <s v="TP02_CHMTPD_INF_W 代理理财产品信息,S22_TBPRICESET_H加工逻辑新增限制条件 ETL_DEL_FLAG = '0',SIT2环境测试，跑数20251231_x000a_TP01_PRVT_CST_BSC_INF_W 调整所属机构编号字段逻辑,修改第二层判断,SIT2环境测试，跑数20260131_x000a_TP05_CHMTPD_TNACC_MDTXN_JRNL_A,Txn_tm字段不符合数据标准,定位至ADM层源表数据加工问题，反馈上游修改"/>
        <s v="1.编写了27条全链路脚本案例_x000a_PRM_TAG_BS_REPAY_INFO_x000a_E_FRM_NRWA_RETAIL_EXPOSURE_2_x000a_E_FRM_I9_DEVAL_CRDCARD_MT_x000a_PRM_TAG_BS_REPAY_INFO_x000a_PRM_SUM_CREDIT_STAT_PLTF_x000a_2.协助开发开发环境铺数_x000a_3.复测了1个脚本_x000a_FRM_F03_DEBT_ACCT_LTV_x000a_进度:已完成"/>
        <s v="页面回填文档编写【贷款日均】二批次投产_x000a_新增页面小i口径梳理、指标文档梳理【贷款日均】二批次投产_x000a_修改页面配置【贷款日均】二批次投产"/>
        <s v="大数据RTL_BW_TBOND_EVT_NEW--电子式跑数、数据验证"/>
        <s v="执行验证对公客户经理业绩普惠客户经理查询"/>
        <s v="S73_WCD_APPLY_INFO修改开发测试"/>
        <s v="党会"/>
        <s v="_x0009_0131追数验证"/>
        <s v="1、测试外呼认证图片上传压缩的问题：IOS前端上传需要小于20KB；_x000a_2、找测试数据；"/>
        <s v="1.查看客户、集团视图数据表结构。"/>
        <s v="专项任务--高悦--经营性物业贷款租金收入监测看板  --经营性物业贷款租金收入监测看板（进行中）_x000a_专项任务--叶颖--反洗钱推送异常整改任务  --反洗钱推送异常整改任务（进行中）_x000a_专项任务--张泠文--反洗钱客户基本身份信息治理看板  --反洗钱客户基本身份信息治理看板（进行中）"/>
        <s v="专项任务--李瑞敏-战略决策支持模块报表看板  --标准版驾驶舱数据准备及校验，生产看板及报表问题校验(进行中)"/>
        <s v="顾玄怡-派单录入时间与通话时间关系_x000a_余佳骏-电话文本模型录音抽取"/>
        <s v="脚本口径开发，配合下游测试数据多次造数、卸数"/>
        <s v="请匹配下附件账户的账户性质、币种、是否销户、借贷限制，如果是人民币活期账户的话，请注明是基本户、一般户、临时户还是专户；_x000a_    2、请对附件非标黄部分的账户、按人民币单位活期结算账户的不同账户性质进行抽查（定期、外币不用抽查），是否符合这个规则：T24登记的date_last_cr_cust客户上次动账日期、date_last_cr_bank系统上次动账日期，只要有一个等于开户日就可以。_x000a_    3、附件标黄的3户，是否有动账日期？_x000a_"/>
        <s v="RDI_A_IND_NEW_CUST_BIZ_NDB 表口径调研"/>
        <s v="S73__x0009_TY_LOAN_DISCOUNT_TXN_INC,S73_GUARANTEE_COLLATERAL_INFO等多张表新表入仓数据加载测试，配合联调测试20260302,20260310等日期加载。"/>
        <s v="该需求需要整合模型配合的梳理"/>
        <s v="【抵质押物】S83-12分组，修改『合同号』字段取值逻辑，增加450206产品编号，AR担保贷的合同号取数跟对公E宅保持一致；"/>
        <s v="1、掌上行智能问数问询31个问题；_x000a_2、与开发沟通问询结果未达到预期的问题；"/>
        <s v="mrp_b_t_credit_bond_bal_new_init.py，mrp_b_t_credit_bond_bal_new0200.py脚本开发"/>
        <s v="卸数新入脚本开发，测试开发脚本，加载测试数据并验证数据准确性_x000a_表清单：GUARANTEE_COLLATERAL_INFO"/>
        <s v="S84_IBBM_INTD_DURA_FEE_WRITE_OFF_H脚本开发、数据加载测试"/>
        <s v="看板描述:_x000a_    ,稳增长相关报表优化_x000a_    ,对公不良变动明细问题排查&quot;不良转正常&quot;, &quot;不良减少_垫款&quot;: -- 邮件已回_x000a_    ,掌上行零售产品-不良生成-子页面:_x000a_        ,编写指标配置文档_x000a_        ,经管配置表格"/>
        <s v="s99_bos_p_contactperson_x000a_s99_bos_p_finance_x000a_s99_bos_p_identifier_x000a_实时接入表数据及对应铺底表数据多轮同步"/>
        <s v="姚蔚--企业电子渠道满意度明细看板：需求分析，脚本编写，数据查询，核对数据_x000a_"/>
        <s v="作业：_x000a_MRP_B_T_FUND_INVEST_BAL_NEW 替换_x000a_MRP_B_T_FUND_INVEST_BAL_SUM_NEW 替换_x000a_MRP_IFBM_PROD_FLOW 新增_x000a_MRP_IFBM_PROD_FLOW_DIV 新增_x000a_编写白皮书，和下游核对数据"/>
        <s v="授信额度信息表字段分析，提整合需求"/>
        <s v="南通众和脚本数据测试CDI_ACCT_H及CDI_ACCT_PROD_BAL_S07"/>
        <s v="核对CCM_C_CASH_DEPOSIT_ACCT 问题已反馈"/>
        <s v="1、每日卡校验及反馈数据汇总及分析；_x000a_2、20260327月版上线脚本验证及上传；_x000a_3、同字节跳动开会讨论补报范围；"/>
        <s v="信用卡客户基本信息新增信用卡催收特定客户标志测试提测"/>
        <s v="测试脱敏，开发沟通，"/>
        <s v="配合联调测试"/>
        <s v="经营作战室信用卡相关指标替换，并进行页面测试"/>
        <s v="修改页面配置【新兴kpi两个管理指标配置】_x000a_页面测试（数据、图表）【新兴kpi两个管理指标配置】_x000a_"/>
        <s v="同业客户业务明细表_x0009_交易金额 生产数据核对"/>
        <s v="ETL接入 当日借记卡数据"/>
        <s v="S80_USER_ORDER_SHIPPING_ADDRESS文件入湖开发测试及评审打包"/>
        <s v="企业授信切换方案讨论、投产演练事项计划安排；个人报送征信事项进度、问题会议讨论"/>
        <s v="数据安全自查相关事项会议，敏感信息排查进度以及问题讨论"/>
        <s v="治理旧线数据迁移问题"/>
        <s v="代客业务组合派生指标追数及验证"/>
        <s v="1.DWS侧RDI集市作业迁移至大数据、视图地表构建_x000a_(1).RDI集市对公存款账户明细RDI_CORP_DEPOSIT_ACCT_INIT初始化作业提测，cab配置文件填写；_x000a_(2).RDI集市对公存款账户明细RDI_CORP_DEPOSIT_ACCT脚本作业提测，cab配置文件填写；_x000a_(3).RDI集市对公帐户级利润明细RDI_C_ACCT_PROFIT_DTL脚本作业提测，cab配置文件填写；_x000a_(4).RDI集市(客户交易明细)分行下发RDI_CORP_CUST_TXN_DTL_INFO脚本作业提测，cab配置文件填写；"/>
        <s v="【信贷合同信息】S83-12分组，修改『合同号』字段取值逻辑，增加450206AR担保贷产品的映射；修改『合同贷款类型』，南通众合映射为流动资金贷款；11"/>
        <s v="1.计算区批量模板调整_x000a_2.计算区分桶表脱敏视图异常处理"/>
        <s v="CB落标检核"/>
        <s v="客户360基本信息手机号与联系信息修改与展示手机号,座机号脱敏_x000a_ai外呼营销任务"/>
        <s v="1.公司板块战新标签迁移表新增字段，配合更新和卸数测试_x000a_2.指标模型上线，协助导入上线内容"/>
        <s v="e_crm_p_pad_expan_open 脚本开发测试"/>
        <s v="非柜限额对接实时接口的需求分析"/>
        <s v="脚本修改、配合业务验证数据"/>
        <s v="同业存款积数表低成本负债逻辑调整_口径调研_x000a_三方存管积数表低成本负债逻辑调整_口径调研"/>
        <s v="2、脚本开发类工作_x000a_    脚本开发开发中1个：数仓RDI_INDIV_CREDIT_INFO_NINGB脚本翻写到大数据，数据比对_x000a_未入整合模型字段的进度跟进"/>
        <s v="AML_TRANS_CARD_MT_INFO，E_AML_BB11_TRANS_CARD_3RD信用卡交易配合测试"/>
        <s v="抖音放心借风险行为评分卡指标加工需求调研"/>
        <s v="E_FRM_I9_DEVAL_BIZ_VARYETY开发_x000a_E_FRM_I9_DEVAL_BIZ_VARYETY测试"/>
        <s v="新兴板块-下钻页面指标、管理指标:修改模型设计【代客外汇掉期】"/>
        <s v="2月份数据测试"/>
        <s v="信用卡标签数据验证"/>
        <s v="征信系统中证信评分批量上传、下载、反馈文件解析入库、密码修改代码开发、测试"/>
        <s v="实时接口联调"/>
        <s v="采集抽取数据:20260318_x000a_S84_MT_LAND_REGISTER_x000a_S84_MT_FEE_PLAN_INFO_x000a_S84_MT_FEE_SHARE_RULE _x000a_S84_CRM_WARRANT_INFO"/>
        <s v="CCM_C_CRMS_LIMIT数据验证"/>
        <s v="进行存量个人贷款下游跑数。"/>
        <s v="代码评审_x000a_测试验证投行数据：代理推介，信用风险缓释_x000a_从生辰同步代客数据，测试代客相关指标_x000a__x000a_"/>
        <s v="1.日常开发问题协助排查_x000a_2.sas数据文件解析脚本开发"/>
        <s v="制度升级测试1月份数据"/>
        <s v="请求报文解析模块开发"/>
        <s v="1.开发 应收应付账款信息 _x000a_2.开发 监管报送17_18基础（应收应付款项）   _x000a_3.开发 监管报送17_18接口（应收应付款项）   "/>
        <s v="DSM_EskAccTxnDtlIntf_001司库-账户历史交易查询接口数据加载脚本开发"/>
        <s v="报表《稳增长-提数-全行及重点区域业务情况-3+16》配置调整及测试"/>
        <s v="贷款补贴调整定价底线逻辑"/>
        <s v="卡校验20260319、20260320、20260321数据整理_x000a_治理卡校验5类报文上传结果核对_x000a_授信协议关闭数据整成模版_x000a_440-五级分类认定日期晚于账户关闭日期问题核查_x000a_总行普惠业务部（小企业金融服务中心）生产后台数据修改申请_授信协议80证件号码错误补充（已生成报文）_x000a_配合垫款借据核查，是否都是保理垫款及金额_x000a_验证授信协议关闭报文"/>
        <s v="计财板块-下钻页面（合意贷模型）:测试-配合上游联调（包括UAT、PI、PP）对公合意贷模型"/>
        <s v="业务需求跟踪，上线脚本编写，查询优化。"/>
        <s v="验证票易贷迁移数据"/>
        <s v="1、批复3.31号上线版本，同步生产数据20260228，A版本跑批后，数据备份A_x000a_2、同名库同步迁移数据20260228，B版本跑批后，数据放到备份B_x000a_3、备份A与备份B数据比对,查找问题"/>
        <s v="专项任务-胡雯-分析B_CORP_STRUDPST_BAL_FLAT对公结构性存款余额模型（CRM口径）对掌上行的影响。"/>
        <s v="G22以下指标差异原因查询比对，12个分组逐一排查_x000a_BI040184  一个月内到期的同业往来款项轧差后资产方净额_x000a_BI040185  一个月内到期的同业往来款项轧差后负债方净额"/>
        <s v="专项任务-魏巍-长尾触达代码改写,今日已完成80%_x000a_专项任务-吴进丰-一次问老年客户企微认证提取,今日已完成,已通过云文档交付"/>
        <s v="1：影响性分析。_x000a_2：450206产品对公贷款接口整理。_x000a_3：数据探查： UAT1环境P层数探查+向上游CCM集市数据要求。"/>
        <s v="新兴板块-下钻页面指标、管理指标:模型配置【代客客户交易明细、代客客户交易汇总】_x000a_"/>
        <s v="异议录入、审核、退回、撤回功能关闭工作流"/>
        <s v="MRP_B_T_STD_CORP_CREDIT_BAL_NEW开发"/>
        <s v="专项任务-陈姿-信义贷看板机构树调整，虹口支行与松江支行分别多了2个有效账户数，是从其他下面归属到了这两个支行，总数无误；信义贷流程效率看板当月申请人数数据异常原因排查，已修复；"/>
        <s v="工商联调"/>
        <s v="宝山国资委演示demo设计"/>
        <s v="udas_e_gs_corp_dpst_bal_hd新增字段，银联标识、土保标识、源系统期限、源系统期限代码 详细设计评审_x000a_udas_e_gs_corp_dpst_bal_hd新增字段，银联标识、土保标识、源系统期限、源系统期限代码 脚本开发_x000a_"/>
        <s v="联调测试配合卸数_x000a_E_CHA_EIBS_IBC_CUST_DEPOSIT_x000a_E_CHA_EIBS_IBC_CUST_FIN_x000a_E_CHA_EIBS_IBC_CUST_INFO_x000a_"/>
        <s v="维度条；指标配置-科目指标、派生指标、组合指标；"/>
        <s v="机构改造追数"/>
        <s v="司库数据监管报送-应付债券和应收款项相关接口开发_x000a_"/>
        <s v="UDAS_F_GS_CORP_FIN_LOAN_DTL_N新增互联网标签 脚本开发_x000a_UDAS_F_GS_CORP_FIN_LOAN_DTL_N新增互联网标签 单元测试_x000a_"/>
        <s v="udas_e_gs_corp_dpst_bal_hd新增字段，银联标识、土保标识、源系统期限、源系统期限代码 概要设计评审_x000a_udas_e_gs_corp_dpst_bal_hd新增字段，银联标识、土保标识、源系统期限、源系统期限代码 模型设计_口径调研_x000a_"/>
        <s v="代客外汇掉期开发、合版、测试_x000a_黄金租赁余额开发、测试"/>
        <s v="非贴现式融资账户新增 本金余额月积数 本金余额月积数折人民币 本金余额月积数折折美元 本金余额季积数 本金余额季积数折人民币 本金余额季积数折美元 本金余额年积数 本金余额年积数折人民币 本金余额年积数折美元 脚本开发,数据验证测试_x000a_券发行机构信息 新增 总行可投库标识 可投省份 可投城市 可投档位 可投企业性质 可投企业统一社会信用代码 脚本开发,数据验证测试_x000a_即期结售汇交易合约信息 新增 冲正时间 脚本开发,数据验证测试_x000a_基金专户底层信用债余额信息 新增实体脚本开发,数据验证测试_x000a_自营贵金属拆借合约信息 新增 折人民币成本余额 折人民币成本余额月积数 折人民币成本余额年积数 公允价值变动_折人民币余额 公允价值变动_折人民币月积数 公允价值变动_折人民币年积数脚本开发,数据验证测试"/>
        <s v="司库监管-报送报表-应收票据+担保 开发"/>
        <s v="脚本开发开发中2个：标准化企信流水分成表，新增接口，批量脚本及初始化建表脚本开发"/>
        <s v="1.讨论历史数据初始化方案；_x000a_2.1号文和2号文解读和方案编写。"/>
        <s v="1.审计署2.0 0228批次生产加载及问题处理"/>
        <s v="稳增长票据需要从金市转移至公司板块-报表追数"/>
        <s v="科目调整影响分析及调整方案确认-251006003_x000a_科目调整影响分析及调整方案确认-251009，251009001_x000a_科目调整影响分析及调整方案确认-251007009"/>
        <s v="贷款余额模型，房贷申请模型配置调整，维度新增"/>
        <s v="对公存款页面掌上行页面影响分析及指标配置分析"/>
        <s v="AML_TRANS_BASIC_INFO，E_AML_BB11_TRANS_3RD跑批20260310,20260311,20260312，数据测试，卸数给下游"/>
        <s v="机构改造20260131-0203追数"/>
        <s v="测试法人客户关系表修改后0228数据,修复缺陷系统缺陷"/>
        <s v="宝山区国资委需求前端内容开发"/>
        <s v="司库监管报送-校验规则管理开发 55%"/>
        <s v="旧线：投产总结及后续运维-涉及模型上线后生产数据验证_x000a_新线：【TA05_JGB_AGNC_BSN_TXN_A-代理业务交易明细】配合测试；_x000a_"/>
        <s v="1、每日卡校验及反馈数据汇总及分析；_x000a_2、人行两端核对数据量差异分析；_x000a_3、京东京条补报逻辑调整验数；_x000a_4、同字节跳动开会讨论补报范围。"/>
        <s v="开发凭证开立信息表脚本"/>
        <s v="2.提测作业_x000a_E_FRM_I9_INDIV_PROD_DFLT_REPY_x000a_E_FRM_NRWA_RETAIL_EXPOSURE_2_x000a_E_FRM_I9_DEVAL_CRDCARD_MT_x000a_E_FRM_NRWA_ENTITY_2_x000a_E_FRM_I9_DEVAL_C_CUST_x000a_E_FRM_SMBSN_BOND_RSLT_x000a_E_FRM_SMBSN_BILAR_RSLT_x000a_E_FRM_SMBSN_CRLN_RSLT_x000a_E_FRM_ECA_CORP_RECPTFORALOAN_RSLT_x000a_FRM_CORP_RECPTFORALOAN_BASE_INF_x000a_2.分析字段级影响BLACK_LIST_OF_CUST_INFO_S80_DTLD"/>
        <s v="RDI_F_INDIV_CUST_TXN逻辑调整，RDI_F_INDIV_CUST_TXN、RDI_F_INDIV_LOAN_ACCT迁移前后全字段对比"/>
        <s v="区域特色新旧线差异测试_x000a_q4503表明细差异原因查询_x000a_指标缺陷修复问题确认"/>
        <s v="1、落标增转全脚本数据验证，数据量比对，主键是否唯一验证_x000a_s51_ccss_fk_ysq_appl_init.sql_x000a_s51_ccss_fk_ysq_appl.sql_x000a_2、逻辑模型与生产表结构文档差异比对确认，出反馈结果_x000a_3、0320版本生产调度配置，测试环境验证_x000a_S65_BE_ACCOUNT_H_x000a_4、添加0320版本新增ddl，刷文数据脚本文件"/>
        <s v="APPCRM.E_CRM_CODE_DESC 联调卸数,验数,提测文件等"/>
        <s v="1.X20250305000005-江苏金租接入车生态需求:在测试环境跑金数报表20260313的数据，并配合下游进行测试验证。_x000a_2.X20250305000005-江苏金租接入车生态需求:在测试环境跑综合监管报表20260313的数据，并配合下游进行测试验证。"/>
        <s v="整合模型配合修改脚本，TP03_IDV_LNACC_BSC_INF_W_s05、tp03_idv_lndebt_entred_pay_inf_a"/>
        <s v="休假一天"/>
        <s v="宝山国资委相关页面设计"/>
        <s v="重点指标配合测试、新旧线比对配合测试、一表通转EAST 测试案例编写、一表通2.1测试环境搭建脚本修改"/>
        <s v="1.查询重点指标差异原因并提缺陷_x000a_2.整理一表通2.1新增字段过程及逻辑"/>
        <s v="解决缺陷B20260300256352，修改脚本，重新跑数_x000a_开发落标表S73_WLD_CREDIT_APPLY_x000a_S84_CRM_ISSUE_APPLY_H_x000a_S81_CCS_SEN_CUST_INFO_H_x000a_S73_WCD_CUSTOMER_REL"/>
        <s v="udas_e_gs_corp_dpst_bal_hd新增字段，银联标识、土保标识、源系统期限、源系统期限代码 集市侧需求分析_全链路影响性分析_x000a_"/>
        <s v="20260105批次，减值数据验证"/>
        <s v="公司章程_x0009_sem_artofasso_inf_w_x000a_对公信贷业务申请_x0009_sem_corp_bsn_inf_w_x000a_表开发"/>
        <s v="1.核对新旧线20260131期的指标数据，查看S7101\S74\G3301等报表新线出数，但旧线没出数的原因"/>
        <s v="新兴板块-下钻页面指标、管理指标:模型、指标、维度的影响分析/次【城银清算服务低成本负债年日均】_x000a_"/>
        <s v="NRP 清包袱_x000a_南通众合新产品测试"/>
        <s v="验证复测修复的个人敏感信息脱敏问题，验证360工商、股东等功能"/>
        <s v="司库战略支撑模块供应链金融驾驶舱口径整理"/>
        <s v="NRP大数据侧投行优化内容脚本修改开发联调。"/>
        <s v="债权投资计划余额分成表  新增实体表，口径分析，脚本开发_x000a_信用债余额分成表  新增实体表，口径分析，脚本开发"/>
        <s v="整合模型涉及投行业务数据测试"/>
        <s v="1104指标新旧线差异测试，原因查询"/>
        <s v="大集中日报监测批量出数，需要手动调度批量任务，切换新旧线数据/沿用上期数据"/>
        <s v="esk_acc_bal_intf 账户历史余额接口_x000a_esk_thr_doc_enqr_intf 三单查询接口_x000a_sk03_trm_acc_hist_bal 定期账户历史余额表_x000a_逻辑调整，新增字段，测试环境联调测试"/>
        <s v="开发对公客户预约开户信息"/>
        <s v="1.进行区域特色1231季报指标的差异明细分析，主要推进T3/Q48/Q55/Q38指标的口径确认、差异缩小和复测_x000a_2.复验6个重点缺陷，验证通过其中2个，跟踪其他重点缺陷的解决进展"/>
        <s v="UDAS机构改造-内部泛化来源表分析与指标测试"/>
        <s v="法人贷款与活期存款关联关系表 的冲补抹字段验证"/>
        <s v=" 对101 机构信息表 102 员工表 进行检核问题分析比对验证,提缺陷"/>
        <s v="TP99_MARKET_EXRT_INF_W 货币市场汇率信息 SQLREVIEW验证回插全量数据超时,现拆为三个脚本用调度回插数据,记录回插时间_x000a_汇总整合模型紧急变更调度, 并在生产同环境验证_x000a_整理月版提测平台作业并登记,同时填写云文档与作业相关调度配置"/>
        <s v="专项任务--徐冬--民营客户贷款评分模型看板  --民营客户贷款评分模型看板（进行中）_x000a_专项任务--高悦--经营性物业贷款租金收入监测看板  --经营性物业贷款租金收入监测看板（进行中）_x000a_专项任务--叶颖--反洗钱推送异常整改任务  --反洗钱推送异常整改任务（进行中）_x000a_专项任务--胡怡雯--减费让利执行情况看板  --减费让利执行情况看板（需求初步沟通中）"/>
        <s v="银企直连网银账户明细脚本开发，单元自测白皮书编写"/>
        <s v="三方存管签约解约信息初始化，批量脚本开发，测试"/>
        <s v="掌上行前端报表展示，支持收缩展开效果响应数据日期变化"/>
        <s v="指标测试、调整配置"/>
        <s v="关于法透累放清单，去年10月之后，取到的都是真正的法人账户透支，头寸共享再也没取到过。问过公司部，当天放款当天结清的不再进119科目，所以当天放款当天结清的头寸共享取不到是正常的；但会有隔夜的头寸共享业务，是会进119科目的，这些按理应该要取到的，但现在似乎也没取到。举个例子：四川省水电投资经营集团有限公司03003703982、四川能投金鼎产融控股集团有限公司03003480401，这两户是头寸共享业务，2月份都有放款、且月末有余额，所以肯定是隔夜进119科目了，但是2月的法透累放清单里没有这2户，确认了原因目前口径及逻辑需要调整反馈到业务确认最新口径及逻辑了"/>
        <s v="mrp_b_i_deposit_acct_bal_div 脚本数据验证_x000a_mrp_b_i_deposit_acct_bal，mrp_b_i_deposit_acct_bal_div 平台提测"/>
        <s v="1.修改客户历史跟踪详情页面优化需求的bug"/>
        <s v="脚本开发"/>
        <s v="对公存款人民币普通企业存款净流入/净流出报表数据开发 ， 已完成 60% ；"/>
        <s v="缺陷处理：缺陷ID B20260300255674_x000a_对私结算户，数据追历史 备份脚本开发"/>
        <s v="_x0009_0316版本，旧线为0新线不为0指标差异原因分析_x000a_G21/G22/G24/G2501/G2502/G3101/G3102"/>
        <s v="1.NRP集市作业开发_x000a_(1).住房贷款申请明细卸数中间表NRP_UDAS_LODGING_LOAN_APPLY_DTL作业提测，cab配置文件填写，概要设计及白皮书编写；_x000a_(2).客户经理个贷KPI预警表UDAS_A_LS_LOAN_MNGR_KPI_HDP作业提测，cab配置文件填写，概要设计及白皮书编写；_x000a_(3).抽数作业UDAS_F_IND_LOAN_BAL_BW新增字段初始化作业提测；"/>
        <s v="AML_TRANS_BASIC_INFO，E_AML_BB11_TRANS_3RD跑批20260310,20260311,20260312，数据测试"/>
        <s v="udas_f_gs_chain_acct_hd新增供应链模型加业务交易银行主管部门字段 仓内上下游联调测试（改动部分）按照3轮测试评估_x000a_udas_f_gs_chain_acct_hd新增供应链模型加业务交易银行主管部门字段 仓内上下游联调测试（回归部分）按照3轮测试评估_x000a_"/>
        <s v="配合区域特色的慧信改造工程新线数据进行差异分析与验证数据情况"/>
        <s v="缺陷解决"/>
        <s v="数据验数"/>
        <s v="联调测试问题调整"/>
        <s v="TP03_CHMTPD_TNACC_HD_BSC_INF_W 代理理财产品交易账户持券基本信息,新增字段 长期冻结份额 交易冻结份额,脚本及初始化开发，SIT2环境测试，跑数20251231_x000a_TP05_AGNC_ENTRST_RQS_JRNL_A 代理委托请求流水,调整银行账号字段S14组逻辑,新增字段原银行账号,脚本及初始化开发，SIT2环境测试，跑数20251231_x000a_TP05_AGNC_FNDS_CLRG_RQS_JRNL_A 代理资金清算流水,调整银行账号字段S14组逻辑,新增字段原银行账号,脚本及初始化开发，SIT2环境测试，跑数20251231"/>
        <s v="涉及脚本:AML_TRANS_INTERNET_INFO 、E_AML_BB11_TRANS_INTERNET_3RD_x000a_修改脚本逻辑  ,跑批数据，自测数据，卸载数据，配合下游测试"/>
        <s v="1、配合测试宅即贷需求测试：1）、放开账户类型需转换的借据清单；2）、核对新旧线报送卡校验和反馈清单；_x000a_2、已完成数据测试，并提供测试结果；_x000a_3、复核测试结果；"/>
        <s v="指标下钻分析功能优化-机构分析开发优化+测试"/>
        <s v="1.0320紧急变更_x000a_2.票易贷迁移脚本开发，对应押品表部分。_x000a_3.验证票易贷数据_x000a_4.平台贷反洗钱开发"/>
        <s v="计财板块-下钻页面（合意贷模型）:模型配置对公合意贷明细模型对公合意贷多维模型_x000a_计财板块-下钻页面（合意贷模型）:一个模型追数对公合意贷多维模型_x000a_计财板块-下钻页面（合意贷模型）:测试-配合上游/业务验证一个模型数据(包括加载，跑数，测试环境验证)对公合意贷模型"/>
        <s v="《上海地区存贷款余额情况一览表》配置调整，上线及追数"/>
        <s v="宁波信号相关功能提交测试，并修复相关bug."/>
        <s v="提测并同步数据_x000a_信用卡分期贴息信息_x000a_收单商户基本信息_x000a_信用卡账户分期付款交易合约信息_x000a_美团分期还款计划_x000a_信用卡账户余额衍生信息"/>
        <s v="1.上午：解答公司部人员验收标准的答疑；_x000a_2.上午：沟通保融票据模块和风险模块验收相关工作；_x000a_3.下午1点：上影制作调研；_x000a_4.1号文和2号文解读和方案编写;_x000a_5.推进验收工作准备事宜；"/>
        <s v="脚本开发开发中2个：标准化企信专户积数表，新增接口，批量脚本及初始化建表脚本开发"/>
        <s v="根据下游需求，调整投行中收分成表 风险缓释产品债券名称取数口径，调整风险缓释产品分成系数取数口径，验证调整后的数据是否符合下游需求"/>
        <s v="对公板块-总行KPI调整:测试-配合上游联调（包括UAT、PI、PP）--对公客户模型支行模型"/>
        <s v="开发贵金属余额业绩归属信息，贵金属销量业绩归属信息，存款余额业绩归属信息，存款销量业绩归属信息，通过数据验证，分析代码问题及整合模型的问题。"/>
        <s v="1.整合模型追数初始化脚本开发：TP05_IDV_LNACC_DSBR_TXN_JRNL_A，TP05_IDV_LNACC_RPY_TXN_JRNL_A。"/>
        <s v="1月份数据测试"/>
        <s v="1104报表测试同业资金业务余额表的整体差异及差异原因分析-债券借贷、债券逆回购、债券正回购"/>
        <s v="慧信20261031期EAST月报数据测试及问题排查"/>
        <s v="数据联调测试，提测上线"/>
        <s v="E_CRM_C_CUST_IN_AND_EXP脚本测试 20260228及cab等配置"/>
        <s v="对公数据脱敏及客户业绩画像功能任务"/>
        <s v="代码开发_x000a_MLM_TD_SHZ_PROTECT_FEATURE_INFO     反电诈风险模型特征宽表 "/>
        <s v="魏巍-1-3月外呼明细数据提取大模型专用"/>
        <s v="新兴板块-下钻页面指标、管理指标:测试-ETL加工（包括UAT、PI、PP）【总行代客客户模型黄金租赁有效户逻辑修改】"/>
        <s v="脚本开发自测:prm_e_rbw_cust_credit_status_hbase0200.py"/>
        <s v="信用卡客户基本信息新增信用卡催收特定客户标志"/>
        <s v="1.处理生产角色申请权限内容_x000a_2.掌上行支行作战室，调整资产负债表格内容"/>
        <s v="麻烦您帮忙取下，开户日期是2026年1月-现在的账户（已激活未销户对私人民币活期结算账户，一类户二类户均包括）：_x000a_        （1）非柜面限额金额为空，且无状态字；_x000a_        （2）非柜面限额金额设置日期，非开户/激活日期。_x000a_        所需字段：客户号、负债账号、开户日期、开户网点、开户分支行（按机构改革后取）、开户日当日非柜限额日累计金额、目前非柜限额日累计金额、目前非柜限额设置日期、目前非柜限额设置备注、目前非柜限额设置网点、一/二类户_x000a_        谢谢！_x000a_"/>
        <s v="新入表采集平台开发，抽取测试数据并验证数据准确性_x000a_表清单：t_report_trace_limit"/>
        <s v="S48_PERSONAL_INFO_AUTH_OPERATION_RECORD,S63_TE_LOG_OUTSIDE_CHECKEDAGREE等多张表新表入仓数据加载测试，配合联调测试20260223,20260229等日期加载。"/>
        <s v="RDI_PERSONAL_CRD_FLOW_DIV_x000a_RDI_C_STRUDPST_TX_FLAT脚本修改数据核对"/>
        <s v="1.查看rad前端路由文件配置逻辑。_x000a_2.查看客户视图任务配置信息逻辑。"/>
        <s v="授信额度信息表逻辑梳理，脚本开发"/>
        <s v="1、智能问数页面问询了5个问题，一直报：请求失败，请重新请求，已与开发反馈；_x000a_2、掌上行智能问数问询36个问题；"/>
        <s v="区域特色-数据加载和测试-Q01数据加载和测试_x000a_1104-数据加载和测试-G0102/G0107/G1101//G05/S68数据加载和测试_x000a_"/>
        <s v="表级比对 票易贷，确认全部迁移的数据范围"/>
        <s v="east新旧线数据比对"/>
        <s v="MIS_SUM_FIVE_LVL_CLS_LOAN_ADD_回归测试"/>
        <s v="1.数据脱敏核查复查_x000a_进度:已完成_x000a_2.复测了一个脚本_x000a_FRM_F03_DEBT_ACCT_LTV_x000a_进度:基础测试已完成，重新提测时间较晚_x000a_3.协助开发铺数，手动插入数据_x000a_用途:开发环境用于验数，生产环境和开发环境表结构不一致工具无法使用，使用手动插入_x000a_4.协助开发提测，解答开发提测中遇到的问题_x000a_5.检查全链路跑批情况"/>
        <s v="企业授信协议切换方案"/>
        <s v="源系统刷数，分析对征信影响；产品经理需求分析、STUDYDAY培训"/>
        <s v="1.UDAS_M_BOS_TX_SUM_XJCZ_HIS作业重构，切换整合模型，开发脚本，并测试数据。"/>
        <s v="1.供应链报送开发"/>
        <s v="1、掌上行4.5建设项目、UDAS业务数据模型迁移、2025经营指标体系建设、司库移动端案例上传至ATPM并执行_x000a_2、生产环境首页支行日报标题跳转不生效问题排查_x000a_3、掌上行报表支持关联跳转功能测试及上线生产验证（今天上线）_x000a_4、掌上行热力图缺陷验证_x000a_5、生产环境协助同事配置BI外部页面"/>
        <s v="一、管控经营贷脚本测试，SQLREVIEW，数据验证是否重复。脚本再次调整。"/>
        <s v="CCM_C_CASH_DEPOSIT_ACCT 验数"/>
        <s v="S05_KLNL_DKJXMX修改开发测试"/>
        <s v="注销但无销户日期的需补报（需要和源系统比对一下，如果源系统里状态是正常，需要补报销开）"/>
        <s v="嵇颖-客诉团队周报，新增的派单路径与报告业务小类映射关系"/>
        <s v="大数据RTL_BW_TBOND_BAL_NEW调整逻辑脚本开发、测试--20260320上线"/>
        <s v="贷款交易相关数据验证，涉及的存储过程“SP_B_GENERALIZE_INDEX_INN_GJ36”验证，BI102634、BI102635、BI102636、BI102637、BI102638、BI102639指标数据验证。"/>
        <s v="1.整合模型56批溯源对标"/>
        <s v="计财板块-下钻页面（合意贷模型）:测试-ETL加工（包括UAT、PI、PP）对公合意贷模型"/>
        <s v="脚本跑数 数据验证：INF_CFFIS_PO_ORG_INFO 、INF_CFFIS_CORP_TRDPTY_PAY_INFO_x000a_"/>
        <s v="INF_ASSOC_P_DEPOSIT_BIZ_QUARTER数据验证，修改逻辑"/>
        <s v="作业：_x000a_MRP_B_T_FUND_INVEST_BAL_NEW 替换_x000a_MRP_B_T_FUND_INVEST_BAL_SUM_NEW 替换_x000a_MRP_IFBM_PROD_FLOW 新增_x000a_MRP_IFBM_PROD_FLOW_DIV 新增_x000a_MRP_B_T_INSU_AM_PLAN_BAL_NEW 下线_x000a_MRP_B_T_IU_AM_PLAN_FORE_BAL_NEW 下线_x000a_MRP_B_T_MMK_FUND_BAL_NEW 下线_x000a_MRP_B_N_CWMRC_CORP_ASSET_FLOW_NEW 下线_x000a_执行sqlreview，提测_x000a_"/>
        <s v="对公授信差异查询及反馈"/>
        <s v="1.34个数据有问题的作业查主键，重复原因_x000a_2.落标脚本提测"/>
        <s v="计财板块-下钻页面（合意贷模型）:新增一个指标配置对公贷款发生额对公贷款发生额X执行利率_x000a_"/>
        <s v="口径调研及mapping整理-凭证业务参与者基本信息表（发生额情况表）_x000a_"/>
        <s v="1104-指标结果表应用表数据加载及测试_x000a_1104-数据加载和测试-G0102/G0107/G12/S6301/S6303/G1101/G21/G05/S7101数据加载和测"/>
        <s v="1.新增维度代客业务中收分层_x000a_2.代客业务客户总分支明细模型及汇总模型配置修改_x000a_3.新增代客业务价值客户，梳理下线代客业务组合派生指标_x000a_"/>
        <s v="PIS_BC_DB_CRDTAKING 开发"/>
        <s v=",看板描述:_x000a_        ,稳增长相关报表优化_x000a_        ,掌上行信用风险指标报表优化需求:_x000a_            ,开发&quot;零售（产品）大类&quot;不良额, 关注额, 逾期额, 不良生成额, 不良生成率 相关指标_x000a_            ,掌上行零售产品-不良额-子页面:_x000a_                ,编写指标配置文档_x000a_                ,经管配置表格"/>
        <s v="专项任务-陈姿-代发客户AUM留存代码提取分析"/>
        <s v="1.贷前贷后主借人共借人客户基本信息变更数据加载 20260304 20260313 20260413 数据加载跑批_x000a__x000a_fidi_etl /fidi/cacrs_crpbc/lgy/etl/i_cst_w_xgd.sql &quot;--hivevar SHDATA=SHDATA --hivevar FIDI_CRPBC=fidi_cacrs_crpbc --hivevar V_CURR_DATE=20260304 --hivevar V_YEST_DATE=20260303&quot; /fidi/cacrs_crpbc/logs/20260304/etl_i_cst_w_xgd_20260304.log_x000a_fidi_etl /fidi/cacrs_crpbc/lgy/etl/i_cst_w.sql &quot;--hivevar SHDATA=SHDATA --hivevar FIDI_CRPBC=fidi_cacrs_crpbc --hivevar V_CURR_DATE=20260304 --hivevar V_YEST_DATE=20260303&quot; /fidi/cacrs_crpbc/logs/20260304/etl_i_cst_w_20260304.log_x000a_fidi_etl /fidi/cacrs_crpbc/lgy/etl/i_c_pub_bi_bs.sql &quot;--hivevar SHDATA=SHDATA --hivevar FIDI_CRPBC=fidi_cacrs_crpbc --hivevar V_CURR_DATE=20260304 --hivevar V_YEST_DATE=20260303&quot; /fidi/cacrs_crpbc/lgy/log/20260304/etl_i_c_pub_bi_bs_20260304.log_x000a_fidi_etl /fidi/cacrs_crpbc/lgy/etl/i_c_pub_bi_eduinf.sql &quot;--hivevar SHDATA=SHDATA --hivevar FIDI_CRPBC=fidi_cacrs_crpbc --hivevar V_CURR_DATE=20260304 --hivevar V_YEST_DATE=20260303&quot; /fidi/cacrs_crpbc/lgy/log/20260304/etl_i_c_pub_bi_eduinf_20260304.log_x000a_fidi_etl /fidi/cacrs_crpbc/lgy/etl/i_c_pub_bi_fcsinf.sql &quot;--hivevar SHDATA=SHDATA --hivevar FIDI_CRPBC=fidi_cacrs_crpbc --hivevar V_CURR_DATE=20260304 --hivevar V_YEST_DATE=20260303&quot; /fidi/cacrs_crpbc/lgy/log/20260304/etl_i_c_pub_bi_fcsinf_20260304.log_x000a_fidi_etl /fidi/cacrs_crpbc/lgy/etl/i_c_pub_bi_id.sql &quot;--hivevar SHDATA=SHDATA --hivevar FIDI_CRPBC=fidi_cacrs_crpbc --hivevar V_CURR_DATE=20260304 --hivevar V_YEST_DATE=20260303&quot; /fidi/cacrs_crpbc/lgy/log/20260304/etl_i_c_pub_bi_id_20260304.log_x000a_fidi_etl /fidi/cacrs_crpbc/lgy/etl/i_c_pub_bi_mlginf.sql &quot;--hivevar SHDATA=SHDATA --hivevar FIDI_CRPBC=fidi_cacrs_crpbc --hivevar V_CURR_DATE=20260304 --hivevar V_YEST_DATE=20260303&quot; /fidi/cacrs_crpbc/lgy/log/20260304/etl_i_c_pub_bi_mlginf_20260304.log_x000a_fidi_etl /fidi/cacrs_crpbc/lgy/etl/i_c_pub_bi_octpninf.sql &quot;--hivevar SHDATA=SHDATA --hivevar FIDI_CRPBC=fidi_cacrs_crpbc --hivevar V_CURR_DATE=20260304 --hivevar V_YEST_DATE=20260303&quot; /fidi/cacrs_crpbc/lgy/log/20260304/etl_i_c_pub_bi_octpninf_20260304.log_x000a_fidi_etl /fidi/cacrs_crpbc/lgy/etl/i_c_pub_bi_redncinf.sql &quot;--hivevar SHDATA=SHDATA --hivevar FIDI_CRPBC=fidi_cacrs_crpbc --hivevar V_CURR_DATE=20260304 --hivevar V_YEST_DATE=20260303&quot; /fidi/cacrs_crpbc/lgy/log/20260304/etl_i_c_pub_bi_redncinf_20260304.log_x000a_fidi_etl /fidi/cacrs_crpbc/lgy/etl/i_c_pub_bi_spsinf.sql &quot;--hivevar SHDATA=SHDATA --hivevar FIDI_CRPBC=fidi_cacrs_crpbc --hivevar V_CURR_DATE=20260304 --hivevar V_YEST_DATE=20260303&quot; /fidi/cacrs_crpbc/lgy/log/20260304/etl_i_c_pub_bi_spsinf_20260304.log_x000a_fidi_etl /fidi/cacrs_crpbc/lgy/etl/i_v_pub_bi_eduinf.sql &quot;--hivevar SHDATA=SHDATA --hivevar FIDI_CRPBC=fidi_cacrs_crpbc --hivevar V_CURR_DATE=20260304 --hivevar V_YEST_DATE=20260303&quot; /fidi/cacrs_crpbc/lgy/log/20260304/etl_i_v_pub_bi_eduinf_20260304.log_x000a_fidi_etl /fidi/cacrs_crpbc/lgy/etl/i_v_pub_bi_fcsinf.sql &quot;--hivevar SHDATA=SHDATA --hivevar FIDI_CRPBC=fidi_cacrs_crpbc --hivevar V_CURR_DATE=20260304 --hivevar V_YEST_DATE=20260303&quot; /fidi/cacrs_crpbc/lgy/log/20260304/etl_i_v_pub_bi_fcsinf_20260304.log_x000a_fidi_etl /fidi/cacrs_crpbc/lgy/etl/i_v_pub_bi_id.sql &quot;--hivevar SHDATA=SHDATA --hivevar FIDI_CRPBC=fidi_cacrs_crpbc --hivevar V_CURR_DATE=20260304 --hivevar V_YEST_DATE=20260303&quot; /fidi/cacrs_crpbc/lgy/log/20260304/etl_i_v_pub_bi_id_20260304.log_x000a_fidi_etl /fidi/cacrs_crpbc/lgy/etl/i_v_pub_bi_mlginf.sql &quot;--hivevar SHDATA=SHDATA --hivevar FIDI_CRPBC=fidi_cacrs_crpbc --hivevar V_CURR_DATE=20260304 --hivevar V_YEST_DATE=20260303&quot; /fidi/cacrs_crpbc/lgy/log/20260304/etl_i_v_pub_bi_mlginf_20260304.log_x000a_fidi_etl /fidi/cacrs_crpbc/lgy/etl/i_v_pub_bi_octpninf.sql &quot;--hivevar SHDATA=SHDATA --hivevar FIDI_CRPBC=fidi_cacrs_crpbc --hivevar V_CURR_DATE=20260304 --hivevar V_YEST_DATE=20260303&quot; /fidi/cacrs_crpbc/lgy/log/20260304/etl_i_v_pub_bi_octpninf_20260304.log_x000a_fidi_etl /fidi/cacrs_crpbc/lgy/etl/i_v_pub_bi_redncinf.sql &quot;--hivevar SHDATA=SHDATA --hivevar FIDI_CRPBC=fidi_cacrs_crpbc --hivevar V_CURR_DATE=20260304 --hivevar V_YEST_DATE=20260303&quot; /fidi/cacrs_crpbc/lgy/log/20260304/etl_i_v_pub_bi_redncinf_20260304.log_x000a_fidi_etl /fidi/cacrs_crpbc/lgy/etl/i_v_pub_bi_spsinf.sql &quot;--hivevar SHDATA=SHDATA --hivevar FIDI_CRPBC=fidi_cacrs_crpbc --hivevar V_CURR_DATE=20260304 --hivevar V_YEST_DATE=20260303&quot; /fidi/cacrs_crpbc/lgy/log/20260304/etl_i_v_pub_bi_spsinf_20260304.log_x000a_fidi_etl /fidi/cacrs_crpbc/lgy/etl/i_v_pub_bi_bs.sql &quot;--hivevar SHDATA=SHDATA --hivevar FIDI_CRPBC=fidi_cacrs_crpbc --hivevar V_CURR_DATE=20260304 --hivevar V_YEST_DATE=20260303&quot; /fidi/cacrs_crpbc/lgy/log/20260304/etl_i_v_pub_bi_bs_20260304.log_x000a_fidi_etl /fidi/cacrs_crpbc/lgy/etl/i_p_pub_bi_bs.sql &quot;--hivevar SHDATA=SHDATA --hivevar FIDI_CRPBC=fidi_cacrs_crpbc --hivevar V_CURR_DATE=20260304 --hivevar V_YEST_DATE=20260303&quot; /fidi/cacrs_crpbc/lgy/log/20260304/etl_i_p_pub_bi_bs_20260304.log_x000a_fidi_etl /fidi/cacrs_crpbc/lgy/etl/i_p_pub_bi_eduinf.sql &quot;--hivevar SHDATA=SHDATA --hivevar FIDI_CRPBC=fidi_cacrs_crpbc --hivevar V_CURR_DATE=20260304 --hivevar V_YEST_DATE=20260303&quot; /fidi/cacrs_crpbc/lgy/log/20260304/etl_i_p_pub_bi_eduinf_20260304.log_x000a_fidi_etl /fidi/cacrs_crpbc/lgy/etl/i_p_pub_bi_redncinf.sql &quot;--hivevar SHDATA=SHDATA --hivevar FIDI_CRPBC=fidi_cacrs_crpbc --hivevar V_CURR_DATE=20260304 --hivevar V_YEST_DATE=20260303&quot; /fidi/cacrs_crpbc/lgy/log/20260304/etl_i_p_pub_bi_redncinf_20260304.log_x000a_fidi_etl /fidi/cacrs_crpbc/lgy/etl/i_p_pub_bi_spsinf.sql &quot;--hivevar SHDATA=SHDATA --hivevar FIDI_CRPBC=fidi_cacrs_crpbc --hivevar V_CURR_DATE=20260304 --hivevar V_YEST_DATE=20260303&quot; /fidi/cacrs_crpbc/lgy/log/20260304/etl_i_p_pub_bi_spsinf_20260304.log_x000a_fidi_etl /fidi/cacrs_crpbc/lgy/etl/i_p_pub_bi_fcsinf.sql &quot;--hivevar SHDATA=SHDATA --hivevar FIDI_CRPBC=fidi_cacrs_crpbc --hivevar V_CURR_DATE=20260304 --hivevar V_YEST_DATE=20260303&quot; /fidi/cacrs_crpbc/lgy/log/20260304/etl_i_p_pub_bi_fcsinf_20260304.log_x000a_fidi_etl /fidi/cacrs_crpbc/lgy/etl/i_p_pub_bi_id.sql &quot;--hivevar SHDATA=SHDATA --hivevar FIDI_CRPBC=fidi_cacrs_crpbc --hivevar V_CURR_DATE=20260304 --hivevar V_YEST_DATE=20260303&quot; /fidi/cacrs_crpbc/lgy/log/20260304/etl_i_p_pub_bi_id_20260304.log_x000a_fidi_etl /fidi/cacrs_crpbc/lgy/etl/i_p_pub_bi_mlginf.sql &quot;--hivevar SHDATA=SHDATA --hivevar FIDI_CRPBC=fidi_cacrs_crpbc --hivevar V_CURR_DATE=20260304 --hivevar V_YEST_DATE=20260303&quot; /fidi/cacrs_crpbc/lgy/log/20260304/etl_i_p_pub_bi_mlginf_20260304.log_x000a_fidi_etl /fidi/cacrs_crpbc/lgy/etl/i_p_pub_bi_octpninf.sql &quot;--hivevar SHDATA=SHDATA --hivevar FIDI_CRPBC=fidi_cacrs_crpbc --hivevar V_CURR_DATE=20260304 --hivevar V_YEST_DATE=20260303&quot; /fidi/cacrs_crpbc/lgy/log/20260304/etl_i_p_pub_bi_octpninf_20260304.log_x000a__x000a__x000a__x000a__x000a__x000a_fidi_etl /fidi/cacrs_crpbc/lgy/etl/i_cst_w_xgd.sql &quot;--hivevar SHDATA=SHDATA --hivevar FIDI_CRPBC=fidi_cacrs_crpbc --hivevar V_CURR_DATE=20260313 --hivevar V_YEST_DATE=20260312&quot; /fidi/cacrs_crpbc/logs/20260313/etl_i_cst_w_xgd_20260313.log_x000a_fidi_etl /fidi/cacrs_crpbc/lgy/etl/i_cst_w.sql &quot;--hivevar SHDATA=SHDATA --hivevar FIDI_CRPBC=fidi_cacrs_crpbc --hivevar V_CURR_DATE=20260313 --hivevar V_YEST_DATE=20260312&quot; /fidi/cacrs_crpbc/logs/20260313/etl_i_cst_w_20260313.log_x000a_fidi_etl /fidi/cacrs_crpbc/lgy/etl/i_c_pub_bi_bs.sql &quot;--hivevar SHDATA=SHDATA --hivevar FIDI_CRPBC=fidi_cacrs_crpbc --hivevar V_CURR_DATE=20260313 --hivevar V_YEST_DATE=20260312&quot; /fidi/cacrs_crpbc/lgy/log/20260313/etl_i_c_pub_bi_bs_20260313.log_x000a_fidi_etl /fidi/cacrs_crpbc/lgy/etl/i_c_pub_bi_eduinf.sql &quot;--hivevar SHDATA=SHDATA --hivevar FIDI_CRPBC=fidi_cacrs_crpbc --hivevar V_CURR_DATE=20260313 --hivevar V_YEST_DATE=20260312&quot; /fidi/cacrs_crpbc/lgy/log/20260313/etl_i_c_pub_bi_eduinf_20260313.log_x000a_fidi_etl /fidi/cacrs_crpbc/lgy/etl/i_c_pub_bi_fcsinf.sql &quot;--hivevar SHDATA=SHDATA --hivevar FIDI_CRPBC=fidi_cacrs_crpbc --hivevar V_CURR_DATE=20260313 --hivevar V_YEST_DATE=20260312&quot; /fidi/cacrs_crpbc/lgy/log/20260313/etl_i_c_pub_bi_fcsinf_20260313.log_x000a_fidi_etl /fidi/cacrs_crpbc/lgy/etl/i_c_pub_bi_id.sql &quot;--hivevar SHDATA=SHDATA --hivevar FIDI_CRPBC=fidi_cacrs_crpbc --hivevar V_CURR_DATE=20260313 --hivevar V_YEST_DATE=20260312&quot; /fidi/cacrs_crpbc/lgy/log/20260313/etl_i_c_pub_bi_id_20260313.log_x000a_fidi_etl /fidi/cacrs_crpbc/lgy/etl/i_c_pub_bi_mlginf.sql &quot;--hivevar SHDATA=SHDATA --hivevar FIDI_CRPBC=fidi_cacrs_crpbc --hivevar V_CURR_DATE=20260313 --hivevar V_YEST_DATE=20260312&quot; /fidi/cacrs_crpbc/lgy/log/20260313/etl_i_c_pub_bi_mlginf_20260313.log_x000a_fidi_etl /fidi/cacrs_crpbc/lgy/etl/i_c_pub_bi_octpninf.sql &quot;--hivevar SHDATA=SHDATA --hivevar FIDI_CRPBC=fidi_cacrs_crpbc --hivevar V_CURR_DATE=20260313 --hivevar V_YEST_DATE=20260312&quot; /fidi/cacrs_crpbc/lgy/log/20260313/etl_i_c_pub_bi_octpninf_20260313.log_x000a_fidi_etl /fidi/cacrs_crpbc/lgy/etl/i_c_pub_bi_redncinf.sql &quot;--hivevar SHDATA=SHDATA --hivevar FIDI_CRPBC=fidi_cacrs_crpbc --hivevar V_CURR_DATE=20260313 --hivevar V_YEST_DATE=20260312&quot; /fidi/cacrs_crpbc/lgy/log/20260313/etl_i_c_pub_bi_redncinf_20260313.log_x000a_fidi_etl /fidi/cacrs_crpbc/lgy/etl/i_c_pub_bi_spsinf.sql &quot;--hivevar SHDATA=SHDATA --hivevar FIDI_CRPBC=fidi_cacrs_crpbc --hivevar V_CURR_DATE=20260313 --hivevar V_YEST_DATE=20260312&quot; /fidi/cacrs_crpbc/lgy/log/20260313/etl_i_c_pub_bi_spsinf_20260313.log_x000a_fidi_etl /fidi/cacrs_crpbc/lgy/etl/i_v_pub_bi_eduinf.sql &quot;--hivevar SHDATA=SHDATA --hivevar FIDI_CRPBC=fidi_cacrs_crpbc --hivevar V_CURR_DATE=20260313 --hivevar V_YEST_DATE=20260312&quot; /fidi/cacrs_crpbc/lgy/log/20260313/etl_i_v_pub_bi_eduinf_20260313.log_x000a_fidi_etl /fidi/cacrs_crpbc/lgy/etl/i_v_pub_bi_fcsinf.sql &quot;--hivevar SHDATA=SHDATA --hivevar FIDI_CRPBC=fidi_cacrs_crpbc --hivevar V_CURR_DATE=20260313 --hivevar V_YEST_DATE=20260312&quot; /fidi/cacrs_crpbc/lgy/log/20260313/etl_i_v_pub_bi_fcsinf_20260313.log_x000a_fidi_etl /fidi/cacrs_crpbc/lgy/etl/i_v_pub_bi_id.sql &quot;--hivevar SHDATA=SHDATA --hivevar FIDI_CRPBC=fidi_cacrs_crpbc --hivevar V_CURR_DATE=20260313 --hivevar V_YEST_DATE=20260312&quot; /fidi/cacrs_crpbc/lgy/log/20260313/etl_i_v_pub_bi_id_20260313.log_x000a_fidi_etl /fidi/cacrs_crpbc/lgy/etl/i_v_pub_bi_mlginf.sql &quot;--hivevar SHDATA=SHDATA --hivevar FIDI_CRPBC=fidi_cacrs_crpbc --hivevar V_CURR_DATE=20260313 --hivevar V_YEST_DATE=20260312&quot; /fidi/cacrs_crpbc/lgy/log/20260313/etl_i_v_pub_bi_mlginf_20260313.log_x000a_fidi_etl /fidi/cacrs_crpbc/lgy/etl/i_v_pub_bi_octpninf.sql &quot;--hivevar SHDATA=SHDATA --hivevar FIDI_CRPBC=fidi_cacrs_crpbc --hivevar V_CURR_DATE=20260313 --hivevar V_YEST_DATE=20260312&quot; /fidi/cacrs_crpbc/lgy/log/20260313/etl_i_v_pub_bi_octpninf_20260313.log_x000a_fidi_etl /fidi/cacrs_crpbc/lgy/etl/i_v_pub_bi_redncinf.sql &quot;--hivevar SHDATA=SHDATA --hivevar FIDI_CRPBC=fidi_cacrs_crpbc --hivevar V_CURR_DATE=20260313 --hivevar V_YEST_DATE=20260312&quot; /fidi/cacrs_crpbc/lgy/log/20260313/etl_i_v_pub_bi_redncinf_20260313.log_x000a_fidi_etl /fidi/cacrs_crpbc/lgy/etl/i_v_pub_bi_spsinf.sql &quot;--hivevar SHDATA=SHDATA --hivevar FIDI_CRPBC=fidi_cacrs_crpbc --hivevar V_CURR_DATE=20260313 --hivevar V_YEST_DATE=20260312&quot; /fidi/cacrs_crpbc/lgy/log/20260313/etl_i_v_pub_bi_spsinf_20260313.log_x000a_fidi_etl /fidi/cacrs_crpbc/lgy/etl/i_v_pub_bi_bs.sql &quot;--hivevar SHDATA=SHDATA --hivevar FIDI_CRPBC=fidi_cacrs_crpbc --hivevar V_CURR_DATE=20260313 --hivevar V_YEST_DATE=20260312&quot; /fidi/cacrs_crpbc/lgy/log/20260313/etl_i_v_pub_bi_bs_20260313.log_x000a_fidi_etl /fidi/cacrs_crpbc/lgy/etl/i_p_pub_bi_bs.sql &quot;--hivevar SHDATA=SHDATA --hivevar FIDI_CRPBC=fidi_cacrs_crpbc --hivevar V_CURR_DATE=20260313 --hivevar V_YEST_DATE=20260312&quot; /fidi/cacrs_crpbc/lgy/log/20260313/etl_i_p_pub_bi_bs_20260313.log_x000a_fidi_etl /fidi/cacrs_crpbc/lgy/etl/i_p_pub_bi_eduinf.sql &quot;--hivevar SHDATA=SHDATA --hivevar FIDI_CRPBC=fidi_cacrs_crpbc --hivevar V_CURR_DATE=20260313 --hivevar V_YEST_DATE=20260312&quot; /fidi/cacrs_crpbc/lgy/log/20260313/etl_i_p_pub_bi_eduinf_20260313.log_x000a_fidi_etl /fidi/cacrs_crpbc/lgy/etl/i_p_pub_bi_redncinf.sql &quot;--hivevar SHDATA=SHDATA --hivevar FIDI_CRPBC=fidi_cacrs_crpbc --hivevar V_CURR_DATE=20260313 --hivevar V_YEST_DATE=20260312&quot; /fidi/cacrs_crpbc/lgy/log/20260313/etl_i_p_pub_bi_redncinf_20260313.log_x000a_fidi_etl /fidi/cacrs_crpbc/lgy/etl/i_p_pub_bi_spsinf.sql &quot;--hivevar SHDATA=SHDATA --hivevar FIDI_CRPBC=fidi_cacrs_crpbc --hivevar V_CURR_DATE=20260313 --hivevar V_YEST_DATE=20260312&quot; /fidi/cacrs_crpbc/lgy/log/20260313/etl_i_p_pub_bi_spsinf_20260313.log_x000a_fidi_etl /fidi/cacrs_crpbc/lgy/etl/i_p_pub_bi_fcsinf.sql &quot;--hivevar SHDATA=SHDATA --hivevar FIDI_CRPBC=fidi_cacrs_crpbc --hivevar V_CURR_DATE=20260313 --hivevar V_YEST_DATE=20260312&quot; /fidi/cacrs_crpbc/lgy/log/20260313/etl_i_p_pub_bi_fcsinf_20260313.log_x000a_fidi_etl /fidi/cacrs_crpbc/lgy/etl/i_p_pub_bi_id.sql &quot;--hivevar SHDATA=SHDATA --hivevar FIDI_CRPBC=fidi_cacrs_crpbc --hivevar V_CURR_DATE=20260313 --hivevar V_YEST_DATE=20260312&quot; /fidi/cacrs_crpbc/lgy/log/20260313/etl_i_p_pub_bi_id_20260313.log_x000a_fidi_etl /fidi/cacrs_crpbc/lgy/etl/i_p_pub_bi_mlginf.sql &quot;--hivevar SHDATA=SHDATA --hivevar FIDI_CRPBC=fidi_cacrs_crpbc --hivevar V_CURR_DATE=20260313 --hivevar V_YEST_DATE=20260312&quot; /fidi/cacrs_crpbc/lgy/log/20260313/etl_i_p_pub_bi_mlginf_20260313.log_x000a_fidi_etl /fidi/cacrs_crpbc/lgy/etl/i_p_pub_bi_octpninf.sql &quot;--hivevar SHDATA=SHDATA --hivevar FIDI_CRPBC=fidi_cacrs_crpbc --hivevar V_CURR_DATE=20260313 --hivevar V_YEST_DATE=20260312&quot; /fidi/cacrs_crpbc/lgy/log/20260313/etl_i_p_pub_bi_octpninf_20260313.log_x000a__x000a__x000a__x000a__x000a_fidi_etl /fidi/cacrs_crpbc/lgy/etl/i_cst_w_xgd.sql &quot;--hivevar SHDATA=SHDATA --hivevar FIDI_CRPBC=fidi_cacrs_crpbc --hivevar V_CURR_DATE=20260413 --hivevar V_YEST_DATE=20260412&quot; /fidi/cacrs_crpbc/logs/20260413/etl_i_cst_w_xgd_20260413.log_x000a_fidi_etl /fidi/cacrs_crpbc/lgy/etl/i_cst_w.sql &quot;--hivevar SHDATA=SHDATA --hivevar FIDI_CRPBC=fidi_cacrs_crpbc --hivevar V_CURR_DATE=20260413 --hivevar V_YEST_DATE=20260412&quot; /fidi/cacrs_crpbc/logs/20260413/etl_i_cst_w_20260413.log_x000a_fidi_etl /fidi/cacrs_crpbc/lgy/etl/i_c_pub_bi_bs.sql &quot;--hivevar SHDATA=SHDATA --hivevar FIDI_CRPBC=fidi_cacrs_crpbc --hivevar V_CURR_DATE=20260413 --hivevar V_YEST_DATE=20260412&quot; /fidi/cacrs_crpbc/lgy/log/20260413/etl_i_c_pub_bi_bs_20260413.log_x000a_fidi_etl /fidi/cacrs_crpbc/lgy/etl/i_c_pub_bi_eduinf.sql &quot;--hivevar SHDATA=SHDATA --hivevar FIDI_CRPBC=fidi_cacrs_crpbc --hivevar V_CURR_DATE=20260413 --hivevar V_YEST_DATE=20260412&quot; /fidi/cacrs_crpbc/lgy/log/20260413/etl_i_c_pub_bi_eduinf_20260413.log_x000a_fidi_etl /fidi/cacrs_crpbc/lgy/etl/i_c_pub_bi_fcsinf.sql &quot;--hivevar SHDATA=SHDATA --hivevar FIDI_CRPBC=fidi_cacrs_crpbc --hivevar V_CURR_DATE=20260413 --hivevar V_YEST_DATE=20260412&quot; /fidi/cacrs_crpbc/lgy/log/20260413/etl_i_c_pub_bi_fcsinf_20260413.log_x000a_fidi_etl /fidi/cacrs_crpbc/lgy/etl/i_c_pub_bi_id.sql &quot;--hivevar SHDATA=SHDATA --hivevar FIDI_CRPBC=fidi_cacrs_crpbc --hivevar V_CURR_DATE=20260413 --hivevar V_YEST_DATE=20260412&quot; /fidi/cacrs_crpbc/lgy/log/20260413/etl_i_c_pub_bi_id_20260413.log_x000a_fidi_etl /fidi/cacrs_crpbc/lgy/etl/i_c_pub_bi_mlginf.sql &quot;--hivevar SHDATA=SHDATA --hivevar FIDI_CRPBC=fidi_cacrs_crpbc --hivevar V_CURR_DATE=20260413 --hivevar V_YEST_DATE=20260412&quot; /fidi/cacrs_crpbc/lgy/log/20260413/etl_i_c_pub_bi_mlginf_20260413.log_x000a_fidi_etl /fidi/cacrs_crpbc/lgy/etl/i_c_pub_bi_octpninf.sql &quot;--hivevar SHDATA=SHDATA --hivevar FIDI_CRPBC=fidi_cacrs_crpbc --hivevar V_CURR_DATE=20260413 --hivevar V_YEST_DATE=20260412&quot; /fidi/cacrs_crpbc/lgy/log/20260413/etl_i_c_pub_bi_octpninf_20260413.log_x000a_fidi_etl /fidi/cacrs_crpbc/lgy/etl/i_c_pub_bi_redncinf.sql &quot;--hivevar SHDATA=SHDATA --hivevar FIDI_CRPBC=fidi_cacrs_crpbc --hivevar V_CURR_DATE=20260413 --hivevar V_YEST_DATE=20260412&quot; /fidi/cacrs_crpbc/lgy/log/20260413/etl_i_c_pub_bi_redncinf_20260413.log_x000a_fidi_etl /fidi/cacrs_crpbc/lgy/etl/i_c_pub_bi_spsinf.sql &quot;--hivevar SHDATA=SHDATA --hivevar FIDI_CRPBC=fidi_cacrs_crpbc --hivevar V_CURR_DATE=20260413 --hivevar V_YEST_DATE=20260412&quot; /fidi/cacrs_crpbc/lgy/log/20260413/etl_i_c_pub_bi_spsinf_20260413.log_x000a_fidi_etl /fidi/cacrs_crpbc/lgy/etl/i_v_pub_bi_eduinf.sql &quot;--hivevar SHDATA=SHDATA --hivevar FIDI_CRPBC=fidi_cacrs_crpbc --hivevar V_CURR_DATE=20260413 --hivevar V_YEST_DATE=20260412&quot; /fidi/cacrs_crpbc/lgy/log/20260413/etl_i_v_pub_bi_eduinf_20260413.log_x000a_fidi_etl /fidi/cacrs_crpbc/lgy/etl/i_v_pub_bi_fcsinf.sql &quot;--hivevar SHDATA=SHDATA --hivevar FIDI_CRPBC=fidi_cacrs_crpbc --hivevar V_CURR_DATE=20260413 --hivevar V_YEST_DATE=20260412&quot; /fidi/cacrs_crpbc/lgy/log/20260413/etl_i_v_pub_bi_fcsinf_20260413.log_x000a_fidi_etl /fidi/cacrs_crpbc/lgy/etl/i_v_pub_bi_id.sql &quot;--hivevar SHDATA=SHDATA --hivevar FIDI_CRPBC=fidi_cacrs_crpbc --hivevar V_CURR_DATE=20260413 --hivevar V_YEST_DATE=20260412&quot; /fidi/cacrs_crpbc/lgy/log/20260413/etl_i_v_pub_bi_id_20260413.log_x000a_fidi_etl /fidi/cacrs_crpbc/lgy/etl/i_v_pub_bi_mlginf.sql &quot;--hivevar SHDATA=SHDATA --hivevar FIDI_CRPBC=fidi_cacrs_crpbc --hivevar V_CURR_DATE=20260413 --hivevar V_YEST_DATE=20260412&quot; /fidi/cacrs_crpbc/lgy/log/20260413/etl_i_v_pub_bi_mlginf_20260413.log_x000a_fidi_etl /fidi/cacrs_crpbc/lgy/etl/i_v_pub_bi_octpninf.sql &quot;--hivevar SHDATA=SHDATA --hivevar FIDI_CRPBC=fidi_cacrs_crpbc --hivevar V_CURR_DATE=20260413 --hivevar V_YEST_DATE=20260412&quot; /fidi/cacrs_crpbc/lgy/log/20260413/etl_i_v_pub_bi_octpninf_20260413.log_x000a_fidi_etl /fidi/cacrs_crpbc/lgy/etl/i_v_pub_bi_redncinf.sql &quot;--hivevar SHDATA=SHDATA --hivevar FIDI_CRPBC=fidi_cacrs_crpbc --hivevar V_CURR_DATE=20260413 --hivevar V_YEST_DATE=20260412&quot; /fidi/cacrs_crpbc/lgy/log/20260413/etl_i_v_pub_bi_redncinf_20260413.log_x000a_fidi_etl /fidi/cacrs_crpbc/lgy/etl/i_v_pub_bi_spsinf.sql &quot;--hivevar SHDATA=SHDATA --hivevar FIDI_CRPBC=fidi_cacrs_crpbc --hivevar V_CURR_DATE=20260413 --hivevar V_YEST_DATE=20260412&quot; /fidi/cacrs_crpbc/lgy/log/20260413/etl_i_v_pub_bi_spsinf_20260413.log_x000a_fidi_etl /fidi/cacrs_crpbc/lgy/etl/i_v_pub_bi_bs.sql &quot;--hivevar SHDATA=SHDATA --hivevar FIDI_CRPBC=fidi_cacrs_crpbc --hivevar V_CURR_DATE=20260413 --hivevar V_YEST_DATE=20260412&quot; /fidi/cacrs_crpbc/lgy/log/20260413/etl_i_v_pub_bi_bs_20260413.log_x000a_fidi_etl /fidi/cacrs_crpbc/lgy/etl/i_p_pub_bi_bs.sql &quot;--hivevar SHDATA=SHDATA --hivevar FIDI_CRPBC=fidi_cacrs_crpbc --hivevar V_CURR_DATE=20260413 --hivevar V_YEST_DATE=20260412&quot; /fidi/cacrs_crpbc/lgy/log/20260413/etl_i_p_pub_bi_bs_20260413.log_x000a_fidi_etl /fidi/cacrs_crpbc/lgy/etl/i_p_pub_bi_eduinf.sql &quot;--hivevar SHDATA=SHDATA --hivevar FIDI_CRPBC=fidi_cacrs_crpbc --hivevar V_CURR_DATE=20260413 --hivevar V_YEST_DATE=20260412&quot; /fidi/cacrs_crpbc/lgy/log/20260413/etl_i_p_pub_bi_eduinf_20260413.log_x000a_fidi_etl /fidi/cacrs_crpbc/lgy/etl/i_p_pub_bi_redncinf.sql &quot;--hivevar SHDATA=SHDATA --hivevar FIDI_CRPBC=fidi_cacrs_crpbc --hivevar V_CURR_DATE=20260413 --hivevar V_YEST_DATE=20260412&quot; /fidi/cacrs_crpbc/lgy/log/20260413/etl_i_p_pub_bi_redncinf_20260413.log_x000a_fidi_etl /fidi/cacrs_crpbc/lgy/etl/i_p_pub_bi_spsinf.sql &quot;--hivevar SHDATA=SHDATA --hivevar FIDI_CRPBC=fidi_cacrs_crpbc --hivevar V_CURR_DATE=20260413 --hivevar V_YEST_DATE=20260412&quot; /fidi/cacrs_crpbc/lgy/log/20260413/etl_i_p_pub_bi_spsinf_20260413.log_x000a_fidi_etl /fidi/cacrs_crpbc/lgy/etl/i_p_pub_bi_fcsinf.sql &quot;--hivevar SHDATA=SHDATA --hivevar FIDI_CRPBC=fidi_cacrs_crpbc --hivevar V_CURR_DATE=20260413 --hivevar V_YEST_DATE=20260412&quot; /fidi/cacrs_crpbc/lgy/log/20260413/etl_i_p_pub_bi_fcsinf_20260413.log_x000a_fidi_etl /fidi/cacrs_crpbc/lgy/etl/i_p_pub_bi_id.sql &quot;--hivevar SHDATA=SHDATA --hivevar FIDI_CRPBC=fidi_cacrs_crpbc --hivevar V_CURR_DATE=20260413 --hivevar V_YEST_DATE=20260412&quot; /fidi/cacrs_crpbc/lgy/log/20260413/etl_i_p_pub_bi_id_20260413.log_x000a_fidi_etl /fidi/cacrs_crpbc/lgy/etl/i_p_pub_bi_mlginf.sql &quot;--hivevar SHDATA=SHDATA --hivevar FIDI_CRPBC=fidi_cacrs_crpbc --hivevar V_CURR_DATE=20260413 --hivevar V_YEST_DATE=20260412&quot; /fidi/cacrs_crpbc/lgy/log/20260413/etl_i_p_pub_bi_mlginf_20260413.log_x000a_fidi_etl /fidi/cacrs_crpbc/lgy/etl/i_p_pub_bi_octpninf.sql &quot;--hivevar SHDATA=SHDATA --hivevar FIDI_CRPBC=fidi_cacrs_crpbc --hivevar V_CURR_DATE=20260413 --hivevar V_YEST_DATE=20260412&quot; /fidi/cacrs_crpbc/lgy/log/20260413/etl_i_p_pub_bi_octpninf_20260413.log_x000a__x000a_1.提取客户信息 见邮件:X20251024000005主借人变更等贷后变更交易征信报送需求的uat测试铺数数据    2026-03-20 11:05:27"/>
        <s v="卡校验反馈登记_x000a_提前结清测试_x000a_月版开发测试"/>
        <s v="SRMS迁移调研和测试方案确认"/>
        <s v="黄金拆借查数_x000a_汇率表测试提测"/>
        <s v="新兴板块-下钻页面指标、管理指标:新增配置调度任务【商投行联动获客数】_x000a_"/>
        <s v="1.监管报送银行贷款表开发_x000a_2.担保信息表新增字段_x000a_3.融资表新增字段"/>
        <s v="数据集成测试：FRM_RWC_ON_OFF_BALANCE、FRM_I9_DEVAL_CIMS、FRM_RWC_FACILITY"/>
        <s v="根据业务反馈，查看普惠台账数据问题"/>
        <s v="资产负债监控日报增加大额流入流出_x000a_排行榜报表增加二级分行及总行剔除互联网_x000a_开门红-本外币存贷增加下钻，明细向下扩展"/>
        <s v="V_IND_HOUSGLOAN_APPL_DTL视图修改，SP_B_IND_MTG_LOAN_MODEL_ORG存储过程修改"/>
        <s v="1.党支部批评与自我批评_x000a_2.评估工作量（2026年区域特色制度升级功能改造、慧信工程增补工作量）_x000a_3.开发部部门例会_x000a_4.配合需求投产准备"/>
        <s v="1：UDAS_F_CORP_DPST_BAL 标存逻辑修改。_x000a_2：数据验证测试。"/>
        <s v="测试生产0228表级：法人客户关系表。目前该表存在主键字段为空，已修复"/>
        <s v="优化逻辑rtl_ind_cust_belong_mt，验证数据"/>
        <s v="修改页面配置【新兴kpi两个管理指标配置】页面测试（数据、图表）【新兴kpi两个管理指标配置】_x000a_"/>
        <s v="2、脚本开发类工作_x000a_    脚本开发开发中1个：数仓RDI_INDIV_CREDIT_INFO_NINGB脚本翻写到大数据，数据比对"/>
        <s v="掌上行KPI缓存刷新流程整理"/>
        <s v="新增页面配置【贷款日均】（含3个标签卡、3个指标单元格表格、47个图表及事件联动）"/>
        <s v="MRP_B_T_FIN_INST_PRFT_NEW脚本开发"/>
        <s v="对公存款普通企业存款模型页面影响分析"/>
        <s v="KPI画像支持分行筛选功能开发"/>
        <s v="1.日常开发问题协助排查_x000a_2.sas数据文件解析测试"/>
        <s v="同业存款积数表低成本负债逻辑调整_需求分析_x000a_三方存管积数表低成本负债逻辑调整_需求分析"/>
        <s v="新兴板块-下钻页面指标、管理指标:新增/修改指标配置【新增城银清算服务低成本负债年日均泛化指标，修改泛化指标后续指标】"/>
        <s v="监管数据检核_x000a_ta03_east_result_xmdkxxb_w_x000a_ta03_east_result_myrzywb_w_x000a_ta03_east_result_pjztxb_w"/>
        <s v="计算区调度新模板开发"/>
        <s v="新入表采集平台开发，抽取测试数据并验证数据准确性_x000a_表清单：authorization_item_label"/>
        <s v="S84_INTD_ISSUE_APPLY_H脚本开发、数据加载测试"/>
        <s v="E_PRM_PRMS_UNION_CUST_CLEAR_LIST新增6要素脚本开发以及数据验证"/>
        <s v="s99_bos_p_address_x000a_s99_bos_p_cb_add_x000a_s99_bos_p_contactmethod_x000a_实时接入表数据及对应铺底表数据多轮同步"/>
        <s v="数据报送"/>
        <s v="征信系统中证信评分批量接口代码开发、测试"/>
        <s v="数据库请求模块开发"/>
        <s v="科技贷款核查表开发"/>
        <s v="1. 代码开发 2. 配合问题处理"/>
        <s v="较值分析的开发"/>
        <s v="客户经理业绩画像开发"/>
        <s v="一年内是否有推送过地址更新提醒_x000a_近半年内是否推送过邮箱更新提醒"/>
        <s v="1.e事通画页面_x000a_2.接口联调"/>
        <s v="新增客户经理工作质量表口径调研"/>
        <s v="财富智能配置-理财配置的需求分析"/>
        <s v="资配系统跳转功能测试"/>
        <s v="上海地区对公客户潜力及以上的客户清单sql脚本修改，取数20260319，商车贷数据统计BI数据集准备（凯捷、奇瑞产品名称变更，修改对应产品取数逻辑）"/>
        <s v="对公任务同步对私代发功能测试"/>
        <s v="代发指标口径说明设置配置"/>
        <s v="记录接口访问日志ApiLoggingAspect公共组件开发"/>
        <s v="上线脚本编写，逻辑分析，脚本修改，业绩分配开发进度跟踪。"/>
        <s v="黄金拆入拆余额报错"/>
        <s v="20251231SP_B_GENERALIZE_INDEX_INN_CRM6SP_B_GENERALIZE_INDEX_INN_CRM9SP_B_GENERALIZE_IDX_INN_CRM101SP_B_GENERALIZE_IDX_INN_CRM103SP_B_GENERALIZE_IDX_INN_CRM104SP_B_GENERALIZE_IDX_INN_CRM108SP_B_GENERALIZE_IDX_INN_CRM132测试"/>
        <s v="催收工作量统计接口-组别接口开发"/>
        <s v="票据模块对标"/>
        <s v="专项任务-胡雯-分析B_CORP_DPST_BAL_FLAT普通企业存款余额模型（CRM口径）对掌上行的影响；较值上线内容掌上行页面验证。"/>
        <s v="1、20260331上线需求合并，整体数据跑批测试 _x000a_2、票易贷上线内容测试数据备份，整体比对"/>
        <s v="S84_INTD_BOND_BASIC_INFO_x000a_S84_INTD_ISSUE_APPLY_x000a_S84_INTD_DURA_FEE_PLAN_CHANGE_x000a_S84_INTD_DURA_FEE_WRITE_OFF --数据加载0317"/>
        <s v="分析个人不一致的数据原因，编写数据治理脚本"/>
        <s v="修改CTL，O_CORP_INVE_BANK_BIZ，增加字段"/>
        <s v="CCM_C_CHAIN_ACCT数据测试"/>
        <s v="专项任务-李子璇-峰值相关提数,今日已完成80%_x000a_专项任务-魏巍-长尾周报统计,今日已完成,已通过云文档交付"/>
        <s v="脚本测试UDAS_E_TEM_NCDS_INFO，同步数据"/>
        <s v="投行中收分润、债券简称数据涉及CCM_C_MID_LDG、CCM_PA_C_MNGR_I脚本开发、概要设计、白皮书编写、提测"/>
        <s v="卡校验20260318数据整理_x000a_大禹调度版本测试_x000a_两端核对抵质押匹配URP提数口径调研及补充数据_x000a_月版投产操作手册_x000a_总行普惠业务部（小企业金融服务中心）生产后台数据修改申请_借贷17笔生成报文_x000a_总行普惠业务部（小企业金融服务中心）生产后台数据修改申请_授信协议80数据核对_x000a_配合张小天老师核查2笔授信协议报送情况_x000a_核对批量上传人行报文状态_x000a_20_报文模版_20260319_普惠_45笔报文生成_x000a_配合杨嘉豪查询上海百茂贸易有限公司报送情况"/>
        <s v="卸数界面"/>
        <s v="配合工商2.0造数"/>
        <s v=" 对202 个人客户关系表 603 表内外业务抵质押物 进行检核问题分析比对验证,提缺陷"/>
        <s v="新兴板块-下钻页面指标、管理指标:新增补录任务【同业联动的对公客户名单】_x000a_"/>
        <s v="1、19号紧急变更落标层脚本的修改，测试_x000a_2、填写提测平台_x000a_3、测试sqlreview,配置调度"/>
        <s v="同业存款积数表开发_x000a_三方存款表机构修改"/>
        <s v="调整支行KPI考核完成率、线上化率数据接口"/>
        <s v="数据集成测试：FRM_F03_DEBT_ACCT_ID_INFO_NUS、FRM_F03_DEBT_INFO_H_NUS、FRM_F03_PERMIT_CANCEL_AMT_NUS"/>
        <s v="NRP大数据侧投行优化内容脚本修改口径分析。"/>
        <s v="客户经理工作台项目需求分析"/>
        <s v="1、落标表增转全脚本开发_x000a_s51_ccss_fk_ysq_appl_init.sql_x000a_s51_ccss_fk_ysq_appl.sql_x000a_2、s51_ccss_fk_deci_resp_result表与源系统老师沟通确认业务主键_x000a_3、0319紧急版本重刷清单整理提交_x000a_4、3张增转全表，sdata_datamask建视图沟通，同步全量历史数据到测试环境_x000a_S51_CCSS_FK_YSQ_APPL_H_x000a_S51_CCSS_FK_DECI_RESP_RESULT_H_x000a_S73_WLD_CREDIT_APPLY_x000a_5、S73_WZ_REPORT_DS_LOAN_ADDL落标层，全量历史数据同步"/>
        <s v="脚本开发开发中4个：代客货币互换（分成）表、代客外汇期权（分成）表，新增接口，批量脚本及初始化建表脚本开发"/>
        <s v="SQLREVIEW验证TP03_ONLINE_PAY_SIGN_INF_W主键情况_x000a_开发TP03_SPLCHAIN_CORE_AGRM_INF_W 供应链融资核心企业协议信息表新增字段 CORE_AGRM_STATUS_STCD | 核心企业协议状态代码,并跑入测试数据供下游验证_x000a_开发TP06_INST_BSC_INF_W 机构基本信息 新增口径FT_BSN_UNIT_BO | 是否自贸业务单元网点,并跑入测试数据供下游验证_x000a_字段扩长 TP03_CORP_CHNL_SC_INF_W 对公客户渠道签约信息 chnl_tpcd varchar(4) --&gt; varchar(32) 避免截位问题"/>
        <s v="区域特色-数据加载和测试-Q01/Qc3数据加载和测试_x000a_区域特色-报表UAT测试-Q01/Qc3报表UAT测试"/>
        <s v="对公存款人民币普通企业存款净流入/净流出报表数据开发 ， 已完成 30% ；"/>
        <s v="开发0327上线cab模版_x000a_提供FRM_IDV_CUST_CREDIT_LMT_RSLT数据字典"/>
        <s v="明细层调度任务都确认跑完后，比对两张指标表的数据是否和建信人员推数条数一致，一致后重跑所有报表相关存储跑完，将新旧线所有指标做比对拉出一版总的差异，标出差异值算出差异率，然后手工导出G12相关数据迁移到测试环境进行报表出数，出数后手工汇总及验证，无误后发给业务。"/>
        <s v="客户风险债券客户号问题定位、贷款本期余额问题定位"/>
        <s v="1.NRP集市作业开发_x000a_(1).客户经理个贷KPI预警表UDAS_A_LS_LOAN_MNGR_KPI_HDP脚本开发，上游整合模型已新增操作人工编号字段。_x000a_(2).客户经理个贷KPI预警表UDAS_A_LS_LOAN_MNGR_KPI_HDP20251231及20260131测试数据验证。"/>
        <s v="整合模型损益配合联调测试"/>
        <s v="法人定期存款存单表的钞汇代码 字段生产数据验证"/>
        <s v="1.进行区域特色1231季报指标的差异明细分析，主要推进Q4503/Q48/Qc3指标的口径确认、差异缩小和复测，定位Q4503的差异明细与原因"/>
        <s v="分析并执行验证客户经理业绩查询-普惠客户经理页签数据脚本验证-异地分行各指标、综合评分验证；提出问题以及验证修复后问题"/>
        <s v="1.对私额度登记信息表开发 数据验证_x000a_2.X20250425000007 关于总对总点对点系统搬迁项目的业务需求书 第6批次  配合下游联调测试  数据加载"/>
        <s v="网银在线提额开发_x000a_报价查询下拉刷新_x000a_地址接口调用添加参数"/>
        <s v="数据集团资金日报汇总表增加定期账户过滤条件，余额改成余额历史表取数"/>
        <s v="专项任务-陈姿-停发重点关注企业代码开发，数据异常原因定位"/>
        <s v="旧线：【表外业务手续费及收益】“分组2：基金”配合测试；_x000a_"/>
        <s v="代客利率期权分成表  新增实体表，口径分析，脚本开发_x000a_债权投资计划余额分成表  新增实体表，口径分析，脚本开发"/>
        <s v="1、配合区域特色的慧信改造工程新线数据进行差异分析与验证数据情况；_x000a_2、整理一表通重点指标的差异情况以及明细案例，提交缺陷到ATPM中。"/>
        <s v="南通众和数据 票易贷迁移 测试"/>
        <s v="银企直连网银账户明细初始化，跑批脚本开发"/>
        <s v="三方存管签约解约信息初始化，脚本开发"/>
        <s v="掌上行后端报表数据缓存和redis缓存支持收缩展开数据适配版本"/>
        <s v="区域特色新旧线差异测试_x000a_q4503表明细差异原因查询_x000a_q07指标表差异测试"/>
        <s v="客户经理业绩客户经理画像开发"/>
        <s v="分析凭证开立信息表需求"/>
        <s v="1.X20250305000005-江苏金租接入车生态需求:在测试环境跑一表通报表20260313的数据，并配合下游进行测试验证。_x000a_2.X20250305000005-江苏金租接入车生态需求:在测试环境跑1104报表20260313的数据，并配合下游进行测试验证。"/>
        <s v="1.rad&amp;RSD生产问题排查_x000a_2.RAD&amp;RSD需求分析_x000a_3.交接会参加"/>
        <s v="因业务补录问题，重跑对公贷款指标化明细表。A1463/A1464/A3302_x000a_因业务补录问题，重跑对公表外贷款指标化明细表,A3302/A3410"/>
        <s v="_x0009_0316版本，旧线为0新线不为0指标差异原因分析_x000a_G01/G0101/G0107/G0901/G19"/>
        <s v="  一、针对上线脚本 做提测，已完成。_x000a_   二、管控经营贷数据复杂，会发散，数据脚本修复_x000a_三、上线，数据验证。"/>
        <s v="FRM集市脚本开发及数据测试"/>
        <s v="TP03_AGFND_CSACC_HD_BSC_INF_W 代理基金客户证券账户持券基本信息,新增字段 交易冻结份额,脚本及初始化开发，SIT2环境测试，跑数20251231_x000a_TP03_AGNC_SALE_ENTRST_AGRM_INF_W 代理销售委托协议信息，调整经办人工号字段逻辑，关联用户信息表，取用户名称，同名库测试，跑数20260210，并进行数据验证_x000a_TP01_PRVT_CST_REL_W,新增映射组，同步41张源表数据，sit2环境测试，跑数20260131，并进行数据验证，通知下游联调，大禹配置文档填写"/>
        <s v="udas_f_gs_chain_acct_hd新增供应链模型加业务交易银行主管部门字段 脚本开发_x000a_udas_f_gs_chain_acct_hd新增供应链模型加业务交易银行主管部门字段 单元测试_x000a_"/>
        <s v="1、配合测试宅即贷需求测试：1）、放开账户类型需转换的借据清单；2）、核对新旧线报送卡校验和反馈清单；_x000a_2、已完成数据测试，并提供测试结果；"/>
        <s v="east下游配合测试"/>
        <s v="1.沟通2026年区域特色制度升级功能改造需求中调整报表填报页面不展示无关机构的实施方案和工作量"/>
        <s v="APPCRM.E_CRM_CODE_DESC 脚本开发以及单元测试"/>
        <s v="对公客户他行信贷情况_x0009_sem_corp_outer_lndebt_inf_w_x000a_对公客户基本信息_x0009_sem_corp_cst_bsc_inf_w_x000a_表开发"/>
        <s v="监管指标新旧线比对"/>
        <s v="对公26年项目会议、E变更需求工作量评估"/>
        <s v="1、整理AI的需求发给业务老师；_x000a_2、查询问题：X20250522000026-2.4任务同步至对私_PC:对公任务同步到PC时，任务类型的码值和我们对不上，在移动端页面这个字段展示是空的；"/>
        <s v="1.出S6303报表测试数据，并验证20260228期的数据准确性，发给业务测试"/>
        <s v="掌上行KPI页面请求耗时统计"/>
        <s v="1.代客业务客户模型ETL加工跑数测试"/>
        <s v="整合模型配合修改，联调测试：tp03_idv_ln_lnctr_inf_w_s83"/>
        <s v="专项任务--徐冬-民营客户贷款评分模型看板  --民营客户贷款评分模型看板（进行中）_x000a_专项任务--高悦-经营性物业贷款租金收入监测看板  --经营性物业贷款租金收入监测看板（进行中）_x000a_专项任务--叶颖--反洗钱推送异常整改任务  --反洗钱推送异常整改任务（进行中）"/>
        <s v="开发宁波信号相关shell脚本,sql脚本等内容"/>
        <s v="受 整合模型TP03_PRVT_CDACC_SETL_CL_ACCT_REL_W 对私活期存款账户和结算分类账户关系信息影响修改脚本：_x000a_RBW_04_29_HD_x000a_RBW_B_CS_ACCT_CRD_INFO"/>
        <s v="新增脚本_x000a_美团分期还款计划 信用卡催收系统全流程优化项目"/>
        <s v="1.贷前贷后主借人共借人变更数据加载 20260413 数据加载跑批_x000a__x000a_借贷_x000a_fidi_etl /fidi/cacrs_crpbc/lgy/etl/i_lnacc_w_xgd.sql &quot;--hivevar SHDATA=SHDATA --hivevar FIDI_CRPBC=fidi_cacrs_crpbc --hivevar V_CURR_DATE=20260413 --hivevar V_YEST_DATE=20260412&quot; /fidi/cacrs_crpbc/lgy/log/20260413/etl_i_lnacc_w_xgd_20260413.log_x000a_fidi_etl /fidi/cacrs_crpbc/lgy/etl/i_lnacc_w.sql &quot;--hivevar SHDATA=SHDATA --hivevar FIDI_CRPBC=fidi_cacrs_crpbc --hivevar V_CURR_DATE=20260413 --hivevar V_YEST_DATE=20260412&quot; /fidi/cacrs_crpbc/lgy/log/20260413/etl_i_lnacc_w_20260413.log_x000a_fidi_etl /fidi/cacrs_crpbc/lgy/etl/i_rltrepymt_w.sql &quot;--hivevar SHDATA=SHDATA --hivevar FIDI_CRPBC=fidi_cacrs_crpbc --hivevar V_CURR_DATE=20260413 --hivevar V_YEST_DATE=20260412&quot; /fidi/cacrs_crpbc/lgy/log/20260413/etl_i_rltrepymt_w_20260413.log_x000a_fidi_etl /fidi/cacrs_crpbc/lgy/etl/i_ctr_wrntctr_rel_w.sql &quot;--hivevar SHDATA=SHDATA --hivevar FIDI_CRPBC=fidi_cacrs_crpbc --hivevar V_CURR_DATE=20260413 --hivevar V_YEST_DATE=20260412&quot; /fidi/cacrs_crpbc/lgy/log/20260413/etl_i_ctr_wrntctr_rel_w_20260413.log_x000a_fidi_etl /fidi/cacrs_crpbc/lgy/etl/i_acctspectrstdspn_a.sql &quot;--hivevar SHDATA=SHDATA --hivevar FIDI_CRPBC=fidi_cacrs_crpbc --hivevar V_CURR_DATE=20260413 --hivevar V_YEST_DATE=20260412&quot; /fidi/cacrs_crpbc/lgy/log/20260413/etl_i_acctspectrstdspn_a_20260413.log_x000a_fidi_etl /fidi/cacrs_crpbc/lgy/etl/i_c_anp_ci_acctbs.sql &quot;--hivevar SHDATA=SHDATA --hivevar FIDI_CRPBC=fidi_cacrs_crpbc --hivevar V_CURR_DATE=20260413 --hivevar V_YEST_DATE=20260412&quot; /fidi/cacrs_crpbc/lgy/log/20260413/etl_i_c_anp_ci_acctbs_20260413.log_x000a_fidi_etl /fidi/cacrs_crpbc/lgy/etl/i_c_anp_ci_acctbs_dbt.sql &quot;--hivevar SHDATA=SHDATA --hivevar FIDI_CRPBC=fidi_cacrs_crpbc --hivevar V_CURR_DATE=20260413 --hivevar V_YEST_DATE=20260412&quot; /fidi/cacrs_crpbc/lgy/log/20260413/etl_i_c_anp_ci_acctbs_dbt_20260413.log_x000a_fidi_etl /fidi/cacrs_crpbc/lgy/etl/i_c_anp_ci_acctbsinf.sql &quot;--hivevar SHDATA=SHDATA --hivevar FIDI_CRPBC=fidi_cacrs_crpbc --hivevar V_CURR_DATE=20260413 --hivevar V_YEST_DATE=20260412&quot; /fidi/cacrs_crpbc/lgy/log/20260413/etl_i_c_anp_ci_acctbsinf_20260413.log_x000a_fidi_etl /fidi/cacrs_crpbc/lgy/etl/i_c_anp_ci_acctdbtinf.sql &quot;--hivevar SHDATA=SHDATA --hivevar FIDI_CRPBC=fidi_cacrs_crpbc --hivevar V_CURR_DATE=20260413 --hivevar V_YEST_DATE=20260412&quot; /fidi/cacrs_crpbc/lgy/log/20260413/etl_i_c_anp_ci_acctdbtinf_20260413.log_x000a_fidi_etl /fidi/cacrs_crpbc/lgy/etl/i_c_anp_ci_acctmthlyblginf.sql &quot;--hivevar SHDATA=SHDATA --hivevar FIDI_CRPBC=fidi_cacrs_crpbc --hivevar V_CURR_DATE=20260413 --hivevar V_YEST_DATE=20260412&quot; /fidi/cacrs_crpbc/lgy/log/20260413/etl_i_c_anp_ci_acctmthlyblginf_20260413.log_x000a_fidi_etl /fidi/cacrs_crpbc/lgy/etl/i_c_anp_ci_motgacltalctrctinf.sql &quot;--hivevar SHDATA=SHDATA --hivevar FIDI_CRPBC=fidi_cacrs_crpbc --hivevar V_CURR_DATE=20260413 --hivevar V_YEST_DATE=20260412&quot; /fidi/cacrs_crpbc/lgy/log/20260413/etl_i_c_anp_ci_motgacltalctrctinf_20260413.log_x000a_fidi_etl /fidi/cacrs_crpbc/lgy/etl/i_c_anp_ci_rltrepymtinf.sql &quot;--hivevar SHDATA=SHDATA --hivevar FIDI_CRPBC=fidi_cacrs_crpbc --hivevar V_CURR_DATE=20260413 --hivevar V_YEST_DATE=20260412&quot; /fidi/cacrs_crpbc/lgy/log/20260413/etl_i_c_anp_ci_rltrepymtinf_20260413.log_x000a_fidi_etl /fidi/cacrs_crpbc/lgy/etl/i_c_anp_ci_acctspectrstdspn.sql &quot;--hivevar SHDATA=SHDATA --hivevar FIDI_CRPBC=fidi_cacrs_crpbc --hivevar V_CURR_DATE=20260413 --hivevar V_YEST_DATE=20260412&quot; /fidi/cacrs_crpbc/lgy/log/20260413/etl_i_c_anp_ci_acctspectrstdspn_20260413.log_x000a_fidi_etl /fidi/cacrs_crpbc/lgy/etl/i_vt_anp_ci_rptdatecode.sql &quot;--hivevar SHDATA=SHDATA --hivevar FIDI_CRPBC=fidi_cacrs_crpbc --hivevar V_CURR_DATE=20260413 --hivevar V_YEST_DATE=20260412&quot; /fidi/cacrs_crpbc/lgy/log/20260413/etl_i_vt_anp_ci_rptdatecode_20260413.log_x000a_fidi_etl /fidi/cacrs_crpbc/lgy/etl/i_v_anp_ci_acctbs.sql &quot;--hivevar SHDATA=SHDATA --hivevar FIDI_CRPBC=fidi_cacrs_crpbc --hivevar V_CURR_DATE=20260413 --hivevar V_YEST_DATE=20260412&quot; /fidi/cacrs_crpbc/lgy/log/20260413/etl_i_v_anp_ci_acctbs_20260413.log_x000a_fidi_etl /fidi/cacrs_crpbc/lgy/etl/i_v_anp_ci_acctbsinf.sql &quot;--hivevar SHDATA=SHDATA --hivevar FIDI_CRPBC=fidi_cacrs_crpbc --hivevar V_CURR_DATE=20260413 --hivevar V_YEST_DATE=20260412&quot; /fidi/cacrs_crpbc/lgy/log/20260413/etl_i_v_anp_ci_acctbsinf_20260413.log_x000a_fidi_etl /fidi/cacrs_crpbc/lgy/etl/i_v_anp_ci_acctdbtinf.sql &quot;--hivevar SHDATA=SHDATA --hivevar FIDI_CRPBC=fidi_cacrs_crpbc --hivevar V_CURR_DATE=20260413 --hivevar V_YEST_DATE=20260412&quot; /fidi/cacrs_crpbc/lgy/log/20260413/etl_i_v_anp_ci_acctdbtinf_20260413.log_x000a_fidi_etl /fidi/cacrs_crpbc/lgy/etl/i_v_anp_ci_acctmthlyblginf.sql &quot;--hivevar SHDATA=SHDATA --hivevar FIDI_CRPBC=fidi_cacrs_crpbc --hivevar V_CURR_DATE=20260413 --hivevar V_YEST_DATE=20260412&quot; /fidi/cacrs_crpbc/lgy/log/20260413/etl_i_v_anp_ci_acctmthlyblginf_20260413.log_x000a_fidi_etl /fidi/cacrs_crpbc/lgy/etl/i_v_anp_ci_motgacltalctrctinf.sql &quot;--hivevar SHDATA=SHDATA --hivevar FIDI_CRPBC=fidi_cacrs_crpbc --hivevar V_CURR_DATE=20260413 --hivevar V_YEST_DATE=20260412&quot; /fidi/cacrs_crpbc/lgy/log/20260413/etl_i_v_anp_ci_motgacltalctrctinf_20260413.log_x000a_fidi_etl /fidi/cacrs_crpbc/lgy/etl/i_v_anp_ci_rltrepymtinf.sql &quot;--hivevar SHDATA=SHDATA --hivevar FIDI_CRPBC=fidi_cacrs_crpbc --hivevar V_CURR_DATE=20260413 --hivevar V_YEST_DATE=20260412&quot; /fidi/cacrs_crpbc/lgy/log/20260413/etl_i_v_anp_ci_rltrepymtinf_20260413.log_x000a_fidi_etl /fidi/cacrs_crpbc/lgy/etl/i_v_anp_ci_acctspectrstdspn.sql &quot;--hivevar SHDATA=SHDATA --hivevar FIDI_CRPBC=fidi_cacrs_crpbc --hivevar V_CURR_DATE=20260413 --hivevar V_YEST_DATE=20260412&quot; /fidi/cacrs_crpbc/lgy/log/20260413/etl_i_v_anp_ci_acctspectrstdspn_20260413.log_x000a_fidi_etl /fidi/cacrs_crpbc/lgy/etl/i_p_anp_ci_acctbsinf.sql &quot;--hivevar SHDATA=SHDATA --hivevar FIDI_CRPBC=fidi_cacrs_crpbc --hivevar V_CURR_DATE=20260413 --hivevar V_YEST_DATE=20260412&quot; /fidi/cacrs_crpbc/lgy/log/20260413/etl_i_p_anp_ci_acctbsinf_20260413.log_x000a_fidi_etl /fidi/cacrs_crpbc/lgy/etl/i_p_anp_ci_acctbs.sql &quot;--hivevar SHDATA=SHDATA --hivevar FIDI_CRPBC=fidi_cacrs_crpbc --hivevar V_CURR_DATE=20260413 --hivevar V_YEST_DATE=20260412&quot; /fidi/cacrs_crpbc/lgy/log/20260413/etl_i_p_anp_ci_acctbs_20260413.log_x000a_fidi_etl /fidi/cacrs_crpbc/lgy/etl/i_p_anp_ci_acctdbtinf.sql &quot;--hivevar SHDATA=SHDATA --hivevar FIDI_CRPBC=fidi_cacrs_crpbc --hivevar V_CURR_DATE=20260413 --hivevar V_YEST_DATE=20260412&quot; /fidi/cacrs_crpbc/lgy/log/20260413/etl_i_p_anp_ci_acctdbtinf_20260413.log_x000a_fidi_etl /fidi/cacrs_crpbc/lgy/etl/i_p_anp_ci_acctmthlyblginf.sql &quot;--hivevar SHDATA=SHDATA --hivevar FIDI_CRPBC=fidi_cacrs_crpbc --hivevar V_CURR_DATE=20260413 --hivevar V_YEST_DATE=20260412&quot; /fidi/cacrs_crpbc/lgy/log/20260413/etl_i_p_anp_ci_acctmthlyblginf_20260413.log_x000a_fidi_etl /fidi/cacrs_crpbc/lgy/etl/i_p_anp_ci_motgacltalctrctinf.sql &quot;--hivevar SHDATA=SHDATA --hivevar FIDI_CRPBC=fidi_cacrs_crpbc --hivevar V_CURR_DATE=20260413 --hivevar V_YEST_DATE=20260412&quot; /fidi/cacrs_crpbc/lgy/log/20260413/etl_i_p_anp_ci_motgacltalctrctinf_20260413.log_x000a_fidi_etl /fidi/cacrs_crpbc/lgy/etl/i_p_anp_ci_rltrepymtinf.sql &quot;--hivevar SHDATA=SHDATA --hivevar FIDI_CRPBC=fidi_cacrs_crpbc --hivevar V_CURR_DATE=20260413 --hivevar V_YEST_DATE=20260412&quot; /fidi/cacrs_crpbc/lgy/log/20260413/etl_i_p_anp_ci_rltrepymtinf_20260413.log_x000a_fidi_etl /fidi/cacrs_crpbc/lgy/etl/i_p_anp_ci_acctspectrstdspn.sql &quot;--hivevar SHDATA=SHDATA --hivevar FIDI_CRPBC=fidi_cacrs_crpbc --hivevar V_CURR_DATE=20260413 --hivevar V_YEST_DATE=20260412&quot; /fidi/cacrs_crpbc/lgy/log/20260413/etl_i_p_anp_ci_acctspectrstdspn_20260413.log_x000a__x000a_抵押_x000a_fidi_etl /fidi/cacrs_crpbc/lgy/etl/i_wrntctr_w.sql &quot;--hivevar SHDATA=SHDATA --hivevar FIDI_CRPBC=fidi_cacrs_crpbc --hivevar V_CURR_DATE=20260413 --hivevar V_YEST_DATE=20260412&quot; /fidi/cacrs_crpbc/lgy/log/20260413/etl_i_wrntctr_w_20260413.log_x000a_fidi_etl /fidi/cacrs_crpbc/lgy/etl/i_motgaproptinf_w.sql &quot;--hivevar SHDATA=SHDATA --hivevar FIDI_CRPBC=fidi_cacrs_crpbc --hivevar V_CURR_DATE=20260413 --hivevar V_YEST_DATE=20260412&quot; /fidi/cacrs_crpbc/lgy/log/20260413/etl_i_motgaproptinf_w_20260413.log_x000a_fidi_etl /fidi/cacrs_crpbc/lgy/etl/i_c_anp_mc_motgacltalbsinf.sql &quot;--hivevar SHDATA=SHDATA --hivevar FIDI_CRPBC=fidi_cacrs_crpbc --hivevar V_CURR_DATE=20260413 --hivevar V_YEST_DATE=20260412&quot; /fidi/cacrs_crpbc/lgy/log/20260413/etl_i_c_anp_mc_motgacltalbsinf_20260413.log_x000a_fidi_etl /fidi/cacrs_crpbc/lgy/etl/i_c_anp_mc_motgacltalctrctbs.sql &quot;--hivevar SHDATA=SHDATA --hivevar FIDI_CRPBC=fidi_cacrs_crpbc --hivevar V_CURR_DATE=20260413 --hivevar V_YEST_DATE=20260412&quot; /fidi/cacrs_crpbc/lgy/log/20260413/etl_i_c_anp_mc_motgacltalctrctbs_20260413.log_x000a_fidi_etl /fidi/cacrs_crpbc/lgy/etl/i_c_anp_mc_motgaproptinf.sql &quot;--hivevar SHDATA=SHDATA --hivevar FIDI_CRPBC=fidi_cacrs_crpbc --hivevar V_CURR_DATE=20260413 --hivevar V_YEST_DATE=20260412&quot; /fidi/cacrs_crpbc/lgy/log/20260413/etl_i_c_anp_mc_motgaproptinf_20260413.log_x000a_fidi_etl /fidi/cacrs_crpbc/lgy/etl/i_v_anp_mc_motgacltalctrctbs_dif.sql &quot;--hivevar SHDATA=SHDATA --hivevar FIDI_CRPBC=fidi_cacrs_crpbc --hivevar V_CURR_DATE=20260413 --hivevar V_YEST_DATE=20260412&quot; /fidi/cacrs_crpbc/lgy/log/20260413/etl_i_v_anp_mc_motgacltalctrctbs_dif_20260413.log_x000a_fidi_etl /fidi/cacrs_crpbc/lgy/etl/i_v_anp_mc_motgacltalbsinf.sql &quot;--hivevar SHDATA=SHDATA --hivevar FIDI_CRPBC=fidi_cacrs_crpbc --hivevar V_CURR_DATE=20260413 --hivevar V_YEST_DATE=20260412&quot; /fidi/cacrs_crpbc/lgy/log/20260413/etl_i_v_anp_mc_motgacltalbsinf_20260413.log_x000a_fidi_etl /fidi/cacrs_crpbc/lgy/etl/i_v_anp_mc_motgaproptinf.sql &quot;--hivevar SHDATA=SHDATA --hivevar FIDI_CRPBC=fidi_cacrs_crpbc --hivevar V_CURR_DATE=20260413 --hivevar V_YEST_DATE=20260412&quot; /fidi/cacrs_crpbc/lgy/log/20260413/etl_i_v_anp_mc_motgaproptinf_20260413.log_x000a_fidi_etl /fidi/cacrs_crpbc/lgy/etl/i_v_anp_mc_motgacltalctrctbs.sql &quot;--hivevar SHDATA=SHDATA --hivevar FIDI_CRPBC=fidi_cacrs_crpbc --hivevar V_CURR_DATE=20260413 --hivevar V_YEST_DATE=20260412&quot; /fidi/cacrs_crpbc/lgy/log/20260413/etl_i_v_anp_mc_motgacltalctrctbs_20260413.log_x000a_fidi_etl /fidi/cacrs_crpbc/lgy/etl/i_p_anp_mc_motgacltalbsinf.sql &quot;--hivevar SHDATA=SHDATA --hivevar FIDI_CRPBC=fidi_cacrs_crpbc --hivevar V_CURR_DATE=20260413 --hivevar V_YEST_DATE=20260412&quot; /fidi/cacrs_crpbc/lgy/log/20260413/etl_i_p_anp_mc_motgacltalbsinf_20260413.log_x000a_fidi_etl /fidi/cacrs_crpbc/lgy/etl/i_p_anp_mc_motgacltalctrctbs.sql &quot;--hivevar SHDATA=SHDATA --hivevar FIDI_CRPBC=fidi_cacrs_crpbc --hivevar V_CURR_DATE=20260413 --hivevar V_YEST_DATE=20260412&quot; /fidi/cacrs_crpbc/lgy/log/20260413/etl_i_p_anp_mc_motgacltalctrctbs_20260413.log_x000a_fidi_etl /fidi/cacrs_crpbc/lgy/etl/i_p_anp_mc_motgaproptinf.sql &quot;--hivevar SHDATA=SHDATA --hivevar FIDI_CRPBC=fidi_cacrs_crpbc --hivevar V_CURR_DATE=20260413 --hivevar V_YEST_DATE=20260412&quot; /fidi/cacrs_crpbc/lgy/log/20260413/etl_i_p_anp_mc_motgaproptinf_20260413.log_x000a__x000a__x000a_2.提取埋数案例见邮件 X20251024000005主借人变更等贷后变更交易征信报送需求的uat测试铺数数据 时间 2026-03-19 19:28:00_x000a_"/>
        <s v="1.全天：参加光明集团共享中心、信息中心和财务公司的调研，后续准备竞标方案；_x000a_2.解答公司部人员验收标准的答疑。"/>
        <s v="1.UDAS_M_BOS_TX_SUM_QKJY_HIS 当期取款交易的数据作业重构，脚本开发，测试"/>
        <s v="对公板块-总行KPI调整:测试-配合上游联调（包括UAT、PI、PP）--对公客户模型网点模型"/>
        <s v="1.0319紧急变更_x000a_2.月版与科技核对脚本_x000a_3.修改借据表的连续欠款期数逻辑"/>
        <s v="MIS_DTL_FIVE_LVL_CLS_LOAN_回归测试"/>
        <s v="MRP债券投资余额全字段比对，数据验证及代码调整。"/>
        <s v="编写白皮书测试脚本"/>
        <s v="1104报表测试同业资金业务余额表的整体差异及差异原因分析-同业存单投资"/>
        <s v="大数据RTL_BW_TBOND_BAL_NEW--电子式跑数、数据验证_x000a_可售产品编号_x000a_原产品编号_x000a_产品名称_x000a_国债产品类型_x000a_起息日期_x000a_期限_x000a_到期日期_x000a_利率_x000a_期限类别  _x000a_风险等级  _x000a_债券类别  _x000a_票面价格_x000a_债券余额_x000a_债券月积数_x000a_债券年积数_x000a_债券月日均余额_x000a_债券年日均余额"/>
        <s v="&quot;1、与开发沟通智能问数页面下载以及用时问题；_x000a_2、掌上行智能问数页面问询6个问题并登记结果和出现的问题；&quot;"/>
        <s v="1.测试了2个脚本_x000a_FRM_F03_PCMS_ACCT_ID_BAL_INFO_x000a_FRM_F03_DEBT_ACCT_LTV_x000a_结果:已完成_x000a_2.同步了174张表_x000a_用途:开发环境铺数，用于验数_x000a_3.协助开发提测解答开发问题_x000a_4.协助开发编写插数SQL，用于编写报文"/>
        <s v="脚本自测数据验证;PRM_BSE_OFFLINE_CHNL_REVI,PRM_BSE_OFFLINE_CHNL_REVI_INIT"/>
        <s v="S05_KLNB_DKZHQG修改开发测试"/>
        <s v="因符合原先条件的数据已跑空，今日逻辑更新为：_x000a_1、剔除各名单客户、已预警账号，剔除org_nm_3为“上海银行成都分行”、“上海银行深圳分行”的账户，筛选channel_qd为Y或channel_qd为N且acc_mobile_limit&gt;0的账户。day_limit_amy_test&gt;max_dayout_amt_12m。_x000a_2、剔除各名单客户、已预警账号，剔除org_nm_3为“上海银行成都分行”、“上海银行深圳分行”的账户，筛选channel_qd为Y或channel_qd为N且acc_mobile_limit&gt;0的账户。_x000a_day_limit_amt_test = max_dayout_amt_12m。_x000a_3、剔除各名单客户、已预警账号，剔除org_nm_3为“上海银行成都分行”、“上海银行深圳分行”的账户，筛选channel_qd为Y或channel_qd为N且acc_mobile_limit&gt;0的账户。day_limit_amt_test&lt;max_dayout_amt_12m，cishu&lt;5。_x000a__x000a__x000a_如一个客户号有多个账户，则将名下账号里的day_limit_amt_test1的最大值填写至模板里的该客户号名下所有账户的day_limit_amt_test字段中。按此前要求填写模板《模板-预警账户》。_x000a_请提供前25万个账户，如有问题随时联系。谢谢！"/>
        <s v="脚本提测"/>
        <s v="对公存款普通企业存款模型表格影响分析"/>
        <s v="新增S+会员等级提升标签，开发测试投产"/>
        <s v="1.核对信号表指标中文字段。_x000a_2.查看客户视图接口查询逻辑。"/>
        <s v="RDI_CORP_EBANKING_CUST脚本开发数据核对"/>
        <s v="CCM_ASSET_POOL_INFO_NEW 验证完成"/>
        <s v="贷款交易模型数据验证，“SP_B_GENERALIZE_INDEX_INN_GJ60”存储过程验证，BI103335、BI103336数据验证。"/>
        <s v="PIS_BC_ECB_TRDFLOW 开发"/>
        <s v="主客户经理逻辑梳理，脚本开发，梳理整合需求"/>
        <s v="顾玄怡-乐龄战略看板融合接通率_x000a_刘张杰-重复来电明细，文本模型字段调整_x000a_"/>
        <s v="信用债余额映射补充，脚本开发"/>
        <s v="1.生产P层任务数据异常问题排查_x000a_2测试.集群查询缓慢问题处理_x000a_3.生产脱敏视图规则更新"/>
        <s v="S04_KLNL_RENEW_x000a_S04_KLNB_RENEW_x000a_S04_KLNB_OVDUE_DAY_x000a_S04_KLNB_RPYMT_PLAN_CTRL_x000a_S04_KLNB_UNION_LOAN_ATTR_x000a_S04_KBAA_BANK_ACPT_DRAFT_x000a_S04_KOBB_BENF_INFO_x000a_S04_KBAL_PREP_MNY_x000a_S04_KBAL_CHANGE_x000a_S04_KBAB_MRGN_ACCT_x000a_S04_KBAA_BANK_ACPT_AGRMT_x000a_S04_KOBL_CHANGE_x000a_S04_KLNL_TRL_CAL_DUE_BILL_x000a_S04_KLNB_CPTL_TRFR_ACCT_NUM_x000a_S04_KLNB_REFINC_x000a_S04_KLNB_LENDG_PLAN_x000a_S04_KLNB_TRFR_PAY_INFO_x000a_S04_KLNL_CUST_TXN_x000a_S04_KLNL_INSTMT_TXN_x000a_S04_KLNL_INT_CALN_x000a_S04_KLNL_INT_CALN_DYS_x000a_S04_KLNL_INT_RATE_CHANGE_x000a_S04_KLNL_LOAN_CHANGE_x000a_S04_KLNL_LOAN_TXN_x000a_S04_KLNL_FORM_TRFR_x000a_S04_KLNL_INSTMT_TRL_CAL_x000a_S04_KBAL_TXN_x000a_S04_KOBL_TXN_x000a_S04_KOBB_MRGN_ACCT_x000a_S04_KOBA_OFF_BAL_SHEET_x000a_S04_KLNB_INSTMT_x000a_S04_KLNB_EXTD_x000a_S04_KLNB_INT_CALN_ATTR_x000a_S04_KLNB_CUSTZN_PRCPL_RPYMT_x000a_S04_KLNB_BASIC_ATTR_x000a_S04_KLNB_AGNC_BUSI_ATTR_x000a_S04_KLNB_ACCTG_ATTR_x000a_S04_KLNB_ORG_TRFR_x000a_S04_KLNB_RPYMT_ATTR_x000a_S04_KLNB_PRCG_ATTR_x000a_S04_KLNB_MULTI_RPYMT_ACCT_x000a_S04_KLNB_MULTI_CLNT_x000a_S04_KLNB_MATU_ATTR_x000a_S04_KLNB_LENDG_ATTR_x000a_S04_KLNB_FEE_PLAN_x000a_S04_KLNA_LAST_DY_BAL_x000a_S04_KLNA_LOAN_ACCT_x000a_S04_KLNB_SYDCTD_CTRBN_SHR_x000a_S04_KLNB_CUST_INTRL_RLVC_x000a_L10_DERIVED_VARIABLE_x000a_L10_RULE_DECISION_x000a_L10_LS_SCOREMODELRETURNINFO_x000a_L10_LS_SCOREDCHARACTERISTIC_x000a_L10_LMT_SCENE_CONTRACT_LIMIT_x000a_L10_LS_RELATED_PEOPLE_x000a_L10_DISPATCH_REQUEST_FLOW_x000a_L10_DECISION_RESPONSE_x000a_L10_LS_RULEDECISION_x000a_L10_LS_DERIVEDVARIABLEHISTORY_x000a_L10_LS_BIZ_APP_INFO_x000a_L10_SCORED_CHARACTERISTIC_x000a_L10_DECISION_BLAZE_REQ_RES_x000a_L10_SCOREMODEL_RETURN_INFO_x000a_S00_AEGL_GL_LEDGER_POST_BAL_x000a_S00_AEGL_BS_GL_POST_HIST_x000a_S00_AEGL_GL_FM_BRANCH_x000a_S00_AEGL_GL_LEDGER_ACCT_BAL_x000a_S00_AEGL_GL_SUBJECT_x000a_S00_AEGL_GL_MONTH_SITUATION_x000a_S00_AEGL_MUL_GL_BUSINESS_SITUA_x000a_S00_AEGL_GL_BUSINESS_SITUATION_x000a_S00_AEGL_MUL_GL_MONTH_SITUATIO_x000a_S00_AEGL_GL_POST_GROUP_HIST_x000a_S00_AEGL_GL_ACCT_x000a_S00_AEGL_GL_POST_HIST_x000a_S00_AEGL_GL_PROD_MAPPING_T24_x000a_S00_AEGL_GL_PROD_ACCOUNTING_x000a_S83_IRMS_LD_LOAN_SERIAL_INFO_x000a_S83_IRMS_LD_T24_PUBLIC_LOAN_x000a_S83_IRMS_LD_PUBLIC_DBL_INFO_x000a_S83_IRMS_CLTL_BILL_RTS_INFO_x000a_S83_IRMS_CUS_CUST_MAIN_INFO_x000a_S83_IRMS_CONT_PAWN_INFO_x000a_S83_IRMS_CONT_LOAN_INFO_x000a_S83_IRMS_PRD_BASE_INFO_x000a_S83_IRMS_PRD_CORE_INFO_x000a_S83_IRMS_CUS_CUST_CORP_INFO_x000a_S83_IRMS_CONT_REPLY_BASE_INFO_x000a_S83_IRMS_CONT_ACCT_INFO_x000a_S83_IRMS_CONT_GUAR_REL_INFO_x000a_S83_IRMS_CONT_PAWN_RELR_x000a_S83_IRMS_CONT_PAWN_CLTL_x000a_S83_IRMS_COL_CLTL_BASE_INFO_x000a_S83_IRMS_COL_CLTL_CONTRA_INFO_x000a_S83_IRMS_COL_CLTL_RELAT_INFO_x000a_S99_TBCCPNM0_x000a_S99_TBCCCUS0_x000a_S99_TBCCTAG0_x000a_S99_CDBOSINDUSTRYTP_x000a_S99_TBCCPID0_x000a_S99_TBCCOIP0_x000a_S99_TBCCPAD1_x000a_S99_CDADMINAREATP_x000a_S99_TBCCCGR0_x000a_S99_TBCCGRP0_x000a_S99_TBCC3310_x000a_S99_TBCCOGR0_x000a_配合联调测试"/>
        <s v="L54_CAM_OPEN_INFO_MASTER修改表结构开发测试"/>
        <s v="1. 代码开发 2. 问题查询"/>
        <s v="个人两端核对差异分析、月版需求整理"/>
        <s v="数据安全自查跟进以及问题整理"/>
        <s v="E_AML_BB11_PARTY_CORP_3RD逻辑调整测试"/>
        <s v="仲俊--存量客户结算活跃明细看板：需求分析，脚本编写，数据查询，核对数据_x000a_"/>
        <s v="1、掌上行经营作战室左侧“管理简报”功能按钮加条件限制：左侧“没有目录数据”或者“目录没有关联右侧表格行指标”时，提示不可操作、掌上行智能问数提问回复内容大模型自动文本类型串联请求功能测试_x000a_2、UDAS业务数据模型迁移第六批次测试案例、测试要点、测试报告、测试计划、验收测试用例文档准备"/>
        <s v="完成提前结清的测试_x000a_卡校验、反馈登记_x000a_"/>
        <s v="新增客户经理工作结构表口径调研"/>
        <s v="1、0317检核报错、报送错误明细（全系统）_x000a_2、0316、注销但无销户日期的需补报（需要和源系统比对一下，如果源系统里状态是正常，需要补报销开）"/>
        <s v="调整《网点重空凭证明细统计表》逻辑_x000a_查询《网点运营人员业务量明细表》问题"/>
        <s v="CDI_PRFT_IBBM,CDI_PRFT_S84,CDI_PRFT_COA_CHK,CDI_IBBM_ACCT_H  数据验证"/>
        <s v="数据安全管理能力提升专项行动材料反馈：金科部自查问题反馈"/>
        <s v="1.fidi_tca_fxjn,fidi_tca_hzw,fidi_tca_fxjf,fidi_tca_ffjt,fidi_tca_szwbsd 处理服务我闪退的问题以及13个用户的节点恢复_x000a_2.担保合同表，融资表 开发_x000a_"/>
        <s v="2、脚本开发类工作_x000a_    脚本开发开发中1个：数仓RDI_INDIV_CREDIT_INFO_NINGB脚本翻写到大数据"/>
        <s v="1、每日卡校验及反馈数据汇总及分析；_x000a_2、人行两端核对数据量差异分析；_x000a_3、京东京条补报逻辑调整验数。"/>
        <s v="看板描述:_x000a_    ,稳增长相关报表优化_x000a_    ,宏观经济-调控需求工作量评估:_x000a_        ,银行内部指标体系观察宏观经济运行情况.xlsx_x000a_    ,掌上行信用风险指标报表优化需求:_x000a_        ,基础需求分析文档:掌上行信用风险指标报表优化需求V1.0_DRM_需求分析.txt_x000a_        ,udas文档(初版):工作量评估（四期）-UDAS模板（风险地图）基准（202603）.xlsx_x000a_        ,掌上行文档(初版):工作量评估（四期）-掌上行模板（风险地图）基准（202603）.xls"/>
        <s v="计财板块-下钻页面（合意贷模型）:一个模型追数对公合意贷多维模型_x000a_"/>
        <s v="1.日常开发问题协助排查_x000a_2.sas相关问题处理_x000a_3..sas7bdat数据文件解析测试"/>
        <s v="口径调研及mapping整理-凭证开立信息表（发生额情况表）_x000a_"/>
        <s v="开发 投行中收分成表，并验证20260228，20260310测试数据 "/>
        <s v="新增静态表CRM_MID_PROFIT_ITEM_CFG并测试E_CRM_C_CUST_IN_AND_EXP的20260228的数据并调整逻辑"/>
        <s v="配合联调测试加载互核宽表数据并验证"/>
        <s v="1、作业：MRP_IFBM_PROD_FLOW_DIV 配合RDI 测试作业：RDI_CWMRC_AST_FLOW_DIV，RDI_B_T_IBK_BORR_FLOW_DIV _x000a_2、补充mrp映射文档，mrp迁移后表结构。"/>
        <s v="解决规则引擎，波动性检查观察期对比数据取数范围不对的问题。"/>
        <s v="S14_TBVIRBANKACCMAP  表投产前联调测试，投产支持，投产后数据验证，生产环境作业监控、问题排查解决"/>
        <s v="ETL处理较上年特殊处理及追数。"/>
        <s v="1：三个追数脚本开发。_x000a_2：追数验证。_x000a_3：与UDAS联调测试。"/>
        <s v="UDAS_A_LS_FANHUA_DBCRD_CUST时效优化上下游联调测试、文档编写，脚本提测，投产支持"/>
        <s v="优化表rtl_ind_cust_belong_mt，生产sqlreview，并验证数据"/>
        <s v="测试验证yanzh“e开户时长明细清单”数据_x000a_测试验证普惠审批台账数据_x000a_"/>
        <s v="新兴板块-下钻页面指标、管理指标:新增指标配置【商投行联动获客数】_x000a_"/>
        <s v="资产负债监控日报增加大额流入流出 配置并测试_x000a_计财指标剔除互联网产品并追数_x000a_科目改造-流动性报表程序修改"/>
        <s v="1、一表通转EAST"/>
        <s v="1。落标涉及81个脚本修改查主键提测，34个无数据脚本查数提测_x000a_2.3.19版本上线打包整包测试"/>
        <s v="20251231SP_B_GENERALIZE_IDX_INN_CRM56SP_B_GENERALIZE_IDX_INN_CRM67SP_B_GENERALIZE_IDX_INN_CRM87SP_B_GENERALIZE_IDX_INN_CRM93SP_B_GENERALIZE_IDX_INN_CRM94SP_B_GENERALIZE_IDX_INN_CRM98SP_B_GENERALIZE_INDEX_INN_GJ65测试"/>
        <s v="O_IND_HOUSGLOAN_APPL_DTL，F_IND_HOUSGLOAN_APPL_DTL，B_IND_MTG_LOAN_MODEL_ORG数据加载测试"/>
        <s v="余佳骏-企业微信数据提取和看板制作"/>
        <s v="_x0009_0327验收范围收集、CBC对标"/>
        <s v="之前整合模型缺陷已修复，复测法人贷款担保合同表0228，借据与担保合同"/>
        <s v="修改页面小i口径梳理、指标文档梳理机构KPI-标准存款_x000a_新增页面小i口径梳理、指标文档梳理零售条线KPI-零售标准存款"/>
        <s v="监管数据检核验证：_x000a_ta03_east_result_hlwdkhzxyb_w_x000a_ta03_east_result_ytdkxxb_w_x000a_"/>
        <s v="MRP_B_PJ_BB_RR_BAL_NEW 脚本开发"/>
        <s v="MRP_B_I_DEPOSIT_ACCT_BAL_DIV_NEW 迁移开发自测"/>
        <s v="1、熟悉测试业务流程，跑案例强化操作_x000a_2、熟悉测试、生产环境，测试数据需要用到哪些环境（同名库、SIT1环境、生产库、UAT环境）_x000a_3、熟悉白皮书书写格式，撰写批复白皮书"/>
        <s v="新旧比对"/>
        <s v="金融市场交易合约信息 新增投行组别的 交易流水备注、客户信息号、合同号码、币种代码、交易金额、起息日期、支付日期字段"/>
        <s v="新兴板块-下钻页面指标、管理指标:模型评审【转基金及穿透】"/>
        <s v="配合数据验数"/>
        <s v="配合联调测试，加载测试数据_x000a_卸数文件加载_x000a_S83_IRMS_CUS_CUST_CORP_INFO_x000a_S83_IRMS_CUS_CUST_MAIN_INFO_x000a_S99_TBCCPNM0_x000a_S99_TBCCCUS0_x000a_S99_TBCCTAG0_x000a_S99_CDBOSINDUSTRYTP_x000a_S99_TBCCPID0_x000a_S99_TBCCOIP0_x000a_S99_TBCCPAD1_x000a_S99_CDADMINAREATP_x000a_S99_TBCCCGR0_x000a_S99_TBCCGRP0_x000a_S99_TBCC3310_x000a_S99_TBCCOGR0_x000a_采集抽数_x000a_S83_PRD_CUSTOMER_BASE_INFO_x000a_S83_PRD_CUSTOMER_BILL_INFO_x000a_S83_PRD_CUSTOMER_BH_INFO_x000a_S83_CORP_LEND_APPLY_BILL_x000a_S83_CONT_COMPANY_INFO_x000a_S83_CONT_COMPANY_FAVOREE_INFO_x000a_S83_CONT_COMPANY_SHAREHODLER_INFO_x000a_S83_CONT_COMPANY_OPERATOR_INFO_x000a_S83_DEBT_INFO_x000a_S83_ECR_INT_CLTALINFO_x000a_S83_CORP_APPLY_BASE_INFO_x000a_S83_CORP_BH_AGREE_INFO"/>
        <s v="进行存量个人贷款南通众和数据测试。"/>
        <s v="1.修改客户历史跟踪详情页面优化功能代码"/>
        <s v="代发报表概要设计，类代发功能开发"/>
        <s v="上线脚本编写，生产数据验证，上线文档调整，脚本测试。"/>
        <s v="财富智能配置理财产品配置的需求分析"/>
        <s v="响应封装模块开发"/>
        <s v="UDAS_F_IND_CNTRBIZ_CUST_IND 抽数作业新增开发测试"/>
        <s v="1.联调e事通查询接口_x000a_2.修改封装请求代码"/>
        <s v="1.掌上行支行作战室，配置对公集中度表格内容_x000a_2.处理生产角色申请权限内容_x000a_3.指标模型上线，协助导入上线内容"/>
        <s v="专项任务-胡雯-分析V_B_CORP_DPST_BAL_FAST普通企业存款余额模型（总账口径_简版）,V_B_CORP_DPST_BAL_FLAT_FAST普通企业存款余额模型（CRM口径_简版）两个模型对掌上行的影响。"/>
        <s v="专项任务-吴进丰-一次问老年客户企微认证提取,今日已完成,已通过云文档交付_x000a_专项任务-李子璇-峰值相关提数,今日已完成50%"/>
        <s v="网商美团字节刷数及匹配外部信息20260317，上海地区对公客户潜力及以上的客户清单sql脚本开发、取数20260318"/>
        <s v="征信系统测试环境代码部署_x000a_征信系统中证信评分批量接口代码开发、测试"/>
        <s v="数据加载:202603018_x000a_S84_MT_INTERVIEW_SUMMARY_x000a_S84_BOSC_DB_COUNTER_PARTY_x000a_S84_INTD_AGENCY_ORG_x000a_S84_CRM_ISSUE_APPLY_x000a_S84_CRM_HOLDER_CHANGE_x000a_S84_INTD_BOND_FUND_TRANSFER_DETAIL_x000a_S84_MT_SERVICE_REGISTER_x000a_S84_INTD_ISSUE_PREPARE_x000a_S84_INTD_CHOICE_RIGHT_x000a_S84_CRM_DUE_CONFIRM_x000a_S84_MT_LAND_REGISTER_x000a_S84_CRM_PROJECT_INFO_x000a_S84_MT_FEE_SHARE_RULE_x000a_S84_CRM_WARRANT_INFO_x000a_S84_INTD_DURA_FUNDUSE_MONITOR_DESC_x000a__x000a__x000a__x000a__x000a_S84_ACCT_VOUCHER_DETAIL_x000a__x000a_S84_ACCT_VOUCHER_HEADER_x000a__x000a_S84_INTM_ASSET_BASIC_INFO_x000a__x000a_S84_INTD_PROJECT_INFO_x000a__x000a_S84_CRM_PROJECT_INFO_x000a_"/>
        <s v="20260327投产介质准备和步骤编写_x000a_A0838Y001、A0838Y008接口-新增分页开发_x000a_"/>
        <s v="代发指标说明设置开发"/>
        <s v="20260319-小微企业主1000万以下的金数VS大集中，拉取0131差异数据；个体工商户1000万以下的金数VS大集中，拉取0131差异数据；【个人存款固定报表】问题查询回复（1、表14 个人存款利率分产品分期限表，定期存款当月新吸收口径下，期限为3年以上本期利率为1.42，较期限短的同类业务利率更低，请核实；2、表14 个人存款利率分产品分期限表，大额存单当月新吸收口径下，期限为1至2年（含）本期利率为1.50，较期限短的同类业务利率更低，请核实）；【委贷汇总核查】问题查询回复（1、贷款状态为逾期的本期利率8.01，上期利率7.72，相差较大，请核实）"/>
        <s v="计财板块-下钻页面（合意贷模型）:修改一个存储过程SP_B_CORP_CO_LOAN_BAL 新增房地产贷款标签科创贷款标识投放金额投放金额X投放利率本年新发生标识"/>
        <s v="对公中收科目配置调整与追数，调整国际结算模型数据追数"/>
        <s v="CCM_C_LOAN_ACCT_INDEX南通众和数据测试"/>
        <s v="1.MRP清包袱对标"/>
        <s v="MRP_B_SGD_BOND_SHORT_SELL_BAL_NEW开发"/>
        <s v="共借人变更需求联调测试;个人补报数据不一致问题跑排查;企业数据加载跑批，卡校验数据导出; 个人两端核对不一致数据分析"/>
        <s v="【信贷合同信息】S83-12分组，修改『合同号』字段取值逻辑，增加450206AR担保贷产品的映射；修改『合同贷款类型』，南通众合映射为流动资金贷款；"/>
        <s v="DSM_RtrbwIntfCsiCheckData_001差异化报表接口开发联调_x0009__x000a_"/>
        <s v="卡校验20260317数据整理_x000a_两端核对抵质押匹配CDATA产品提数口径调研_x000a_配合查询年后逾期129笔借据处理情况_x000a_卡校验治理_440_账户关闭日期报文生成_x000a_担保部分配合票号、子票区间提数_x000a_长期未治理普惠45笔数据核对（8笔数据问题待业务解决）_x000a_逾期借据129笔，按段删除、7笔按段更正生成报文"/>
        <s v="1.出S72报表测试数据，并验证20260228期的数据准确性，发给业务测试_x000a_1.出S6301报表测试数据，并验证20260228期的数据准确性，发给业务测试"/>
        <s v="托管资产组合证券持仓表 生产数据20260228期数据核对"/>
        <s v="1、开发新增落标表脚本，测试环境验证，对标检查，提供数据联调_x000a_s71_nftp_rm_method_rule_h_init.sql_x000a_s65_be_account_h_init.sql_x000a_s71_nftp_rm_method_rule_h.sql_x000a_s65_be_account_h.sql_x000a_2、上线清单整理填写0320版本变更内容文档_x000a_3、sqlreview测试_x000a_4、落标表0320版本投产需要全量历史数据收集确认，发邮件评审"/>
        <s v="对公客户我行信贷情况_x0009_sem_corp_ln_lndebt_inf_w_x000a_集团内部层级结构信息_x0009_sem_corp_grp_inf_w_x000a_ 表开发"/>
        <s v="测试分析并验证客户经理业绩查询-公司客户经理页签功能；以及客户经理业绩指标问题修复验证。"/>
        <s v="调整条线KPI考核完成率、线上化率数据接口"/>
        <s v="esk_acc_bal_intf 账户历史余额接口_x000a_esk_thr_doc_enqr_intf 三单查询接口_x000a_逻辑调整，新增字段，测试环境联调测试"/>
        <s v="新兴板块-下钻页面指标、管理指标:新增一个存储过程【商投行联动获客数指标加工】_x000a_"/>
        <s v="日批的非居民个人贷款汇总表卡住，修改调度配置，自动跑数_x000a_因业务补录问题，重跑单位存款指标化明细表。同业存放指标化明细表、A1411、A2411"/>
        <s v="区域特色新旧线差异测试_x000a_qc3指标表0131,0228数据验证_x000a_q4503指标表差异明细数据查询"/>
        <s v="计财板块-下钻页面（合意贷模型）:模型评审对公合意贷明细模型对公合意贷多维模型"/>
        <s v="L04_FPS_ARAP_BIZ_ACCOUNT_CONFIG脚本开发、数据加载测试，视图新建"/>
        <s v="利率报备-数据加载与测试-R01/R04/R05/R07_x000a_利率报备-协助UAT测试-R01/R04/R05/R07/"/>
        <s v="需求分析_x000a_MLM_TD_SHZ_PROTECT_FEATURE_INFO     反电诈风险模型特征宽表 "/>
        <s v=" 一、分析票易贷数据_x000a_   二、需求分析 新增投行产品 _x000a_   三、管控脚本SQLREVIEW ，数据验证。"/>
        <s v="1开发作业E_FRM_IDV_CUST_CREDIT_LMT_DTL_x000a_2.核查个人贷款授信表客户号为空的各个来源系统"/>
        <s v="个人脱敏信息展示开发"/>
        <s v="新线修复了部分问题需要根据依赖重新推数，后续分析需要整体重新加载，推数后做基本验证确认文件都到齐了，恢复调度到初始化，加载OF接口层，加载后验证无误 收集统计信息重跑对公贷款汇总存储跑完后跑调度建信明细层，跑完后对基本的明细查询做验证是否都出数。"/>
        <s v="对601 表内外业务担保合同表 602 表内外业务担保人进行检核问题分析比对验证,提缺陷"/>
        <s v="1.X20250305000005-江苏金租接入车生态需求:在测试环境跑产品配置表新增的产品数据。_x000a_2.X20250305000005-江苏金租接入车生态需求:调整“授信信息”表“占用额度”的取值逻辑，并配合下游进行测试验证。_x000a_3.现金报送需求：配合下游验证集市新上线的“现金交易明细”模型20251231数据的正确性。"/>
        <s v="机构KPI提数_x000a_"/>
        <s v="1：开发UDAS_F_CORP_DPST_BAL脚本。_x000a_2：确定追数方案（251和244需要分开追）_x000a_3：编写追数脚本。"/>
        <s v="配合测试宅即贷需求测试：1、放开账户类型需转换的借据清单；2、核对新旧线报送卡校验和反馈清单；"/>
        <s v="CCM_INCLUSIVE_FINC_INFO_CORP、CCM_INCLUSIVE_FINC_INFO_INDIV调整分区字段，并进行数据回插"/>
        <s v="1、根据上一天开会内容修改需求；_x000a_2、和开发开会：AI外呼；"/>
        <s v="国补贴息联调测试，数据验证，脚本提测"/>
        <s v="脚本开发开发中2个：债权投资计划流水、企业信用受益权投资流水表涉及未上游未上字段重新确认上游是否上线，表级、字段数据量重新分析确认是否需要修改，已确认企业信用受益权投资流水表关于补录的数据还需要，该问题已反馈，待科技老师解决"/>
        <s v="TP03_AGFND_CSACC_HD_BSC_INF_W 代理基金客户证券账户持券基本信息,新增字段 份额总数 长期冻结份额，脚本及初始化开发，SIT2环境测试，跑数20251231_x000a_TP03_AGNC_INTRDCT_CTR_INF_W 代理推介合同信息,调整经办人工号字段逻辑，关联用户信息表，取用户名称，同名库测试，跑数20260210，并进行数据验证_x000a_TP01_PRVT_CST_BSC_INF_W,调整所属机构编号字段逻辑，SIT2环境测试，跑数20251231"/>
        <s v="udas_f_gs_chain_acct_hd新增供应链模型加业务交易银行主管部门字段 模型设计_口径调研_x000a_udas_f_gs_chain_acct_hd新增供应链模型加业务交易银行主管部门字段 详细设计评审_x000a_"/>
        <s v="E_AML_TB_ACC_TXN_300_KJ_HMD卸数测试，初始化开发"/>
        <s v="分析凭证业务参与者资金账户信息表"/>
        <s v="S84_INTD_BOND_BASIC_INFO_H脚本开发、数据加载测试"/>
        <s v="tp05_eps_netsu_py_jrnl_a.sql新增字段脚本开发，初始化开发，数据联调测试并提测上线_x000a_"/>
        <s v="监管数据检核、字段比对：_x000a_ta03_east_result_xdhtb_w_x000a_E_UPR_EAST_501_XDHTB_x000a_"/>
        <s v="客户风险0314批次数据核对"/>
        <s v="1. 配合相关系统打包 2. 代码合并及优化"/>
        <s v="涉及脚本：AML_TRANS_mAIN_INFO、 AML_TRANS_INNER_INFO _x000a_修改脚本逻辑  ,跑批数据，自测数据，卸载数据，配合下游测试"/>
        <s v="1.整理区域特色、审计署1.0、税务报送模块功能中涉及人行迎检自查中的问题项_x000a_2.区域特色发包厂商面试"/>
        <s v="掌上行后端修改报表收缩展开数据来源接口"/>
        <s v="UDAS20260320版本在SIT ， PI ， UAT三个环境部署以及验证 ；已完成 100%"/>
        <s v="APPCRM.E_CRM_P_PROD_MATURE 脚本开发以及单元测试,联调卸数提测文件等"/>
        <s v="比对一表通新旧线的重点指标的差异原因，整理案例到与比对过程到云文档中"/>
        <s v="UDAS_F_GS_CORP_FIN_LOAN_DTL_N对公普惠脚本新增互联网标签字段脚本开发。"/>
        <s v="同业业务交易对手付款单信息 新增字段 划款金额折人 划款金额折美元，脚本开发_x000a_同业业务回款结算指令信息 新增字段 实际结算本金金额折人 实际结算本金金额折美元，脚本开发_x000a_同业业务合约信息 新增 是否我行存量授信客户 新增字段 是否是关联方 到账日期 到期利息 到期金额 合同本金 归还本金累计，脚本开发"/>
        <s v="UDAS_F_XX_NRP_IBNK_CUST_DERI投行优化脚本数据上下游联调。"/>
        <s v="外呼图片批量处理小于32mb大小"/>
        <s v="同业存款接口表开发_x000a_三方存管表修改"/>
        <s v="1.NRP集市作业开发_x000a_(1).UDAS-余额模型UDAS_F_IND_LOAN_BAL_BW，增加报表输出项：集团公司监管报送分类，新增初始化作业，并联调测试；"/>
        <s v="整合对公客户和关联人关系、对公客户投资人出资信息、对公客户综合信息作业开发测试_x000a_"/>
        <s v="确认TP11_IDV_LN_GURT_WTHCTR_INF_PLTF_W 个人贷款担保物与个人贷款担保合同关系（平台贷）缺数问题,并向监管反馈,落标表补数后重跑模型表供下游验证_x000a_修复TP06_INST_BSC_INF_W同名库与生产表结构不一致问题_x000a_验证tp01_que_frz_ddctfr_inf_w 查冻扣信息表在上游删除错误数据后主键情况,依然有5条重复,查证原因后反馈至设计老师 -- 上游有重复数据未删除完整"/>
        <s v="1.UDAS_M_BOS_TX_SUM_XJCZ_HIS 现金存折当期数据 报表逻辑重构，脚本开发，测试"/>
        <s v="指标下钻分析功能优化-机构分析开发"/>
        <s v="对私活期存款账户和结算分类账户关系信息   逻辑迭代   S54脚本开发   生产SQLREVIEW数据验证"/>
        <s v="ema_tq_netsunion_trans脚本自测，数据验证"/>
        <s v="下游配合测试"/>
        <s v="专项任务--徐冬-民营客户贷款评分模型看板  --民营客户贷款评分模型看板（进行中）_x000a_专项任务--高悦-经营性物业贷款租金收入监测看板  --经营性物业贷款租金收入监测看板（进行中）"/>
        <s v="1.进行区域特色1231季报指标的差异明细分析，主要推进Q53/Qa3/Q07a指标的口径确认、差异缩小和复测，分析Q07a指标差异为机构口径变化_x000a_2.跟进30个重点缺陷的解决进展"/>
        <s v="修改脚本_x000a_信用卡账户余额衍生信息新增字段CRNPRD_INT_x0009_当期利息_x000a_"/>
        <s v="S14_TBVIRBANKACCMAP  表数据铺底验证，配合下游完成联调测试"/>
        <s v="1.上午：1号文和2号文解读和方案编写；_x000a_2.下午：参加中铁15局司库课题研究会，提出修改意见；_x000a_3.晚上：与游老师、珂源一起准备光明集团调研。"/>
        <s v="信用卡账户邮箱地址最近修改日期_x000a_信用卡账户单位/家庭地址最近修改日期"/>
        <s v="1.贷前贷后主借人共借人变更数据加载 20260420 数据加载跑批_x000a_fidi_etl /fidi/cacrs_crpbc/lgy/etl/i_lnacc_w_xgd.sql &quot;--hivevar SHDATA=SHDATA --hivevar FIDI_CRPBC=fidi_cacrs_crpbc --hivevar V_CURR_DATE=20260420 --hivevar V_YEST_DATE=20260419&quot; /fidi/cacrs_crpbc/lgy/log/20260420/etl_i_lnacc_w_xgd_20260420.log_x000a_fidi_etl /fidi/cacrs_crpbc/lgy/etl/i_lnacc_w.sql &quot;--hivevar SHDATA=SHDATA --hivevar FIDI_CRPBC=fidi_cacrs_crpbc --hivevar V_CURR_DATE=20260420 --hivevar V_YEST_DATE=20260419&quot; /fidi/cacrs_crpbc/lgy/log/20260420/etl_i_lnacc_w_20260420.log_x000a_fidi_etl /fidi/cacrs_crpbc/lgy/etl/i_rltrepymt_w.sql &quot;--hivevar SHDATA=SHDATA --hivevar FIDI_CRPBC=fidi_cacrs_crpbc --hivevar V_CURR_DATE=20260420 --hivevar V_YEST_DATE=20260419&quot; /fidi/cacrs_crpbc/lgy/log/20260420/etl_i_rltrepymt_w_20260420.log_x000a_fidi_etl /fidi/cacrs_crpbc/lgy/etl/i_ctr_wrntctr_rel_w.sql &quot;--hivevar SHDATA=SHDATA --hivevar FIDI_CRPBC=fidi_cacrs_crpbc --hivevar V_CURR_DATE=20260420 --hivevar V_YEST_DATE=20260419&quot; /fidi/cacrs_crpbc/lgy/log/20260420/etl_i_ctr_wrntctr_rel_w_20260420.log_x000a_fidi_etl /fidi/cacrs_crpbc/lgy/etl/i_acctspectrstdspn_a.sql &quot;--hivevar SHDATA=SHDATA --hivevar FIDI_CRPBC=fidi_cacrs_crpbc --hivevar V_CURR_DATE=20260420 --hivevar V_YEST_DATE=20260419&quot; /fidi/cacrs_crpbc/lgy/log/20260420/etl_i_acctspectrstdspn_a_20260420.log_x000a_fidi_etl /fidi/cacrs_crpbc/lgy/etl/i_c_anp_ci_acctbs.sql &quot;--hivevar SHDATA=SHDATA --hivevar FIDI_CRPBC=fidi_cacrs_crpbc --hivevar V_CURR_DATE=20260420 --hivevar V_YEST_DATE=20260419&quot; /fidi/cacrs_crpbc/lgy/log/20260420/etl_i_c_anp_ci_acctbs_20260420.log_x000a_fidi_etl /fidi/cacrs_crpbc/lgy/etl/i_c_anp_ci_acctbs_dbt.sql &quot;--hivevar SHDATA=SHDATA --hivevar FIDI_CRPBC=fidi_cacrs_crpbc --hivevar V_CURR_DATE=20260420 --hivevar V_YEST_DATE=20260419&quot; /fidi/cacrs_crpbc/lgy/log/20260420/etl_i_c_anp_ci_acctbs_dbt_20260420.log_x000a_fidi_etl /fidi/cacrs_crpbc/lgy/etl/i_c_anp_ci_acctbsinf.sql &quot;--hivevar SHDATA=SHDATA --hivevar FIDI_CRPBC=fidi_cacrs_crpbc --hivevar V_CURR_DATE=20260420 --hivevar V_YEST_DATE=20260419&quot; /fidi/cacrs_crpbc/lgy/log/20260420/etl_i_c_anp_ci_acctbsinf_20260420.log_x000a_fidi_etl /fidi/cacrs_crpbc/lgy/etl/i_c_anp_ci_acctdbtinf.sql &quot;--hivevar SHDATA=SHDATA --hivevar FIDI_CRPBC=fidi_cacrs_crpbc --hivevar V_CURR_DATE=20260420 --hivevar V_YEST_DATE=20260419&quot; /fidi/cacrs_crpbc/lgy/log/20260420/etl_i_c_anp_ci_acctdbtinf_20260420.log_x000a_fidi_etl /fidi/cacrs_crpbc/lgy/etl/i_c_anp_ci_acctmthlyblginf.sql &quot;--hivevar SHDATA=SHDATA --hivevar FIDI_CRPBC=fidi_cacrs_crpbc --hivevar V_CURR_DATE=20260420 --hivevar V_YEST_DATE=20260419&quot; /fidi/cacrs_crpbc/lgy/log/20260420/etl_i_c_anp_ci_acctmthlyblginf_20260420.log_x000a_fidi_etl /fidi/cacrs_crpbc/lgy/etl/i_c_anp_ci_motgacltalctrctinf.sql &quot;--hivevar SHDATA=SHDATA --hivevar FIDI_CRPBC=fidi_cacrs_crpbc --hivevar V_CURR_DATE=20260420 --hivevar V_YEST_DATE=20260419&quot; /fidi/cacrs_crpbc/lgy/log/20260420/etl_i_c_anp_ci_motgacltalctrctinf_20260420.log_x000a_fidi_etl /fidi/cacrs_crpbc/lgy/etl/i_c_anp_ci_rltrepymtinf.sql &quot;--hivevar SHDATA=SHDATA --hivevar FIDI_CRPBC=fidi_cacrs_crpbc --hivevar V_CURR_DATE=20260420 --hivevar V_YEST_DATE=20260419&quot; /fidi/cacrs_crpbc/lgy/log/20260420/etl_i_c_anp_ci_rltrepymtinf_20260420.log_x000a_fidi_etl /fidi/cacrs_crpbc/lgy/etl/i_c_anp_ci_acctspectrstdspn.sql &quot;--hivevar SHDATA=SHDATA --hivevar FIDI_CRPBC=fidi_cacrs_crpbc --hivevar V_CURR_DATE=20260420 --hivevar V_YEST_DATE=20260419&quot; /fidi/cacrs_crpbc/lgy/log/20260420/etl_i_c_anp_ci_acctspectrstdspn_20260420.log_x000a_fidi_etl /fidi/cacrs_crpbc/lgy/etl/i_vt_anp_ci_rptdatecode.sql &quot;--hivevar SHDATA=SHDATA --hivevar FIDI_CRPBC=fidi_cacrs_crpbc --hivevar V_CURR_DATE=20260420 --hivevar V_YEST_DATE=20260419&quot; /fidi/cacrs_crpbc/lgy/log/20260420/etl_i_vt_anp_ci_rptdatecode_20260420.log_x000a_fidi_etl /fidi/cacrs_crpbc/lgy/etl/i_v_anp_ci_acctbs.sql &quot;--hivevar SHDATA=SHDATA --hivevar FIDI_CRPBC=fidi_cacrs_crpbc --hivevar V_CURR_DATE=20260420 --hivevar V_YEST_DATE=20260419&quot; /fidi/cacrs_crpbc/lgy/log/20260420/etl_i_v_anp_ci_acctbs_20260420.log_x000a_fidi_etl /fidi/cacrs_crpbc/lgy/etl/i_v_anp_ci_acctbsinf.sql &quot;--hivevar SHDATA=SHDATA --hivevar FIDI_CRPBC=fidi_cacrs_crpbc --hivevar V_CURR_DATE=20260420 --hivevar V_YEST_DATE=20260419&quot; /fidi/cacrs_crpbc/lgy/log/20260420/etl_i_v_anp_ci_acctbsinf_20260420.log_x000a_fidi_etl /fidi/cacrs_crpbc/lgy/etl/i_v_anp_ci_acctdbtinf.sql &quot;--hivevar SHDATA=SHDATA --hivevar FIDI_CRPBC=fidi_cacrs_crpbc --hivevar V_CURR_DATE=20260420 --hivevar V_YEST_DATE=20260419&quot; /fidi/cacrs_crpbc/lgy/log/20260420/etl_i_v_anp_ci_acctdbtinf_20260420.log_x000a_fidi_etl /fidi/cacrs_crpbc/lgy/etl/i_v_anp_ci_acctmthlyblginf.sql &quot;--hivevar SHDATA=SHDATA --hivevar FIDI_CRPBC=fidi_cacrs_crpbc --hivevar V_CURR_DATE=20260420 --hivevar V_YEST_DATE=20260419&quot; /fidi/cacrs_crpbc/lgy/log/20260420/etl_i_v_anp_ci_acctmthlyblginf_20260420.log_x000a_fidi_etl /fidi/cacrs_crpbc/lgy/etl/i_v_anp_ci_motgacltalctrctinf.sql &quot;--hivevar SHDATA=SHDATA --hivevar FIDI_CRPBC=fidi_cacrs_crpbc --hivevar V_CURR_DATE=20260420 --hivevar V_YEST_DATE=20260419&quot; /fidi/cacrs_crpbc/lgy/log/20260420/etl_i_v_anp_ci_motgacltalctrctinf_20260420.log_x000a_fidi_etl /fidi/cacrs_crpbc/lgy/etl/i_v_anp_ci_rltrepymtinf.sql &quot;--hivevar SHDATA=SHDATA --hivevar FIDI_CRPBC=fidi_cacrs_crpbc --hivevar V_CURR_DATE=20260420 --hivevar V_YEST_DATE=20260419&quot; /fidi/cacrs_crpbc/lgy/log/20260420/etl_i_v_anp_ci_rltrepymtinf_20260420.log_x000a_fidi_etl /fidi/cacrs_crpbc/lgy/etl/i_v_anp_ci_acctspectrstdspn.sql &quot;--hivevar SHDATA=SHDATA --hivevar FIDI_CRPBC=fidi_cacrs_crpbc --hivevar V_CURR_DATE=20260420 --hivevar V_YEST_DATE=20260419&quot; /fidi/cacrs_crpbc/lgy/log/20260420/etl_i_v_anp_ci_acctspectrstdspn_20260420.log_x000a_fidi_etl /fidi/cacrs_crpbc/lgy/etl/i_p_anp_ci_acctbsinf.sql &quot;--hivevar SHDATA=SHDATA --hivevar FIDI_CRPBC=fidi_cacrs_crpbc --hivevar V_CURR_DATE=20260420 --hivevar V_YEST_DATE=20260419&quot; /fidi/cacrs_crpbc/lgy/log/20260420/etl_i_p_anp_ci_acctbsinf_20260420.log_x000a_fidi_etl /fidi/cacrs_crpbc/lgy/etl/i_p_anp_ci_acctbs.sql &quot;--hivevar SHDATA=SHDATA --hivevar FIDI_CRPBC=fidi_cacrs_crpbc --hivevar V_CURR_DATE=20260420 --hivevar V_YEST_DATE=20260419&quot; /fidi/cacrs_crpbc/lgy/log/20260420/etl_i_p_anp_ci_acctbs_20260420.log_x000a_fidi_etl /fidi/cacrs_crpbc/lgy/etl/i_p_anp_ci_acctdbtinf.sql &quot;--hivevar SHDATA=SHDATA --hivevar FIDI_CRPBC=fidi_cacrs_crpbc --hivevar V_CURR_DATE=20260420 --hivevar V_YEST_DATE=20260419&quot; /fidi/cacrs_crpbc/lgy/log/20260420/etl_i_p_anp_ci_acctdbtinf_20260420.log_x000a_fidi_etl /fidi/cacrs_crpbc/lgy/etl/i_p_anp_ci_acctmthlyblginf.sql &quot;--hivevar SHDATA=SHDATA --hivevar FIDI_CRPBC=fidi_cacrs_crpbc --hivevar V_CURR_DATE=20260420 --hivevar V_YEST_DATE=20260419&quot; /fidi/cacrs_crpbc/lgy/log/20260420/etl_i_p_anp_ci_acctmthlyblginf_20260420.log_x000a_fidi_etl /fidi/cacrs_crpbc/lgy/etl/i_p_anp_ci_motgacltalctrctinf.sql &quot;--hivevar SHDATA=SHDATA --hivevar FIDI_CRPBC=fidi_cacrs_crpbc --hivevar V_CURR_DATE=20260420 --hivevar V_YEST_DATE=20260419&quot; /fidi/cacrs_crpbc/lgy/log/20260420/etl_i_p_anp_ci_motgacltalctrctinf_20260420.log_x000a_fidi_etl /fidi/cacrs_crpbc/lgy/etl/i_p_anp_ci_rltrepymtinf.sql &quot;--hivevar SHDATA=SHDATA --hivevar FIDI_CRPBC=fidi_cacrs_crpbc --hivevar V_CURR_DATE=20260420 --hivevar V_YEST_DATE=20260419&quot; /fidi/cacrs_crpbc/lgy/log/20260420/etl_i_p_anp_ci_rltrepymtinf_20260420.log_x000a_fidi_etl /fidi/cacrs_crpbc/lgy/etl/i_p_anp_ci_acctspectrstdspn.sql &quot;--hivevar SHDATA=SHDATA --hivevar FIDI_CRPBC=fidi_cacrs_crpbc --hivevar V_CURR_DATE=20260420 --hivevar V_YEST_DATE=20260419&quot; /fidi/cacrs_crpbc/lgy/log/20260420/etl_i_p_anp_ci_acctspectrstdspn_20260420.log_x000a__x000a_2.与征信应用端进行联调测试，卡校验测试_x000a_3.贷前系统主借人与共借人变更数据p层数据核检。20260313-20260316 _x000a_SELECT * FROM shdata.S73_ACCTCTRCT_H WHERE dt='20260313'  AND bctrctcode='CONT20260213000001'  -- 李楠  主借人_x000a__x000a_SELECT * FROM shdata.S73_RLTREPYMTINFO_H WHERE dt='20260313' AND bctrctcode='CONT20260213000001'   -- 张玉 共借人_x000a__x000a__x000a_SELECT * FROM shdata.S73_ACCTCTRCT_H WHERE dt='20260313'  AND bctrctcode='CONT20260213000002'  -- 孟兵    主借人_x000a__x000a_SELECT * FROM shdata.S73_RLTREPYMTINFO_H WHERE dt='20260313' AND bctrctcode='CONT20260213000002'  -- 王柳     共借人_x000a_                                                                                                  -- 郑玉梅    共借人_x000a__x000a_SELECT * FROM shdata.S73_ACCTCTRCT_H WHERE dt='20260313'  AND bctrctcode='CONT20260203000003'  -- 丙癸吧   主借人_x000a__x000a_SELECT * FROM shdata.S73_RLTREPYMTINFO_H WHERE dt='20260313' AND bctrctcode='CONT20260203000003'  -- 郭莹     共借人_x000a__x000a_########################################################################################################################################_x000a__x000a__x000a__x000a_SELECT * FROM shdata.S73_ACCTCTRCT_H WHERE dt='20260316' AND bctrctcode='CONT20260213000001' -- 朱磊  主借人_x000a__x000a_SELECT * FROM shdata.S73_RLTREPYMTINFO_H WHERE dt='20260316' AND bctrctcode='CONT20260213000001'   -- 文瑞 共借人_x000a_                                                                                                   -- 张玉  失效_x000a__x000a_SELECT * FROM shdata.S73_ACCTCTRCT_H WHERE dt='20260316'  AND bctrctcode='CONT20260213000002'  -- 郑玉梅  主借人_x000a__x000a_SELECT * FROM shdata.S73_RLTREPYMTINFO_H WHERE dt='20260316' AND bctrctcode='CONT20260213000002'  -- 王柳     共借人_x000a_                                                                                                  -- 李明    共借人_x000a_                                                                                                  -- 郑玉梅   失效_x000a__x000a_SELECT * FROM shdata.S73_ACCTCTRCT_H WHERE dt='20260316'  AND bctrctcode='CONT20260203000003'  -- 丙癸_x000a__x000a_SELECT * FROM shdata.S73_RLTREPYMTINFO_H WHERE dt='20260316' AND bctrctcode='CONT20260203000003'  -- 马丽丽     共借人_x000a_                                                                                                  -- 郭莹       失效_x000a__x000a__x000a_###################################################################################################################################"/>
        <s v="对公板块-总行KPI调整:测试-配合上游联调（包括UAT、PI、PP）--对公客户模型二级分行模型"/>
        <s v="1.0318紧急变更_x000a_2.票易贷迁移脚本开发，对应押品表部分。_x000a_3.同步S45数据_x000a_4.平台贷反洗钱开发"/>
        <s v="1月份测试数据核对"/>
        <s v="E变更当前处理人流程扭转的需求分析"/>
        <s v="查看UDAS相关存储过程逻辑"/>
        <s v="郊区金融需求对接"/>
        <s v="1.落标涉及脚本修改_x000a_2.上线内容提测，打包测试"/>
        <s v="宅25年结算数据制作；房抵快贷明细sql修复；资产质量bi错误修正"/>
        <s v="脚本开发、白皮书：INF_CFFIS_PO_ORG_INFO 、INF_CFFIS_CORP_TRDPTY_PAY_INFO_x000a_"/>
        <s v="1104报表测试同业资金业务余额表的整体差异及差异原因分析-社保定期存款"/>
        <s v="编写UDAS_E_TEM_NCDS_INFO 大额存单脚本"/>
        <s v="1.修改代客业务客户总分支三个视图_x000a_2.修改代客业务客户汇总存储过程"/>
        <s v="1、根据已预警客户名单（截至3月12日的）中的账户号去重。_x000a_2、剔除除已预警名单中的各种名单的客户号，剔除org_nm_3为“上海银行成都分行”、“上海银行深圳分行”的账户_x000a_增加字段：1、channel_qd；2、非柜面渠道近12个月出账金额大于daylimitamttest的次数；3、限额总值；4、非柜面渠道近12个月出账金额的最大值_x000a_ 烦请提取附件清单中的对公账户的账户启用日、人行核准日、账户到期日，清单通过文件传输上传_x000a_总行营业部账户限额批量设置清单_x000a_"/>
        <s v="司库客户新增流程+文件接口统计--新增客户文档填写_x000a_投资理财账户表开发"/>
        <s v="1.核对客户视图历史数据查询时间逻辑。_x000a_2.核查信号的一些表字段和增补对标里面的中文名称是否对应。"/>
        <s v="脚本开发:PRM_BSE_OFFLINE_CHNL_REVI,PRM_BSE_OFFLINE_CHNL_REVI_INIT"/>
        <s v="S05_KLNA_DKZHZB修改开发测试"/>
        <s v="S80_LHZXRABGXX,S80_LHZXRAZHFX等多张表新表入仓数据加载测试，配合联调测试20260230,20260301等日期加载。"/>
        <s v="1104-数据加载和测试"/>
        <s v="MIS_F_CUST_CHANNEL_BN脚本修改"/>
        <s v="CCM_ASSET_POOL_INFO 数据验证"/>
        <s v="对公存款普通企业存款模型图表级影响分析"/>
        <s v="1.测试了1个脚本，编写了7条案例_x000a_FRM_F03_DEBT_ACCT_LTV_x000a_进度:基础测试已完成_x000a_2.与开发沟通测试脚本的问题_x000a_3.同步了78张表，并且处理报错问题_x000a_用途:开发环境铺数_x000a_4.协助开发手搓报文的基础数据铺底._x000a_5.协助同事测试、编写SQL_x000a_6.数据脱敏核查"/>
        <s v="S10_VOC_WP_BASE_RELATION,S10_VOC_WP_BUSSINESS_TYPE,S10_VOC_WP_AUTHORIZATION修改表结构开发测试"/>
        <s v="调整配置、指标测试"/>
        <s v="零售新增客户模型-不含直销银行分行下发表脚本开发"/>
        <s v="RDI_CORP_EBANKING_CUST脚本开发"/>
        <s v="姚蔚--企业网银活跃数据：需求分析，脚本编写，数据查询，核对数据_x000a_仲俊--存量客户结算活跃汇总看板：需求分析，脚本编写，数据查询，核对数据_x000a_"/>
        <s v="贷款交易数据验证，网商交易数据指标验证，投放利率数据验证。新老脚本差异比对。"/>
        <s v="企微联系记录_x000a_X20260105000050关于零售crm客户视图展示非柜限额的业务需求书--接入非柜限额信息 esb接口下放开发 测试 联调_x000a_代发提醒管理功能开发_x000a_代发金额人数预警清单功能优化"/>
        <s v="1.整理宁波信号分发逻辑_x000a_2.梳理宁波信号编号名称"/>
        <s v="顾玄怡-派单录入时间与通话时间关系；质检大数据模型与数仓模型差异统计及明细_x000a_"/>
        <s v="约定存款积数和流水表脚本开发,数据测试，和旧表进行主键和字段级比对确认_x000a_sub表逻辑补充"/>
        <s v="调整历史创建脱敏视图中的脱敏规则"/>
        <s v="CCM_INTER_ACCT_INDEX表数据验证"/>
        <s v="UDAS_A_LS_FANHUA_DBCRD_CUST时效优化脚本修改、单元测试"/>
        <s v="看板描述:_x000a_    ,稳增长相关报表优化_x000a_    ,和卡中心老师确认&quot;信用卡&quot;指标调整项原因, 修复排期等原因 -- 汇总邮件已发授管老师_x000a_        ,掌上行信用风险指标报表优化需求:_x000a_            ,整理已实现, 待实现, 不能实现的需求点_x000a_            ,将零星需求工作量合并到需求中_x000a_    ,信用卡模型历史追数,PP环境测试测试联调"/>
        <s v="1、掌上行4.5建设项目第三批次测试案例、测试要点、测试报告、测试计划、验收测试用例文档准备_x000a_2、生产环境智能问数经营情况相关场景翻牌日期整理_x000a_3、UDAS业务数据模型迁移第六批次案例准备：掌上行6条、UDAS4条_x000a_4、移动端司库智能报告测试"/>
        <s v="完成江苏金租接入车生态10时点放款场景_x000a_卡校验、反馈_x000a_准备20时点提前还款结清的数据加载"/>
        <s v="1.新增实体（银企直连账户信息）数据验证及提测。_x000a_2.新增视图开发：VP99_STRTG_CLMN_PARM_INF_W，VP05_PMBS_USER_EXPOSURE_LOG_A。"/>
        <s v="1、整理智能问数全字段比对一致的测试问题；"/>
        <s v="大数据RTL_BW_TBOND_BAL_NEW--电子式跑数、数据验证_x000a_国债账号_x000a_资金账号_x000a_存款账号_x000a_客户编号_x000a_资金账号开户机构_x000a_营销人员工号_x000a_营销机构_x000a_客户经理编号_x000a_客户经理所属机构_x000a_线下操作机构_x000a_业绩归属人员_x000a_业绩归属机构_x000a_业绩归属日期"/>
        <s v="1.个人结算账户对账及问题数据处理"/>
        <s v="口径调研修改作业：_x000a_APPCRM.CRM_P_INDEX_ORG_CUST_IND (首页客户标签表)_x000a_APPCRM.E_CRM_P_INDEX_ORG (CRM首页机构业绩表)_x000a_新增字段：当日借记卡新户"/>
        <s v="作业：CRM_P_INDEX_ORG_CUST_IND 新增字段：当日借记卡新户，E_CRM_P_INDEX_ORG 新增标签：当日借记卡新户数-XH131。作业开发。编写白皮书。同步datamask 数据。"/>
        <s v="计财板块-下钻页面（合意贷模型）:模型评审对公合意贷明细模型对公合意贷多维模型_x000a_"/>
        <s v="考核业绩指标数据处理"/>
        <s v="新增表rtl_ind_cust_belong_mt_kmh，优化表rtl_ind_cust_belong_mt"/>
        <s v="RBW_RCT_CHG_ACCT_CUST_LIST优化"/>
        <s v="PIS_BC_DB_CRDCOUNSUM 开发"/>
        <s v="口径调研及mapping整理-凭证兑付信息表（发生额情况表）_x000a_"/>
        <s v="风险缓释凭证交易合约信息 新增 投行组别 的 交易记录编号、名义本金金额、币种代码、起始日期、到期日期、计划名义本金金额字段下游联调测试"/>
        <s v="同业存款积数表低成本负债逻辑调整_详细设计评审_x000a_三方存管积数表低成本负债逻辑调整_详细设计评审"/>
        <s v="开门红对公存贷增加本外币和外币折美数据及补录各币种计划值及11月积数_x000a_支行作战室-定价管理分析"/>
        <s v="1.海豚调度功能适配_x000a_2.日常开发问题协助排查_x000a_3.代码扫描开发"/>
        <s v="O_IND_HOUSGLOAN_APPL_DTL,F_IND_HOUSGLOAN_APPL_DTL,B_IND_MTG_LOAN_MODEL_ORG表新增字段，并加载20251231数据"/>
        <s v="整理宁波信号de测试相关文件，提交测试，处理生产需要刷机构的信息的信号数据，准备生产刷数。"/>
        <s v="杨悦-24年25年理财新户数据提取"/>
        <s v="分析投行项目对同业代客衍生品模型影响_x000a_过投行项目代码"/>
        <s v="验证FDM_C_LOAN_ACCT_INFO  替换利率定价表后 基准+浮动&lt;&gt;执行 上一重订价日不大于下一重订价日，重订价日间隔等于重订价频率等关系"/>
        <s v="计财板块-下钻页面（合意贷模型）:修改一个视图V_CORP_CO_LOAN_BAL 新增房地产贷款标签科创贷款标识投放金额投放金额X投放利率本年新发生标识"/>
        <s v="20260318-【同业客户基础信息、存量同业存款】0228问题核实回复（1、客户信息，本期仅新增一家财务公司，具体是？数据核实无误？2、存量同业存款，同业存单投资本期余额环比减少75.78%，利率下降21bp，请核实；3、存量同业存款，交易对手代码类别-自定义码，本期余额环比下降77.75%，利率下降45bp，请核实）；比对修改后的T011同业存放活期的跨期数据。"/>
        <s v="配合上游联调测试20260131、20251231SP_B_CORP_CUST_INFO_SUMGS_SP_B_GENERALIZE_IDX_EXT_CRM22GS_SP_B_GENERALIZE_IDX_EXT_CRM36"/>
        <s v="测试企业综合授信1031表级情况，修复供应链问题，修复L7X表内表外标识字段"/>
        <s v="页面回填文档编写机构KPI-标准存款_x000a_修改一个页面配置机构KPI-标准存款"/>
        <s v="页面小i口径梳理、指标文档梳理【贷款日均】（含3个标签卡、3个指标单元格表格、47个图表及事件联动）"/>
        <s v="MRP_B_PJ_BB_RR_BAL_NEW脚本开发"/>
        <s v="1、工作主要工具的使用，e事通、git、自动化测试平台、hue等_x000a_2、数据测试实操，已修改好的需求通过堡垒机进入测试环境测试脚本_x000a_3、数据比对，针对测试跑出来的数据与未修改的前的的进行数据比对。"/>
        <s v="开发新增落标表S70_T2_STRATEGY_x000a_S70_T2_STRATEGY_GROUP_x000a_S70_T2_STRATEGY_PARAM_STOCK_IN_H_x000a_S21_MCJNLQUERYLOG_x000a_"/>
        <s v="业绩分配逻辑确认，业务问题反馈，脚本编写_x000a_"/>
        <s v="E_INF_HDQ_FPS_LC_INTRANSIT_INFO,E_INF_HDQ_FPS_LC_REQ_PROFIT，E_INF_HDQ_FPS_LC_CUST_INFO，同步上游数据、跑20260311-20260314的数据、卸数"/>
        <s v="个人征信厂商工作安排以及问题沟通"/>
        <s v="与测试团队就开发测试工作问题讨论"/>
        <s v="主客户经理字段分析，进度10%"/>
        <s v="新兴板块-下钻页面指标、管理指标:【代客客户模型黄金租赁有效户逻辑修改】追数24年1-4月末"/>
        <s v="新入表采集平台开发，抽取测试数据并验证数据准确性_x000a_表清单：td_center_balance,,td_center_detail,"/>
        <s v="浦西-百融交流"/>
        <s v="信用卡发卡预申请信息_脚本开发"/>
        <s v="NRP_CHUXU_t24_ACCT_MAP_x000a_静态表开发及验数上线"/>
        <s v="1、每日卡校验及反馈数据汇总及分析；_x000a_2、人行两端核对数据量差异分析；_x000a_3、新个贷卡校验及字节跳动补报换版；_x000a_4、京东京条补报逻辑调整验数。"/>
        <s v="1.名单管理搜索项客户名称脱敏处理，修改铁匠_x000a_2.新增vue文件，修改代码，提交代码_x000a_3.整理sql脚本，测试"/>
        <s v="征信系统中证信评分批量接口代码开发、测试_x000a_征信系统自动查询用户新增、修改时日志表新增所属机构字段，代码开发、测试"/>
        <s v="专项任务-陈姿-停发重点关注企业代码开发"/>
        <s v="CCM_C_LOAN_ACCT南通众和数据测试"/>
        <s v="E_PRM_PRMS_MYBANK_CUST_CLEAR_LIST新增6要素规则脚本修改以及数据验证"/>
        <s v="（'信用拆出' ,'黄金拆出','同业存单发行','信用拆入','黄金拆入'） 字段差异比对_x000a_其中，'信用拆出','信用拆入','黄金拆入' 的“业务种类”需要做映射处理"/>
        <s v="上下游联调测试：EXP_E_FRM_NRWA_ENTITY_2"/>
        <s v="普惠贷款进度表--分行BI维护（修改较月初净增、较年初净增字段），udas逾期不良明细、irms宅即贷年审明细、irms借据续借明细脚本维护（替换贴源层机构表）"/>
        <s v="DSM_EskAccBalIntf_001司库-账户历史余额查询接口添加查询条件测试联调"/>
        <s v="数据库模块请求报文开发"/>
        <s v="共借人变更需求联调测试、数据加载及报文生成失败问题排查，整理企业手工报文"/>
        <s v="配合跑数测试 南通众和  20260313"/>
        <s v="专项任务-陈姿-信义贷看板手动更新数据，信义贷看板当月建额户数看板数据与业务数据不一致，原因是底表中授信（老标信，新标信）部分添加新的产品id，以及新标信部分添加新的节点编码，重新更新脚本，信义贷看板机构树调整；临时任务-陈姿-个贷资产监测业务数据与udas表数据差异排查"/>
        <s v="进行南通众和数据测试。"/>
        <s v="1.掌上行支行作战室，配置对公集中度表格内容_x000a_2.处理生产角色申请权限内容"/>
        <s v="数据加载0315_x000a_S84_INTM_FEE_SCHEDULE_x000a_S84_MT_BUSINESS_CONTRACT_x000a_S84_INTD_BOND_RATION_RESULT_x000a_S84_INTD_BOND_PUBLIC_INFO_x000a_S84_SYS_USER_x000a_S84_INTD_PROJECT_INFO_x000a_S84_INTM_PROJECT_INFO_x000a_S84_COMM_CREDIT_LINES_x000a_S84_MT_PROJECT_INFO_x000a_S84_INTD_BOND_BASIC_INFO_x000a_S84_INTM_BUSINESS_CONTRACT_x000a_S84_INTM_ASSET_BASIC_INFO"/>
        <s v="提数看板需求：平台类客户数据统计表sql逻辑开发，数据提取 科技：尤晓丹 张海濛"/>
        <s v="A0838Y008-征信异议已审核查询接口开发"/>
        <s v="授信协议改造-批复口径调研开发测试"/>
        <s v="新旧线比对"/>
        <s v="专项任务-胡雯-分析V_B_CORP_STRUDPST_BAL_FLAT_FST对公结构性存款余额模型（CRM口径_简版），V_B_CORP_STRUDPST_BAL_FAST对公结构性存款余额模型_简版两个模型对掌上行的影响。"/>
        <s v="1.修改bug_x000a_2.编写刷数sql"/>
        <s v="专项任务-魏巍-分层客户资产情况提取,今日已完成,已通过云文档交付_x000a_专项任务-黄荣荣-坐席接听技能组统计,今日已完成,已通过云文档交付"/>
        <s v="首页新户经营-信用卡新户开发"/>
        <s v="配合测试【信贷合同信息】S83-12分组（3个分组）修改『贷款用途』，增加0206映射为归还本行贷款；"/>
        <s v="对公中收与UDAS对比调整科目配置"/>
        <s v="1.内评系统对标"/>
        <s v="CCM_C_CUST_INFO_NEW脚本修改及测试20260228"/>
        <s v="解决规则引擎，清除旧数据，adm_black_gray_list_mid_bak数据量较大时清除失败的问题。"/>
        <s v="1.《X20260227000040_合同支用组件无使用部门字段清理需求》需求咨询——分析无影响_x000a_2.一代抽数事宜沟通-旧线拒绝登记抽数信息，数据库已下线无法统计数据量_x000a_3.卡校验近1000笔明细报文发送风管部上传人行_x000a_4.授信协议调研-业务反馈只有综合授信的批复下对应多个分项，但实际数据显示不止1个码值下有多个分项"/>
        <s v="新兴板块-下钻页面指标、管理指标:新增一个模型设计【商投行联动获客数】_x000a_"/>
        <s v="卡校验20260315、20260316数据整理_x000a_合库脚本验证（根据步骤做一遍）,已生成最新的初始化脚本_x000a_上海誉苏实业有限公司数据情况核对_x000a_境外两个企业报送字段确认并补充（2个都是基本户，查不到机构）_x000a_手工报文与上传清单核对及上传相关材料到云文档_x000a_月版需求变更重新提测_x000a_上游变更对下游影响核对_x000a_两端核对抵质押匹配产品（找到部分，剩余的需要调研口径）"/>
        <s v="E_FRM_IDV_CUST_CREDIT_LMT_DTL      个人客户授信额度明细接口表      _x000a_调用系统 CBMS.CIA ,CBMS.CCSS,CBMS.CCAQ_x000a_rowkey调整为： CERT_ID 反转+ “_” + CERT_TYPE + “_” + 产品id_x000a_入参改成 ： 证件号CERT_ID（必输） +  证件类型CERT_TYPE（必输）_x000a_数仓每日增量卸数，联机增量加载_x000a_E_FRM_IDV_CUST_CREDIT_LMT_DTL_20260228.dat_x000a_E_FRM_IDV_CUST_CREDIT_LMT_DTL_20260228.flg_x000a_分隔符号 单 “@”  "/>
        <s v="配合鉴真"/>
        <s v="1.UDAS_M_BOS_TX_SUM_CXJY_HIS 查询交易当期数据 报表逻辑重构，脚本开发，测试"/>
        <s v="AML_PLTF_TRANS_DETAIL逻辑调整测试"/>
        <s v="1、沟通了解云掌柜首页“经营总览--AUM月净增”的计算逻辑，以及获取客户明细的技术可行性；_x000a_2、开会：和PC端一起过AI外呼的需求。"/>
        <s v="数据集团资金日报明细表增加定期账户过滤条件，余额改成余额历史表取数"/>
        <s v="udas_f_gs_chain_acct_hd新增供应链模型加业务交易银行主管部门字段 集市侧需求分析_全链路影响性分析_x000a_udas_f_gs_chain_acct_hd新增供应链模型加业务交易银行主管部门字段 概要设计评审_x000a_"/>
        <s v="托管资产组合信息表 生产数据20260228期数据核对"/>
        <s v="京小贷新增普惠标签"/>
        <s v="1.更改S6303oracle端的存储过程逻辑并验证准确性"/>
        <s v="1. 配合开发及测试"/>
        <s v="   一、配合应用核对管控数据，查明原因，修复管控信息脚本"/>
        <s v="UDAS_F_XX_NRP_IBNK_CUST_DERI投行管理平台优化，脚本开发数据上下游联调"/>
        <s v="ema_wj_wljy_debed_credit脚本自测，数据验证"/>
        <s v="对公企业客户粘性新增企业手机银行签约标识_x000a_企业手机银行签约日期 _x000a_近12个月企业网银登录次数_x000a_近12个月企业电子银行线上结算交易笔数_x000a_近12个月企业电子银行线上结算交易金额_x000a_经营活动的现金流量_x000a_经营活动产生的现金流量_x000a_业务活动产生的现金流量_x000a_外币账户标识_x000a_-上银智汇+客户标识_x000a_国际结算量（万美元）_x000a_结售汇业务量（万美元）字段逻辑开发"/>
        <s v="UDAS_F_IND_LOAN_BAL_BW抽数作业新增字段脚本开发、联调测试、文档编写以及提测"/>
        <s v=" 对601 表内外业务担保合同表 进行表级比对验证、字段级比对验证"/>
        <s v="对私活期存款账户和结算分类账户关系信息   逻辑迭代   S04脚本开发    初始化追数脚本开发"/>
        <s v="数据集成测试：E_FRM_NRWA_ENTITY_2"/>
        <s v="大集中-数据加载与测试-应用层A1411金融机构资产负债项目月报表/A3302大中小企业贷款统计表_x000a_大集中-协助业务UAT测试-应用层A1411金融机构资产负债项目月报表/A3302大中小企业贷款统计表，提取2份明细数据给到业务"/>
        <s v="手机银行埋点标签梳理"/>
        <s v="新增视图 电子银行用户设备信息    【X20260204000040】【反电诈】关于优化警银数据交互功能的需求_x000a_脚本变更 收单商户综合信息   把关联子查询改成WITH AS 语句_x000a_脚本变更 信用卡账户交易明细  新增俩字段SETTLEMENT_AMOUNT ,SETTLEMENT_CURRENCY"/>
        <s v="机构KPI提数_x000a_结算活跃客户净增_x000a_南通众合IRMS新增产品测试 20260310"/>
        <s v="调整机构KPI考核完成率、线上化率数据接口"/>
        <s v="开发作业FRM_IDV_CUST_CREDIT_LMT_DTL_x000a_测试作业FRM_IDV_CUST_CREDIT_LMT_DTL_x000a_编写数据集成需求"/>
        <s v="同业存款余额修改、跑数_x000a_利率互换修改重新跑数_x000a_汇率表开发"/>
        <s v="开发新增落标表S84_CRM_PROJECT_INFO_H_x000a_S84_CRM_WARRANT_INFO_H_x000a_S84_MT_LAND_REGISTER_H_x000a_S84_INTM_FEE_SCHEDULE_H_x000a_"/>
        <s v="整合损益涉及投行数据测试"/>
        <s v="基金专户底层信用债余额信息 新增实体脚本开发_x000a_自营贵金属拆借合约信息 新增 折人民币成本余额 折人民币成本余额月积数 折人民币成本余额年积数 公允价值变动_折人民币余额 公允价值变动_折人民币月积数 公允价值变动_折人民币年积数脚本开发"/>
        <s v="存放同业交易对手补充,补充码值表，重跑存放同业指标化明细表"/>
        <s v="补录任务确认，需新添加一份校验，因之前老师补录数据后然后重跑系统数据做汇总指标、报表、然后重新出数后到最后发现有问题，反推 报表 指标 系统数据 及老师补录发现是补录的总行数据 和分行数据不平导致，这个过程太消耗时间所以目前设计两个方案加补录规则做第一道限制，然后再跑系统汇总指标前写一段SQL确认补录的总分数据是平的在进行后续操作。"/>
        <s v="新兴板块-下钻页面指标、管理指标:新增指标配置【商投行联动获客数】"/>
        <s v="执行验证个人信息脱敏360提醒功能；执行客户经理指标库查询功能数据脚本分析及验证"/>
        <s v="vp_transaction_flow 流水鉴真表视图验证"/>
        <s v="掌上行主题页面分析访问情况明细模型的视图中部门信息加工逻辑修改 ； 已完成 ；"/>
        <s v="ccm_c_commerce_rela_info脚本开发"/>
        <s v="整合模型配合调整，贷前作业：tp03_idv_ln_lnaply_inf_w_s83、tp03_idv_ln_lmtctr_inf_w_s83"/>
        <s v="APPCRM.E_CRM_P_MATURE_PROD_INFO 脚本开发以及单元测试,联调卸数提测文件等"/>
        <s v="1、处理信用卡白名单更新报文；_x000a_2、排查信用卡客户信息补报反馈清单；_x000a_3、业务沟通异议报文处理；"/>
        <s v="区域特色新旧线差异测试_x000a_区域特色字段差异影响指标出数查询_x000a_区域特色字段级差异明细查询"/>
        <s v="脚本开发开发中2个：代客本外币利率互换,新增接口，批量脚本及初始化建表脚本开发，开发进度80%，因整合模型部分字段未入，9个字段数据受影响，已验证口径数据，待整合模型字段上线后继续开发"/>
        <s v="TP03_AGNC_GLDEXG_CST_IVNT_DRVT_INF_W 代理金交所客户库存衍生信息，重写作业，脚本及初始化开发，SIT2环境测试，跑数20251231,并进行数据验证，大禹配置文档填写_x000a_TP05_AGFND_CSACC_MDTXN_JRNL_A 代理基金客户证券账户成交交易流水,新增字段 银行手续费，脚本及初始化开发，SIT2环境测试，跑数20251231_x000a_TP03_AGFND_STACC_INF_W 代理基金证券交易账户信息,新增字段 签约状态，脚本及初始化开发，SIT2环境测试，跑数20251231"/>
        <s v="涉及脚本：AML_TRANS_virtual_INFO、AML_DEP_XUHU_INFO_x000a_修改脚本逻辑  ,跑批数据，自测数据，卸载数据，配合下游测试"/>
        <s v="esk_acc_bal_intf 账户历史余额接口_x000a_逻辑调整，新增字段"/>
        <s v="1.X20250305000005-江苏金租接入车生态需求:在测试环境跑“受托支付信息”表20260313的数据，并配合下游进行测试验证。_x000a_2.X20250305000005-江苏金租接入车生态需求:在测试环境跑“授信信息”表20260313的数据，并配合下游进行测试验证。"/>
        <s v="CCM_C_CUST_COMMERCE_INFO 数据验证"/>
        <s v="专项任务--徐冬-民营客户贷款评分模型看板  --民营客户贷款评分模型看板（进行中）"/>
        <s v="将TP99_MARKET_EXRT_INF_W 货币市场汇率信息由双分区表改为单分区表,测试环境测试一年数据,并在调度重跑一天数据验证结果_x000a_新增实体 TP03_ONLINE_PAY_SIGN_INF_W 网上支付签约信息,登记落标表并提前跑入贴源测试数据_x000a_确认展业所需表 TP01_PRVT_CST_HDPD_BAL_DINF_W 对私客户持有产品余额衍生信息表生产不能追数原因,并反馈至下游展业"/>
        <s v="1.修改代客业务客户分行存储过程_x000a_2.修改代客业务客户支行存储过程"/>
        <s v="udas_e_gs_corp_dpst_bal_hd科目调整剔除244001，上下游数据联调测试_x000a_"/>
        <s v="1.参与监管报送小组周例会_x000a_2.评估X20260210000041工作量"/>
        <s v="卖出回购（'债券正回购','央行买断式逆回购','外币正回购','同业存单正回购','公开市场逆回购',,'票据正回购'）字段差异比对_x000a_其中，'外币正回购'的银行产品名称新线集市不满足，集市调整方案设计"/>
        <s v="经管平台支持报表收缩展开导出功能适配报表版本"/>
        <s v="1、开发新增落标表脚本，测试环境验证，对标检查，提供数据联调_x000a_s71_nftp_cm_term_def_h_init.sql_x000a_s71_nftp_cm_curve_yield_h_init.sql_x000a_s71_nftp_rm_method_rule_data_h_init.sql_x000a_s71_nftp_cm_term_def_h.sql_x000a_s71_nftp_cm_curve_yield_h.sql_x000a_s71_nftp_rm_method_rule_data_h.sql_x000a_2、提测平台清单整理，提交提测平台"/>
        <s v="配合测试数据联调，验证数据正确"/>
        <s v="验证FDM_C_LOAN_ACCT_INFO  替换利率定价表后字段的差异情况，并分析差异原因，涉及字段如下_x000a_RATE_TYPE_CD 利率类型代码             _x000a_BASE_RATE_TYPE_DSC 基准利率类型描述   _x000a_BASE_RATE_TYPE 基准利率类型           _x000a_BASE_RATE 基准利率                    _x000a_INTEREST_FLOAT_VAL  净利加减值        _x000a_INT_RATE_FLOAT_PCT 利率浮动比         _x000a_INT_RATE_ADJ_METH 利率浮动方式代码    _x000a_RATE 执行利率                         _x000a_PRIN_OVERDUE_RATE 本金逾期利率        _x000a_INT_OVERDUE_RATE 利息逾期利率         _x000a_REPRICE_FREQ 重定价频率               _x000a_REPRICE_FREQ_UNIT 重定价频率单位      _x000a_REPRICE_FREQ_DT 重定价频率日期        _x000a_LAST_REPRICE_DT 上次重定价日          _x000a_NEXT_REPRICE_DT 下次重定价日          _x000a_INT_TYPE 计息方式         "/>
        <s v="1.上午：参加华建开始调研，即华东院和华东国际；_x000a_2.1号文和2号文解读和方案编写；_x000a_3.下午2点：听取软通介绍1号文和2号文；_x000a_4.下午4点：参加第三次业技融合会，提出意见；_x000a_5.下午5:30：参加打分标准会，安排开发和数据部准备打分和材料。"/>
        <s v="小组组会 、反洗钱迎检自查与业务商量验证方案讨论 、请包袱会议、组长例会"/>
        <s v="稳增长报表机构配置调整及测试验证《稳增长-浦东新区重点金融机构两项收入月度统计表》"/>
        <s v="计财板块-下钻页面（合意贷模型）:需求设计、影响分析对公合意贷模型；_x000a_计财板块-下钻页面（合意贷模型）:修改一个模型设计对公合意贷模型 新增字段：房地产贷款标签科创贷款标识投放金额投放金额X投放利率本年新发生标识"/>
        <s v="对公板块-总行KPI调整:测试-配合上游联调（包括UAT、PI、PP）--对公客户模型汇总模型"/>
        <s v="1.修改累计拖欠期数和连续欠款期数逻辑_x000a_2.准备0318紧急变更"/>
        <s v="大数据RTL_BW_TBOND_BAL_NEW--凭证式跑数、数据验证_x000a_可售产品编号_x000a_原产品编号_x000a_产品名称_x000a_国债产品类型_x000a_起息日期_x000a_期限_x000a_到期日期_x000a_利率_x000a_期限类别  _x000a_风险等级  _x000a_债券类别  _x000a_票面价格_x000a_债券余额_x000a_债券月积数_x000a_债券年积数_x000a_债券月日均余额_x000a_债券年日均余额"/>
        <s v="场景团队四个产品借据取数；udas年审和续借的报表修复_x000a_"/>
        <s v="1：UDAS_F_GS_OFFLOAN_ACCT 开发测试。_x000a_2：UDAS_F_CORP_DPST_BAL 科目244开发。"/>
        <s v="1.DWS侧RDI集市作业迁移至大数据、视图地表构建_x000a_(1).RDI集市作业新增初始化作业，对公存款账户明细RDI_CORP_DEPOSIT_ACCT新增开户机构网点字段；_x000a_(2).RDI集市作业对公存款账户明细RDI_CORP_DEPOSIT_ACCT新增开户机构网点字段取数逻辑，并验证测试数据；_x000a_(3).修改对公存款账户明细V_RDI_CORP_DEPOSIT_ACCT视图逻辑，新增分行机构字段；"/>
        <s v="MRP迁移脚本改造。"/>
        <s v="1104报表测试同业资金业务余额表的整体差异及差异原因分析-卖出未到期票据、保险债权计划、基金投资"/>
        <s v="DWS脚本UDAS_E_TEM_NCDS_INFO 口径调研迁移到大数据"/>
        <s v="1.配合测试调试客户历史跟踪详情页面功能，修复历史Bug"/>
        <s v="1.维护客户视图报告代码。查看报告生成逻辑。"/>
        <s v="业务对接，分析"/>
        <s v="业务支持"/>
        <s v="开门红"/>
        <s v="脚本开发：_x000a_INF_CFFIS_PO_ORG_INFO"/>
        <s v="调整脚本：RBW_B_PT_M_MAT_OPEN_DTL"/>
        <s v="E_PRM_DYFXJ_BCARD_SCORE业务逻辑调整，标杆数据核对"/>
        <s v="顾玄怡-质检文本模型明细、质检模型量与数仓模型量差异情况_x000a_"/>
        <s v="作业：E_CRM_P_INDEX_ORG，CRM_P_INDEX_ORG_CUST_IND 新增指标：当日借记卡新户 需求分析。"/>
        <s v="S04_KCFB_CB_CORP_BASIC_INFO修改开发测试"/>
        <s v="利率报备-数据加载与测试-R04/R05/R07_x000a_大集中-数据加载与测试-应用层A1411/A3327_x000a_"/>
        <s v="贷款交易模型住房贷款投放利率数据分析，信义贷相关产品投放当月销量数据分析。差异问题分析。"/>
        <s v="约定存款积数和流水表脚本开发"/>
        <s v="投行项目代理推介中收分成数据重复问题核查，调整调研口径。"/>
        <s v="S80_LHZXRABGXX,S80_LHZXRAZHFX等多张表新表入仓数据加载测试，配合联调测试20260218,20260228等日期加载。"/>
        <s v="零售新增客户模型-不含直销银行分行下发表口径调研，分析"/>
        <s v="PIS_BC_CR_CRDDEPOS_MT 开发"/>
        <s v="1.脱敏规则调整验证并投产_x000a_2.调整历史创建脱敏视图中的脱敏规则"/>
        <s v="1.查询重点指标差异并查询原因_x000a_2.参加重点指标差异原因会议"/>
        <s v="S54_IEB_DACCT_RECIVE_CONFIG_H,S54_IEB_DACCT_RECIVE_CONFIG_OPS_H脚本开发、数据加载测试_x000a_"/>
        <s v="S10_VOC_WP_BASE_RELATION,S10_VOC_WP_BUSSINESS_TYPE,S10_VOC_WP_AUTHORIZATION修改表结构开发测试_x000a_"/>
        <s v="1.测试了1个脚本，编写了7条测试案例_x000a_20340_I_V_ANP_CC_CTRCTBS_DIF_x000a_进度:已测完_x000a_2.同步了4张表，并且解决报错_x000a_用途:开发环境铺数_x000a_结果:已完成_x000a_3.数据脱敏核查_x000a_4.协助同事编写SQL解决SQL报错_x000a_5.与开发老师沟通，完成测试工作。"/>
        <s v="给运管部老师提供取数逻辑"/>
        <s v="报表明细查看功能设计"/>
        <s v="1、配置化表格同时开放筛选和全屏功能、过程监测页面数据导出优化、掌上行经营单位指标表格，支持按照列的指标排序图标重叠优化功能测试_x000a_2、掌上行智能问数明细提问回复支持表格数据导出功能测试_x000a_3、司库移动端3月27号版本用例编写"/>
        <s v="姚蔚--网银埋点报错数据：需求分析，脚本编写，数据查询，核对数据_x000a_"/>
        <s v="MIS_F_CUST_INSTL_INFO脚本修改"/>
        <s v="1、梳理dataops流程操作内容；"/>
        <s v="开发未结清融资凭证信息表脚本"/>
        <s v="新入表采集平台开发，抽取测试数据并验证数据准确性_x000a_表清单：td_center_balance,td_trans_info"/>
        <s v="1. 互联网核心全量历史销户数据加载处理"/>
        <s v="O_IND_LOAN_BAL_BW,F_IND_LOAN_BAL_BW数据加载并进行验证"/>
        <s v="测试孤岛环境加数及取数的脚本逻辑，孤岛执行取数复测脚本。优化chk层表结构"/>
        <s v="计财板块-下钻页面（合意贷模型）:修改一个模型设计对公合意贷模型 新增字段：房地产贷款标签科创贷款标识投放金额投放金额X投放利率本年新发生标识_x000a_"/>
        <s v="开发周报沟通，4月版内容相关沟通，需求分析对公开户优化，配合测试"/>
        <s v="E_INF_HDQ_FPS_LC_HOLD_INFO,E_INF_HDQ_FPS_LC_CFM_PROFIT同步上游数据，跑20260311-20260314共4天的数据，卸数"/>
        <s v="1.处理生产角色申请权限内容_x000a_2.掌上行支行作战室，配置对公集中度表格内容"/>
        <s v="CCM_FOREX_TX_NEW原先未入整合字段重新开发"/>
        <s v="ETL处理较上年特殊处理。"/>
        <s v="新兴板块-下钻页面指标、管理指标:测试-ETL加工（包括UAT、PI、PP）【转基金及穿透】_x000a_"/>
        <s v="1、X20260126000032-关于查控中台新增理财信息查询的业务需求书_x000a_2、X20251212000034-关于调整养老金代发账户合约逻辑的需求  --架构确认"/>
        <s v="口径调研及mapping整理-凭证贸易背景信息表（发生额情况表）_x000a_"/>
        <s v="与数服实时AUM接口联调测试"/>
        <s v="修改作业：_x000a_APPCRM.E_CRM_C_MNGR_PH_LOAN_DTL (普惠客户经理普惠贷款明细)  _x000a_提测验数联调测试"/>
        <s v="1.进行区域特色1231季报指标的差异明细分析，主要推进Q07a/Q48/Q55/Q32指标的口径确认、差异缩小和复测"/>
        <s v="1、新旧线集市比对_x000a_2、月报分行修正任务处理_x000a_3、日常运维_x000a_4、组周例会"/>
        <s v="网银在线提额接口联调及尽调表逻辑编写"/>
        <s v="信用卡邮件账单输出标志_x000a_电子邮箱地址是否正常"/>
        <s v="看板描述:_x000a_    ,稳增长报表优化_x000a_    ,数仓表:UDAS_F_LS_LOAN_DTL_INFO下线, UDAS报表下线可替代分析:_x000a_        ,个贷贷款余额灵活查询明细表(平台贷)_x000a_            ,零售贷款余额灵活查询明细表（平台贷）（新） -- 可替代_x000a_        ,平台贷产品资产质量情况表_x000a_            ,平台贷产品资产质量情况表（新） -- 可替代_x000a_        ,平台贷产品资产质量变动情况表_x000a_            ,平台贷产品资产质量变动情况表（新） -- 可替代_x000a_        ,个贷资产质量情况表(平台贷)_x000a_            ,平台贷产品资产质量情况表（新） -- 可替代_x000a_    ,&quot;掌上行不良化解报表自动化&quot;需求初步分析"/>
        <s v="1.海豚调度功能适配_x000a_2.日常开发问题协助排查_x000a_3.mrs跑批指标统计,导出数据数据对比prod,异常数据梳理,脚本及数据比对_x000a_"/>
        <s v="开发宁波信号分发，开启甄别流程后回执信息的处理和数据文件卸数的任务。"/>
        <s v="郭海晖-乐龄版皮肤组件埋点含养老生态数据提取"/>
        <s v="测试法人抵质押物表0228数据，修复之前遗留表级分组S67问题，并完成测试"/>
        <s v="页面测试（数据、图表）机构KPI-标准存款_x000a_页面回填文档编写零售条线KPI-零售标准存款"/>
        <s v="代发报表功能开发"/>
        <s v="抖音放心借脚本开发"/>
        <s v="测试票易贷迁移"/>
        <s v="1,、入职登记_x000a_2、熟悉主要工作业务，了解涉及征信内容的相关数据规范，_x000a_3、了解主要工作内容，数仓分层模式及行内的建表规范，数据报送路径等。"/>
        <s v="INF_ASSOC_P_DEPOSIT_BIZ_QUARTER数据验证、提测"/>
        <s v="专项任务-陈姿-高停发企业，高风险数据准备，验数，看板搭建"/>
        <s v="京小贷脚本开发测试"/>
        <s v="计财板块-下钻页面（合意贷模型）:测试-配合上游/业务验证一个模型数据(包括加载，跑数，测试环境验证)对公合意贷模型"/>
        <s v="标准化企信余额、债券投资余额20260131追数"/>
        <s v="追数脚本编写，生产数据跟踪，问题反馈，业务问题回复。"/>
        <s v="20260317-【存量债券投资信息】0131新线和旧线数据结果表和接口表分别比对，比对指标有（债券品种，信用评级，企业规模），调研新旧线代码找出口径差异。"/>
        <s v="关于抖音月付等产品新增清退规则的需求_x0009_零售信贷部/高梦瑶_x0009_敏态需求_x0009__x0009_集市、大数据_x0009_周影_x0009__x0009_独立_x000a_关于蚂蚁系产品功能优化_x0009_零售信贷部/杨自立_x0009_敏态需求_x0009__x0009_集市、数仓_x0009_周影_x0009__x0009_独立_x000a_关于新增客服境外临调预约修改功能的需求_x0009_信用卡中心/宋娇_x0009_敏态需求_x0009__x0009_大数据_x0009_周影_x0009__x0009_独立_x000a_基金可用份额展示功能优化_x0009_财富管理与私人银行部/何雯艳_x0009_敏态需求_x0009__x0009_集市_x0009_周影_x0009__x0009_独立_x000a_X20251024000009产品中心权限改造及功能优化项目"/>
        <s v="2、脚本开发类工作_x000a_    脚本开发开发中1个：数仓RDI_SECU_TRUST_CUST脚本翻写到大数据"/>
        <s v="1.SK03_WRNT_CTR_INFO 担保合同开发_x000a_2.投资账户持有明细表  脚本开发"/>
        <s v="投行接口测试，CDI_IBBM_ACCT_H及CDI_PRFT_S84"/>
        <s v="CCM_PA_C_MNGR_Y_NEW_DEPOSIT验数"/>
        <s v="进行测试数据入库。"/>
        <s v="落标相关28个脚本修改"/>
        <s v="1.名单管理搜索项客户名称脱敏处理，修改铁匠_x000a_2.新增vue文件，修改代码"/>
        <s v="E_PRM_PRMS_DYYF_CUST_CLEAR_LIST新增6要素规则脚本修改以及数据验证"/>
        <s v="CBC新增对标及落标检核_x000a_对公业务场景新增对标"/>
        <s v="指标调整配置、测试"/>
        <s v="DSM_EskAccBalIntf_001司库-账户历史余额查询接口添加查询条件"/>
        <s v="征信系统中证信评分批量接口代码开发、测试_x000a_征信系统中征码查询展示错误修改、测试"/>
        <s v="麻烦帮忙按最新数据节点，提取以下数据，谢谢_x000a_  261之前（所有一类户均在2016年12月1日之前开户）超数量的未销户个人活期人民币账户中，未设非柜面限额且未被管控且近180天内未做过调额或解管控的账户明细。_x000a_  字段包括：客户号、机内账号、卡产品、开户日期、开户网点中文名称、开户行中文名称、介质号后四位、电子渠道限额、AUM、最近一次交易时间_x000a_"/>
        <s v="风险缓释凭证交易合约信息 新增 投行组别 的 交易记录编号、名义本金金额、币种代码、起始日期、到期日期、计划名义本金金额字段"/>
        <s v="专项任务-魏巍-25、26年长尾触达客户提级情况提取,今日已完成,已通过云文档交付_x000a_专项任务-朱琳君-电子投诉信息核查提取,今日已完成,已通过云文档交付"/>
        <s v="S84_INTD_BOND_BASIC_INFO_x000a_S84_INTD_ISSUE_APPLY_x000a_S84_INTD_DURA_FEE_PLAN_CHANGE_x000a_S84_INTD_DURA_FEE_WRITE_OFF --修改表结构"/>
        <s v="1、每日卡校验及反馈数据汇总及分析；_x000a_2、人行两端核对数据量差异分析；_x000a_3、字节跳动补报逻辑编辑验证。"/>
        <s v="A0838Y007-征信异议退回接口开发_x000a_"/>
        <s v="1.X20250109000004-狮桥个人车主贷需求-征信报送数据重新加载，脚本跑批验数，反馈给源系统，重新卸数。20260410_x000a_fidi_etl /fidi/cacrs_crpbc/lgy/etl/i_lnacc_w_xgd.sql &quot;--hivevar SHDATA=SHDATA --hivevar FIDI_CRPBC=FIDI_CACRS_CRPBC --hivevar V_CURR_DATE=20260410 --hivevar V_YEST_DATE=20260409&quot; /fidi/cacrs_crpbc/lgy/log/20260410/etl_i_lnacc_w_xgd_20260410.log_x000a_fidi_etl /fidi/cacrs_crpbc/lgy/etl/i_lnacc_w.sql &quot;--hivevar SHDATA=SHDATA --hivevar FIDI_CRPBC=FIDI_CACRS_CRPBC --hivevar V_CURR_DATE=20260410 --hivevar V_YEST_DATE=20260409&quot; /fidi/cacrs_crpbc/lgy/log/20260410/etl_i_lnacc_w_20260410.log_x000a_fidi_etl /fidi/cacrs_crpbc/lgy/etl/i_rltrepymt_w.sql &quot;--hivevar SHDATA=SHDATA --hivevar FIDI_CRPBC=FIDI_CACRS_CRPBC --hivevar V_CURR_DATE=20260410 --hivevar V_YEST_DATE=20260409&quot; /fidi/cacrs_crpbc/lgy/log/20260410/etl_i_rltrepymt_w_20260410.log_x000a_fidi_etl /fidi/cacrs_crpbc/lgy/etl/i_acctspectrstdspn_a.sql &quot;--hivevar SHDATA=SHDATA --hivevar FIDI_CRPBC=FIDI_CACRS_CRPBC --hivevar V_CURR_DATE=20260410 --hivevar V_YEST_DATE=20260409&quot; /fidi/cacrs_crpbc/lgy/log/20260410/etl_i_acctspectrstdspn_a_20260410.log_x000a_fidi_etl /fidi/cacrs_crpbc/lgy/etl/i_c_anp_ci_acctbs.sql &quot;--hivevar SHDATA=SHDATA --hivevar FIDI_CRPBC=FIDI_CACRS_CRPBC --hivevar V_CURR_DATE=20260410 --hivevar V_YEST_DATE=20260409&quot; /fidi/cacrs_crpbc/lgy/log/20260410/etl_i_c_anp_ci_acctbs_20260410.log_x000a_fidi_etl /fidi/cacrs_crpbc/lgy/etl/i_c_anp_ci_acctbs_dbt.sql &quot;--hivevar SHDATA=SHDATA --hivevar FIDI_CRPBC=FIDI_CACRS_CRPBC --hivevar V_CURR_DATE=20260410 --hivevar V_YEST_DATE=20260409&quot; /fidi/cacrs_crpbc/lgy/log/20260410/etl_i_c_anp_ci_acctbs_dbt_20260410.log_x000a_fidi_etl /fidi/cacrs_crpbc/lgy/etl/i_c_anp_ci_acctbsinf.sql &quot;--hivevar SHDATA=SHDATA --hivevar FIDI_CRPBC=FIDI_CACRS_CRPBC --hivevar V_CURR_DATE=20260410 --hivevar V_YEST_DATE=20260409&quot; /fidi/cacrs_crpbc/lgy/log/20260410/etl_i_c_anp_ci_acctbsinf_20260410.log_x000a_fidi_etl /fidi/cacrs_crpbc/lgy/etl/i_c_anp_ci_acctdbtinf.sql &quot;--hivevar SHDATA=SHDATA --hivevar FIDI_CRPBC=FIDI_CACRS_CRPBC --hivevar V_CURR_DATE=20260410 --hivevar V_YEST_DATE=20260409&quot; /fidi/cacrs_crpbc/lgy/log/20260410/etl_i_c_anp_ci_acctdbtinf_20260410.log_x000a_fidi_etl /fidi/cacrs_crpbc/lgy/etl/i_c_anp_ci_acctmthlyblginf.sql &quot;--hivevar SHDATA=SHDATA --hivevar FIDI_CRPBC=FIDI_CACRS_CRPBC --hivevar V_CURR_DATE=20260410 --hivevar V_YEST_DATE=20260409&quot; /fidi/cacrs_crpbc/lgy/log/20260410/etl_i_c_anp_ci_acctmthlyblginf_20260410.log_x000a_fidi_etl /fidi/cacrs_crpbc/lgy/etl/i_c_anp_ci_motgacltalctrctinf.sql &quot;--hivevar SHDATA=SHDATA --hivevar FIDI_CRPBC=FIDI_CACRS_CRPBC --hivevar V_CURR_DATE=20260410 --hivevar V_YEST_DATE=20260409&quot; /fidi/cacrs_crpbc/lgy/log/20260410/etl_i_c_anp_ci_motgacltalctrctinf_20260410.log_x000a_fidi_etl /fidi/cacrs_crpbc/lgy/etl/i_c_anp_ci_rltrepymtinf.sql &quot;--hivevar SHDATA=SHDATA --hivevar FIDI_CRPBC=FIDI_CACRS_CRPBC --hivevar V_CURR_DATE=20260410 --hivevar V_YEST_DATE=20260409&quot; /fidi/cacrs_crpbc/lgy/log/20260410/etl_i_c_anp_ci_rltrepymtinf_20260410.log_x000a_fidi_etl /fidi/cacrs_crpbc/lgy/etl/i_c_anp_ci_acctspectrstdspn.sql &quot;--hivevar SHDATA=SHDATA --hivevar FIDI_CRPBC=FIDI_CACRS_CRPBC --hivevar V_CURR_DATE=20260410 --hivevar V_YEST_DATE=20260409&quot; /fidi/cacrs_crpbc/lgy/log/20260410/etl_i_c_anp_ci_acctspectrstdspn_20260410.log_x000a_fidi_etl /fidi/cacrs_crpbc/lgy/etl/i_vt_anp_ci_rptdatecode.sql &quot;--hivevar SHDATA=SHDATA --hivevar FIDI_CRPBC=FIDI_CACRS_CRPBC --hivevar V_CURR_DATE=20260410 --hivevar V_YEST_DATE=20260409&quot; /fidi/cacrs_crpbc/lgy/log/20260410/etl_i_vt_anp_ci_rptdatecode_20260410.log_x000a_fidi_etl /fidi/cacrs_crpbc/lgy/etl/i_v_anp_ci_acctbs.sql &quot;--hivevar SHDATA=SHDATA --hivevar FIDI_CRPBC=FIDI_CACRS_CRPBC --hivevar V_CURR_DATE=20260410 --hivevar V_YEST_DATE=20260409&quot; /fidi/cacrs_crpbc/lgy/log/20260410/etl_i_v_anp_ci_acctbs_20260410.log_x000a_fidi_etl /fidi/cacrs_crpbc/lgy/etl/i_v_anp_ci_acctbsinf.sql &quot;--hivevar SHDATA=SHDATA --hivevar FIDI_CRPBC=FIDI_CACRS_CRPBC --hivevar V_CURR_DATE=20260410 --hivevar V_YEST_DATE=20260409&quot; /fidi/cacrs_crpbc/lgy/log/20260410/etl_i_v_anp_ci_acctbsinf_20260410.log_x000a_fidi_etl /fidi/cacrs_crpbc/lgy/etl/i_v_anp_ci_acctdbtinf.sql &quot;--hivevar SHDATA=SHDATA --hivevar FIDI_CRPBC=FIDI_CACRS_CRPBC --hivevar V_CURR_DATE=20260410 --hivevar V_YEST_DATE=20260409&quot; /fidi/cacrs_crpbc/lgy/log/20260410/etl_i_v_anp_ci_acctdbtinf_20260410.log_x000a_fidi_etl /fidi/cacrs_crpbc/lgy/etl/i_v_anp_ci_acctmthlyblginf.sql &quot;--hivevar SHDATA=SHDATA --hivevar FIDI_CRPBC=FIDI_CACRS_CRPBC --hivevar V_CURR_DATE=20260410 --hivevar V_YEST_DATE=20260409&quot; /fidi/cacrs_crpbc/lgy/log/20260410/etl_i_v_anp_ci_acctmthlyblginf_20260410.log_x000a_fidi_etl /fidi/cacrs_crpbc/lgy/etl/i_v_anp_ci_motgacltalctrctinf.sql &quot;--hivevar SHDATA=SHDATA --hivevar FIDI_CRPBC=FIDI_CACRS_CRPBC --hivevar V_CURR_DATE=20260410 --hivevar V_YEST_DATE=20260409&quot; /fidi/cacrs_crpbc/lgy/log/20260410/etl_i_v_anp_ci_motgacltalctrctinf_20260410.log_x000a_fidi_etl /fidi/cacrs_crpbc/lgy/etl/i_v_anp_ci_rltrepymtinf.sql &quot;--hivevar SHDATA=SHDATA --hivevar FIDI_CRPBC=FIDI_CACRS_CRPBC --hivevar V_CURR_DATE=20260410 --hivevar V_YEST_DATE=20260409&quot; /fidi/cacrs_crpbc/lgy/log/20260410/etl_i_v_anp_ci_rltrepymtinf_20260410.log_x000a_fidi_etl /fidi/cacrs_crpbc/lgy/etl/i_v_anp_ci_acctspectrstdspn.sql &quot;--hivevar SHDATA=SHDATA --hivevar FIDI_CRPBC=FIDI_CACRS_CRPBC --hivevar V_CURR_DATE=20260410 --hivevar V_YEST_DATE=20260409&quot; /fidi/cacrs_crpbc/lgy/log/20260410/etl_i_v_anp_ci_acctspectrstdspn_20260410.log_x000a_fidi_etl /fidi/cacrs_crpbc/lgy/etl/i_p_anp_ci_acctbs.sql &quot;--hivevar SHDATA=SHDATA --hivevar FIDI_CRPBC=FIDI_CACRS_CRPBC --hivevar V_CURR_DATE=20260410 --hivevar V_YEST_DATE=20260409&quot; /fidi/cacrs_crpbc/lgy/log/20260410/etl_i_p_anp_ci_acctbs_20260410.log_x000a_fidi_etl /fidi/cacrs_crpbc/lgy/etl/i_p_anp_ci_acctbsinf.sql &quot;--hivevar SHDATA=SHDATA --hivevar FIDI_CRPBC=FIDI_CACRS_CRPBC --hivevar V_CURR_DATE=20260410 --hivevar V_YEST_DATE=20260409&quot; /fidi/cacrs_crpbc/lgy/log/20260410/etl_i_p_anp_ci_acctbsinf_20260410.log_x000a_fidi_etl /fidi/cacrs_crpbc/lgy/etl/i_p_anp_ci_acctdbtinf.sql &quot;--hivevar SHDATA=SHDATA --hivevar FIDI_CRPBC=FIDI_CACRS_CRPBC --hivevar V_CURR_DATE=20260410 --hivevar V_YEST_DATE=20260409&quot; /fidi/cacrs_crpbc/lgy/log/20260410/etl_i_p_anp_ci_acctdbtinf_20260410.log_x000a_fidi_etl /fidi/cacrs_crpbc/lgy/etl/i_p_anp_ci_acctmthlyblginf.sql &quot;--hivevar SHDATA=SHDATA --hivevar FIDI_CRPBC=FIDI_CACRS_CRPBC --hivevar V_CURR_DATE=20260410 --hivevar V_YEST_DATE=20260409&quot; /fidi/cacrs_crpbc/lgy/log/20260410/etl_i_p_anp_ci_acctmthlyblginf_20260410.log_x000a_fidi_etl /fidi/cacrs_crpbc/lgy/etl/i_p_anp_ci_motgacltalctrctinf.sql &quot;--hivevar SHDATA=SHDATA --hivevar FIDI_CRPBC=FIDI_CACRS_CRPBC --hivevar V_CURR_DATE=20260410 --hivevar V_YEST_DATE=20260409&quot; /fidi/cacrs_crpbc/lgy/log/20260410/etl_i_p_anp_ci_motgacltalctrctinf_20260410.log_x000a_fidi_etl /fidi/cacrs_crpbc/lgy/etl/i_p_anp_ci_rltrepymtinf.sql &quot;--hivevar SHDATA=SHDATA --hivevar FIDI_CRPBC=FIDI_CACRS_CRPBC --hivevar V_CURR_DATE=20260410 --hivevar V_YEST_DATE=20260409&quot; /fidi/cacrs_crpbc/lgy/log/20260410/etl_i_p_anp_ci_rltrepymtinf_20260410.log_x000a_fidi_etl /fidi/cacrs_crpbc/lgy/etl/i_p_anp_ci_acctspectrstdspn.sql &quot;--hivevar SHDATA=SHDATA --hivevar FIDI_CRPBC=FIDI_CACRS_CRPBC --hivevar V_CURR_DATE=20260410 --hivevar V_YEST_DATE=20260409&quot; /fidi/cacrs_crpbc/lgy/log/20260410/etl_i_p_anp_ci_acctspectrstdspn_20260410.log_x000a__x000a_2. X20250109000004-狮桥个人车主贷需求-征信报送数据提取。"/>
        <s v="计财板块-下钻页面（合意贷模型）:修改一个物理表O_CORP_CO_LOAN_BAL,F_CORP_CO_LOAN_BAL 新增房地产贷款标签科创贷款标识投放金额B_CORP_CO_LOAN_BAL 新增房地产贷款标签科创贷款标识投放金额投放金额X投放利率本年新发生标识"/>
        <s v="普惠贷款进度表--分行BI维护（新增团队字段），普惠零售经营贷余额监测表bi看板维护（修改数据日期范围）"/>
        <s v="E变更当前处理人新增实时接口的需求分析"/>
        <s v="周会_x000a_过关于udas业务量指标查询的优化需求"/>
        <s v="MRP_B_SGD_BYBK_rr_BAL开发"/>
        <s v="专项任务-胡雯-CHAIN模型新增字段，修改4张物理表、2个存储过程、2个视图，PP环境代码测试。"/>
        <s v="E_CRM_P_PAD_EXPAN_SIGNjiaobe脚本开发测试"/>
        <s v="1.生产问题排查：YYZC-20260316-03 深圳分行深圳滨海支行综合部生产后台数据修改申请202600002（旧线未报送授信关闭，新线挡板关闭，需走手工报文）_x000a_2.银承1笔整笔删除沟通：前期业务提供错误账户标识码，根据信息提供新标识码给业务确认是否整笔删除，业务不能确认，暂不处理_x000a_3.授信协议改造现状梳理_x000a_4.卡校验数据分析"/>
        <s v="专项任务-陈姿-信义贷看板手动更新数据；专项任务-陈姿-网点排队时长看更新，底表使用机构树org_id_5,org_nm_2,org_nm_4,org_nm_5字段，会有重复数据，导致数据跟之前看板数据对不上，已完成调整，机构表去重数据无误"/>
        <s v="信用卡卡片基本信息_新增字段脚本开发"/>
        <s v="卡校验20260314数据整理_x000a_月版上线删除临时表评审_x000a_卡校验治理到期日期变更月数类_x000a_卡校验治理410剩余其他类型处理方案分析_x000a_上海誉苏实业有限公司（配合核查，CP系统中征信报告数据不对）_x000a_光明食品（集团）有限公司做整笔删除及新增客户报文_x000a_上海瑞镫特科技有限公司做整笔删除及新增客户报文_x000a_卡校验治理_440_联保标志829笔做关闭报文_x000a_卡校验治理_410_到期日期变更月数1笔做关闭报文（2025-05-06特殊交易段数据错误导致）_x000a_卡校验治理_410_账户类型关闭做49笔关闭报文_x000a_查询20笔转垫款借据报送情况"/>
        <s v="制度升级包含的20260101补报季报的任务下发，重新配置2025年补报季报合并报表任务并下发给到老师填报数据，修改总分行7101报表S70报表G1101报表的校验配置，因补报的为20260101的数据日期但取上年同期的数据可能会取不到，需加函数做判断如果上年同期数据取不到则取最近日期上年末的数据来参与比较。"/>
        <s v="企业对公模型新增企业网银签约标识_x000a_企业网银签约日期 _x000a_近12个月企业网银登录次数_x000a_近12个月企业网银转账交易笔数_x000a_近12个月企业网银转账交易金额_x000a_近12个月企业网银代发交易笔数_x000a_近12个月企业网银代发交易金额_x000a_近12个月企业网银票据交易笔数_x000a_近12个月企业网银票据交易金额_x000a_近12个月企业网银国结交易笔数 _x000a_近12个月企业网银国结交易金额 _x000a_近12个月企业网银存款理财交易笔数（剔除存款支取与理财赎回交易类型）_x000a_近12个月企业网银存款理财交易金额（剔除存款支取与理财赎回交易类型）字段取数逻辑开发"/>
        <s v="经管平台支持报表收缩展开适配报表版本"/>
        <s v="专项任务--徐冬-民营客户贷款评分模型看板  --民营客户贷款评分模型看板（进行中）_x000a_专项任务--高悦--经营性物业贷款租金收入监测看板  --经营性物业贷款租金收入监测看板(进行中)"/>
        <s v="买入返售（'债券逆回购','同业存单逆回购','跨境买断式逆回购','票据逆回购'）字段差异比对_x000a_其中，'跨境买断式逆回购'到期日期差异原因分析_x000a_"/>
        <s v="验证首页提醒及客户360视图提醒脱敏功能及问题修复验证"/>
        <s v="涉及脚本：AML_TRANS_virtual_INFO _x000a_修改脚本逻辑  ,跑批数据，自测数据，卸载数据，配合下游测试"/>
        <s v="1.数据中台的所有表结构数据同步到UAT环境_x000a_2.银行账户表的数据验证_x000a_3.投资信息表的表结构开发（包含所有用户）"/>
        <s v="DWS CCM集市清包袱：CCM_C_IMP_CUST_IND_x0009_对公客户重点关注标识信息表 迁移开发"/>
        <s v="流水鉴真表视图验证"/>
        <s v="需求概要设计及白皮书编写_x000a_MLM_TD_SHZ_PROTECT_FEATURE_INFO     反电诈风险模型特征宽表 "/>
        <s v="数据迁移补充与数据验证，并切换表名， 已完成 100%"/>
        <s v="TP05_SRP_ACC_PER_TXN_JRNL_A 代收付账户单笔交易流水，新增映射组S1504，脚本逻辑开发，SIT2环境测试，同步源表数据，跑数20251201-20251231，并通知下游测试_x000a_TP05_SRP_ACC_BLDBTNO_DTL_INF_A 代收付账户混合批次明细，S04组调整第三方客户账号逻辑,S32组替换主表为S32_BPS_BPI_DETAILINFO，SIT2环境测试，跑数20251231，并进行数据验证_x000a_TP03_AGFND_CSACC_HD_BAL_DINF_W 代理基金客户证券账户持券余额衍生信息,修复月积数计算时限制条件错误问题,SIT2环境测试，跑数20251231,并进行数据验证"/>
        <s v="开发black_list_of_cust_info_new_init.py作业_x000a_测试作业black_list_of_cust_info_new"/>
        <s v="1.X20250305000005-江苏金租接入车生态需求:开发产品配置表的数据加载程序，新增3个江苏金租的产品。_x000a_2.X20250305000005-江苏金租接入车生态需求:开发集市“受托支付信息”模型的数据加工程序，新增江苏金租产品的取数逻辑。_x000a_3.X20250305000005-江苏金租接入车生态需求:调整集市“授信信息”模型“S83-17”分组“授信协议号”、“占用额度”字段的取值逻辑。_x000a_4.现金报送需求：新线集市“现金交易明细模型”上线支持。"/>
        <s v="行内合意模型外币合意系数口径调研。"/>
        <s v="1、比对一表通新旧线的重点指标的差异原因，整理案例到与比对过程到云文档中；_x000a_2、与科技老师沟通EAST数据治理改造对区域特色逻辑改动的影响，分析并讨论修改方案与上线时间。"/>
        <s v="托管证券账户表 生产数据20260228期数据核对"/>
        <s v="udas_e_gs_corp_dpst_bal_hd科目调整剔除244001，追数2月末 测试数据验证_x000a_"/>
        <s v="交易宽表授权柜员号改造开发，追数作业下线"/>
        <s v=" 一、核对管控数据，应用给过来的数据认为有问题的一一验证，以及反馈_x000a_   二、分析报表数据，"/>
        <s v="1.更改S72oracle端的存储过程逻辑并验证逻辑准确性_x000a_2.更改S6301oracle端的存储过程逻辑并验证逻辑准确性"/>
        <s v="开发ema_wj_wljy_debed_credit"/>
        <s v="1.代客业务客户模型修改分析_x000a_2.代客业务客户模型评审_x000a_2.修改代客业务客户总分支3个F表、1个B表物理表_x000a_3.修改代客业务客户总行存储过程"/>
        <s v="指标测试、配置调整、验证"/>
        <s v="调整部门KPI考核完成率、线上化率数据接口"/>
        <s v="变更 TP99_HOL_CDR_PARM_W 节假日日历参数表 日期类型代码取值逻辑,将节假日类型5国务院调休日，实际为调休补班，归为工作日。改动后重跑测试数据,发影响性分析供下游测试_x000a_新增 TP07_HR_PST_W 人力资源岗位信息口径 新增口径 Leave_Date | 离职日期 date, 调整排序规则,重跑测试数据供下游验证_x000a_收集紧急变更作业调度,并确认下线作业生产是否有依赖"/>
        <s v="1、核对HLW中产品种类_x000a_2、处理信用卡补报：1、过滤表手工补报报文 2、信用卡白名单清单_x000a_3、业务沟通信用卡补报方案_x000a_"/>
        <s v="投行跑数、白皮书_x000a_下线字段重新影响性分析_x000a_金融市场合约sqlreview_x000a_三方存管查数_x000a_代客交易汇总下游确认"/>
        <s v="APPCRM.E_CRM_P_FUND_INVEST_INFO 脚本开发以及单元测试,联调卸数提测文件等"/>
        <s v="重点指标配合测试、新旧线比对配合测试、一表通转EAST 测试案例编写"/>
        <s v="非贴现式融资账户新增 本金余额月积数 本金余额月积数折人民币 本金余额月积数折折美元 本金余额季积数 本金余额季积数折人民币 本金余额季积数折美元 本金余额年积数 本金余额年积数折人民币 本金余额年积数折美元 脚本开发_x000a_券发行机构信息 新增 总行可投库标识 可投省份 可投城市 可投档位 可投企业性质 可投企业统一社会信用代码 脚本开发_x000a_即期结售汇交易合约信息 新增 冲正时间 脚本开发"/>
        <s v="1、写需求文档：AI外呼--360视图部分；_x000a_2、根据排查到的网点服务专员客户列表的展示逻辑与业务沟通，并制定优化方案；_x000a_3、排查云掌柜涉及展示客户信息的展示，是否进行脱敏处理，包括但不限于客户姓名、手机号、身份证、卡账号等"/>
        <s v="1、开发新增落标表脚本，测试环境验证，对标检查，提供数据联调_x000a_s51_ccss_fk_deci_resp_result_init.sql_x000a_s71_nftp_cm_curve_def_h_init.sql_x000a_s71_nftp_cm_curve_data_h_init.sql_x000a_s51_ccss_fk_deci_resp_result.sql_x000a_s71_nftp_cm_curve_def_h.sql_x000a_s71_nftp_cm_curve_data_h.sql"/>
        <s v="按业务要求调整纳统指标码值配置表、机构关系映射表，修改映射函数。"/>
        <s v="脚本开发开发中2个：代客外汇期权表,新增接口，批量脚本及初始化建表脚本开发"/>
        <s v="1.UDAS_M_BOS_TX_SUM_CKJY_HIS 当期存款交易的数据 报表逻辑重构，脚本开发，测试"/>
        <s v="CDI_CRD_CARD_ACCT_FIN_BAL_H和CDI_CRD_CARD_ACCT_H_x000a_CDI_P_LOAN_ACCT_H、CDI_P_LOAN_ACCT_BAL_H跑数"/>
        <s v="区域特色新旧线差异测试_x000a_验证1231季报指标缺陷问题_x000a_抵质押物表新版数据验证"/>
        <s v="1.配合测试调试客户历史跟踪详情页面优化需求"/>
        <s v="机构KPI提数_x000a_有贷户净增"/>
        <s v="脚本跑数，白皮数，cab,需求概要设计"/>
        <s v="新兴板块-下钻页面指标、管理指标:新增一个模型设计【商投行联动获客数】"/>
        <s v="国补贴息联调测试，概要设计编写，脚本提测"/>
        <s v=" 对602 表内外业务担保人 进行表级比对验证、字段级比对验证"/>
        <s v="利率报备明细-数据加载与测试-应用层个人贷款基础信息表/个人贷款余额信息表/个人贷款放款信息表_x000a_利率报备明细-协助业务UAT测试-应用层个人贷款基础信息表/个人贷款余额信息表/个人贷款放款信息表"/>
        <s v="MRP清包袱涉及整合物理模型，逻辑模型相关文档维护_x000a_基金专户底层信用债余额信息_x000a_代客中收信息表"/>
        <s v="旧线：【代理代销交易信息表】“分组2：财私代理代销基金&amp;代理资产管理计划（基金销售系统）”配合测试；_x000a_"/>
        <s v="开发新增落标表S84_SYS_USER_H_x000a_S23_IROB_PERMIT_INVEST_x000a_S34_B2C_SHORTCUTPAYSTD_SIGN_H_x000a_S34_B2C_PAY_PROTOCOL_INFO_H_x000a_解决监管使用 VP09_FMS_VOUCHERO_W 数据问题"/>
        <s v="sk03_acc_hist_bal     账户历史余额12点批_x000a_sk03_acc_hist_bal_7 账户历史余额7点批_x000a_sk05_crn_acc_txn_dtl 活期账户交易增加合并逻辑_x000a_账户历史余额合并，增加优先从S88+S04取值，在从非直联表中取值逻辑_x000a_生产数据验证"/>
        <s v="对公板块-总行KPI调整:测试-配合上游联调（包括UAT、PI、PP）-KPI外部泛化接口表（SP_B_GENERALIZE_IDX_EXT_CRM36）"/>
        <s v="1.开发TP11_IDV_LN_GURT_EVLT_RSLT_INF_PLTF_W 个人贷款担保物评估结果信息(平台贷)新实体_x000a_2.开发tp11_idv_ln_gurt_evlt_rslt_inf_pltf_w_predate_check.sh脚本_x000a_3.投产0316紧急变更"/>
        <s v="1月科技贷款核查表核对"/>
        <s v="因贴源层修改存储策略导致的宅团队的bi问题修复；平时要用的shdata表整理_x000a__x000a_"/>
        <s v="1.NRP集市作业开发_x000a_(1).住房贷款申请明细卸数中间表NRP_UDAS_LODGING_LOAN_APPLY_DTL零售信贷合作方营销来源代码、是否涉及营销转介、是否涉及MGM字段新增兜底逻辑；_x000a_(2).住房贷款申请明细卸数中间表NRP_UDAS_LODGING_LOAN_APPLY_DTL上游测试数据重跑，联调测试，重新卸数；_x000a_"/>
        <s v="大数据脚本开发UDAS_F_GS_INVE_BANK_BIZ"/>
        <s v="1.维护客户视图报告代码，查询前端代码逻辑。"/>
        <s v="E_PRM_DYFXJ_BCARD_SCORE标杆数据核对，逻辑调整"/>
        <s v="S04_KDPA_CB_ACCT_INFO_SPLMTY修改开发测试"/>
        <s v="票易贷迁移跑数测试12张表"/>
        <s v="个人贷款交易住房贷款、住房贷款投放利率数据验证。住房贷款交易相关ETL代码分析。"/>
        <s v="RDI_CHAIN_ACCT 数据核对，以及脚本开发"/>
        <s v="落标相关22个脚本修改"/>
        <s v="专项任务--李瑞敏--司库:司库引擎流程设计-规则检核流程设计； _x000a_专项任务--李瑞敏--司库:杭州银行财资系统对外接口需求初步分析； _x000a_专项任务--李瑞敏--司库:奉贤区国资委报送报表查询条件设计；_x000a_ 专项任务--李瑞敏--司库:贷款融资成本分析-计算区业务明细表调研-贷款合同信息、融资信息、还款明细"/>
        <s v="刘张杰-满意度看板_x000a_顾玄怡-看板使用情况看板"/>
        <s v="利率报备明细-数据加载与测试-应用层个人贷款基础信息表/个人贷款余额信息表/个人贷款放款信息表_x000a_利率报备明细-协助业务UAT测试-应用层个人贷款基础信息表/个人贷款余额信息表/个人贷款放款信息表_x000a_"/>
        <s v="同业产品质押式报价回购余额及分成表_x000a_企业信用受益权投资余额及分成表_x000a_银登对公资产流转余额及分成表_x000a_理财回表资产余额及分成表_x000a_迁移后映射文档编写"/>
        <s v="薛晓婷--收费客户数据：需求分析，脚本编写，数据查询，核对数据_x000a_"/>
        <s v="1.PP集群异常问题处理_x000a_2.批量模板中收集统计信息方式调整"/>
        <s v="PIS_BC_CR_CDTACTCYL开发"/>
        <s v="1、机构变更导致的明细模型数据查询失败缺陷修复测试_x000a_2、掌上行报表收缩展开功能适配报表版本测试及缺陷验证_x000a_3、2025年经营指标体系建设项目第六批次测试案例、测试要点、测试报告、测试计划、验收测试用例文档准备"/>
        <s v="卡校验反馈登记_x000a_江苏金租数据10时点测试_x000a_漏期监测历史跑完22年"/>
        <s v="S90_ICCS_T24_REAL_H脚本开发、数据加载及测试"/>
        <s v="1.X20250109000004-狮桥个人车主贷需求-征信报送数据加载-征信侧数据文件加载，脚本跑批验数。20260410_x000a_fidi_etl /fidi/cacrs_crpbc/lgy/etl/i_lnacc_w_xgd.sql &quot;--hivevar SHDATA=SHDATA --hivevar FIDI_CRPBC=FIDI_CACRS_CRPBC --hivevar V_CURR_DATE=20260410 --hivevar V_YEST_DATE=20260409&quot; /fidi/cacrs_crpbc/lgy/log/20260410/etl_i_lnacc_w_xgd_20260410.log_x000a_fidi_etl /fidi/cacrs_crpbc/lgy/etl/i_lnacc_w.sql &quot;--hivevar SHDATA=SHDATA --hivevar FIDI_CRPBC=FIDI_CACRS_CRPBC --hivevar V_CURR_DATE=20260410 --hivevar V_YEST_DATE=20260409&quot; /fidi/cacrs_crpbc/lgy/log/20260410/etl_i_lnacc_w_20260410.log_x000a_fidi_etl /fidi/cacrs_crpbc/lgy/etl/i_rltrepymt_w.sql &quot;--hivevar SHDATA=SHDATA --hivevar FIDI_CRPBC=FIDI_CACRS_CRPBC --hivevar V_CURR_DATE=20260410 --hivevar V_YEST_DATE=20260409&quot; /fidi/cacrs_crpbc/lgy/log/20260410/etl_i_rltrepymt_w_20260410.log_x000a_fidi_etl /fidi/cacrs_crpbc/lgy/etl/i_acctspectrstdspn_a.sql &quot;--hivevar SHDATA=SHDATA --hivevar FIDI_CRPBC=FIDI_CACRS_CRPBC --hivevar V_CURR_DATE=20260410 --hivevar V_YEST_DATE=20260409&quot; /fidi/cacrs_crpbc/lgy/log/20260410/etl_i_acctspectrstdspn_a_20260410.log_x000a_fidi_etl /fidi/cacrs_crpbc/lgy/etl/i_c_anp_ci_acctbs.sql &quot;--hivevar SHDATA=SHDATA --hivevar FIDI_CRPBC=FIDI_CACRS_CRPBC --hivevar V_CURR_DATE=20260410 --hivevar V_YEST_DATE=20260409&quot; /fidi/cacrs_crpbc/lgy/log/20260410/etl_i_c_anp_ci_acctbs_20260410.log_x000a_fidi_etl /fidi/cacrs_crpbc/lgy/etl/i_c_anp_ci_acctbs_dbt.sql &quot;--hivevar SHDATA=SHDATA --hivevar FIDI_CRPBC=FIDI_CACRS_CRPBC --hivevar V_CURR_DATE=20260410 --hivevar V_YEST_DATE=20260409&quot; /fidi/cacrs_crpbc/lgy/log/20260410/etl_i_c_anp_ci_acctbs_dbt_20260410.log_x000a_fidi_etl /fidi/cacrs_crpbc/lgy/etl/i_c_anp_ci_acctbsinf.sql &quot;--hivevar SHDATA=SHDATA --hivevar FIDI_CRPBC=FIDI_CACRS_CRPBC --hivevar V_CURR_DATE=20260410 --hivevar V_YEST_DATE=20260409&quot; /fidi/cacrs_crpbc/lgy/log/20260410/etl_i_c_anp_ci_acctbsinf_20260410.log_x000a_fidi_etl /fidi/cacrs_crpbc/lgy/etl/i_c_anp_ci_acctdbtinf.sql &quot;--hivevar SHDATA=SHDATA --hivevar FIDI_CRPBC=FIDI_CACRS_CRPBC --hivevar V_CURR_DATE=20260410 --hivevar V_YEST_DATE=20260409&quot; /fidi/cacrs_crpbc/lgy/log/20260410/etl_i_c_anp_ci_acctdbtinf_20260410.log_x000a_fidi_etl /fidi/cacrs_crpbc/lgy/etl/i_c_anp_ci_acctmthlyblginf.sql &quot;--hivevar SHDATA=SHDATA --hivevar FIDI_CRPBC=FIDI_CACRS_CRPBC --hivevar V_CURR_DATE=20260410 --hivevar V_YEST_DATE=20260409&quot; /fidi/cacrs_crpbc/lgy/log/20260410/etl_i_c_anp_ci_acctmthlyblginf_20260410.log_x000a_fidi_etl /fidi/cacrs_crpbc/lgy/etl/i_c_anp_ci_motgacltalctrctinf.sql &quot;--hivevar SHDATA=SHDATA --hivevar FIDI_CRPBC=FIDI_CACRS_CRPBC --hivevar V_CURR_DATE=20260410 --hivevar V_YEST_DATE=20260409&quot; /fidi/cacrs_crpbc/lgy/log/20260410/etl_i_c_anp_ci_motgacltalctrctinf_20260410.log_x000a_fidi_etl /fidi/cacrs_crpbc/lgy/etl/i_c_anp_ci_rltrepymtinf.sql &quot;--hivevar SHDATA=SHDATA --hivevar FIDI_CRPBC=FIDI_CACRS_CRPBC --hivevar V_CURR_DATE=20260410 --hivevar V_YEST_DATE=20260409&quot; /fidi/cacrs_crpbc/lgy/log/20260410/etl_i_c_anp_ci_rltrepymtinf_20260410.log_x000a_fidi_etl /fidi/cacrs_crpbc/lgy/etl/i_c_anp_ci_acctspectrstdspn.sql &quot;--hivevar SHDATA=SHDATA --hivevar FIDI_CRPBC=FIDI_CACRS_CRPBC --hivevar V_CURR_DATE=20260410 --hivevar V_YEST_DATE=20260409&quot; /fidi/cacrs_crpbc/lgy/log/20260410/etl_i_c_anp_ci_acctspectrstdspn_20260410.log_x000a_fidi_etl /fidi/cacrs_crpbc/lgy/etl/i_vt_anp_ci_rptdatecode.sql &quot;--hivevar SHDATA=SHDATA --hivevar FIDI_CRPBC=FIDI_CACRS_CRPBC --hivevar V_CURR_DATE=20260410 --hivevar V_YEST_DATE=20260409&quot; /fidi/cacrs_crpbc/lgy/log/20260410/etl_i_vt_anp_ci_rptdatecode_20260410.log_x000a_fidi_etl /fidi/cacrs_crpbc/lgy/etl/i_v_anp_ci_acctbs.sql &quot;--hivevar SHDATA=SHDATA --hivevar FIDI_CRPBC=FIDI_CACRS_CRPBC --hivevar V_CURR_DATE=20260410 --hivevar V_YEST_DATE=20260409&quot; /fidi/cacrs_crpbc/lgy/log/20260410/etl_i_v_anp_ci_acctbs_20260410.log_x000a_fidi_etl /fidi/cacrs_crpbc/lgy/etl/i_v_anp_ci_acctbsinf.sql &quot;--hivevar SHDATA=SHDATA --hivevar FIDI_CRPBC=FIDI_CACRS_CRPBC --hivevar V_CURR_DATE=20260410 --hivevar V_YEST_DATE=20260409&quot; /fidi/cacrs_crpbc/lgy/log/20260410/etl_i_v_anp_ci_acctbsinf_20260410.log_x000a_fidi_etl /fidi/cacrs_crpbc/lgy/etl/i_v_anp_ci_acctdbtinf.sql &quot;--hivevar SHDATA=SHDATA --hivevar FIDI_CRPBC=FIDI_CACRS_CRPBC --hivevar V_CURR_DATE=20260410 --hivevar V_YEST_DATE=20260409&quot; /fidi/cacrs_crpbc/lgy/log/20260410/etl_i_v_anp_ci_acctdbtinf_20260410.log_x000a_fidi_etl /fidi/cacrs_crpbc/lgy/etl/i_v_anp_ci_acctmthlyblginf.sql &quot;--hivevar SHDATA=SHDATA --hivevar FIDI_CRPBC=FIDI_CACRS_CRPBC --hivevar V_CURR_DATE=20260410 --hivevar V_YEST_DATE=20260409&quot; /fidi/cacrs_crpbc/lgy/log/20260410/etl_i_v_anp_ci_acctmthlyblginf_20260410.log_x000a_fidi_etl /fidi/cacrs_crpbc/lgy/etl/i_v_anp_ci_motgacltalctrctinf.sql &quot;--hivevar SHDATA=SHDATA --hivevar FIDI_CRPBC=FIDI_CACRS_CRPBC --hivevar V_CURR_DATE=20260410 --hivevar V_YEST_DATE=20260409&quot; /fidi/cacrs_crpbc/lgy/log/20260410/etl_i_v_anp_ci_motgacltalctrctinf_20260410.log_x000a_fidi_etl /fidi/cacrs_crpbc/lgy/etl/i_v_anp_ci_rltrepymtinf.sql &quot;--hivevar SHDATA=SHDATA --hivevar FIDI_CRPBC=FIDI_CACRS_CRPBC --hivevar V_CURR_DATE=20260410 --hivevar V_YEST_DATE=20260409&quot; /fidi/cacrs_crpbc/lgy/log/20260410/etl_i_v_anp_ci_rltrepymtinf_20260410.log_x000a_fidi_etl /fidi/cacrs_crpbc/lgy/etl/i_v_anp_ci_acctspectrstdspn.sql &quot;--hivevar SHDATA=SHDATA --hivevar FIDI_CRPBC=FIDI_CACRS_CRPBC --hivevar V_CURR_DATE=20260410 --hivevar V_YEST_DATE=20260409&quot; /fidi/cacrs_crpbc/lgy/log/20260410/etl_i_v_anp_ci_acctspectrstdspn_20260410.log_x000a_fidi_etl /fidi/cacrs_crpbc/lgy/etl/i_p_anp_ci_acctbs.sql &quot;--hivevar SHDATA=SHDATA --hivevar FIDI_CRPBC=FIDI_CACRS_CRPBC --hivevar V_CURR_DATE=20260410 --hivevar V_YEST_DATE=20260409&quot; /fidi/cacrs_crpbc/lgy/log/20260410/etl_i_p_anp_ci_acctbs_20260410.log_x000a_fidi_etl /fidi/cacrs_crpbc/lgy/etl/i_p_anp_ci_acctbsinf.sql &quot;--hivevar SHDATA=SHDATA --hivevar FIDI_CRPBC=FIDI_CACRS_CRPBC --hivevar V_CURR_DATE=20260410 --hivevar V_YEST_DATE=20260409&quot; /fidi/cacrs_crpbc/lgy/log/20260410/etl_i_p_anp_ci_acctbsinf_20260410.log_x000a_fidi_etl /fidi/cacrs_crpbc/lgy/etl/i_p_anp_ci_acctdbtinf.sql &quot;--hivevar SHDATA=SHDATA --hivevar FIDI_CRPBC=FIDI_CACRS_CRPBC --hivevar V_CURR_DATE=20260410 --hivevar V_YEST_DATE=20260409&quot; /fidi/cacrs_crpbc/lgy/log/20260410/etl_i_p_anp_ci_acctdbtinf_20260410.log_x000a_fidi_etl /fidi/cacrs_crpbc/lgy/etl/i_p_anp_ci_acctmthlyblginf.sql &quot;--hivevar SHDATA=SHDATA --hivevar FIDI_CRPBC=FIDI_CACRS_CRPBC --hivevar V_CURR_DATE=20260410 --hivevar V_YEST_DATE=20260409&quot; /fidi/cacrs_crpbc/lgy/log/20260410/etl_i_p_anp_ci_acctmthlyblginf_20260410.log_x000a_fidi_etl /fidi/cacrs_crpbc/lgy/etl/i_p_anp_ci_motgacltalctrctinf.sql &quot;--hivevar SHDATA=SHDATA --hivevar FIDI_CRPBC=FIDI_CACRS_CRPBC --hivevar V_CURR_DATE=20260410 --hivevar V_YEST_DATE=20260409&quot; /fidi/cacrs_crpbc/lgy/log/20260410/etl_i_p_anp_ci_motgacltalctrctinf_20260410.log_x000a_fidi_etl /fidi/cacrs_crpbc/lgy/etl/i_p_anp_ci_rltrepymtinf.sql &quot;--hivevar SHDATA=SHDATA --hivevar FIDI_CRPBC=FIDI_CACRS_CRPBC --hivevar V_CURR_DATE=20260410 --hivevar V_YEST_DATE=20260409&quot; /fidi/cacrs_crpbc/lgy/log/20260410/etl_i_p_anp_ci_rltrepymtinf_20260410.log_x000a_fidi_etl /fidi/cacrs_crpbc/lgy/etl/i_p_anp_ci_acctspectrstdspn.sql &quot;--hivevar SHDATA=SHDATA --hivevar FIDI_CRPBC=FIDI_CACRS_CRPBC --hivevar V_CURR_DATE=20260410 --hivevar V_YEST_DATE=20260409&quot; /fidi/cacrs_crpbc/lgy/log/20260410/etl_i_p_anp_ci_acctspectrstdspn_20260410.log_x000a__x000a_"/>
        <s v="需求概要设计编写"/>
        <s v="新兴板块-下钻页面指标、管理指标:模型评审【代客客户模型黄金租赁有效户逻辑修改】"/>
        <s v="S80_LHZXRABGXX,S80_LHZXRAZHFX等多张表新表入仓数据加载测试，配合联调测试20260215,20260223等日期加载。"/>
        <s v="1、整理月版测试流程；"/>
        <s v="新入表采集平台开发，抽取测试数据并验证数据准确性_x000a_表清单：lhzxrabgxx,lhzxrazhfx"/>
        <s v="1. 账户报送 互联网核心历史全量销户数据取数"/>
        <s v="需求调整内容分析，并确认掌上行配置调整内容"/>
        <s v="口径调研及mapping整理-凭证特殊情况说明表（发生额情况表）_x000a_"/>
        <s v="1.查询新旧线修复问题并重新提缺陷_x000a_2.查询重点指标差异"/>
        <s v="项目需求会议_x000a_"/>
        <s v="新增一个页面配置零售条线KPI-零售标准存款_x000a_页面测试（数据、图表）零售条线KPI-零售标准存款"/>
        <s v="1.掌上行支行作战室，处理资产负债上线后问题_x000a_2.掌上行支行作战室，配置财务收支表格内容"/>
        <s v="新增S+会员等级提升标签分析"/>
        <s v="首页输送转化时点AUM功能"/>
        <s v="CCM_C_DISCNT_ACCT_NEW 数据测试"/>
        <s v="金融市场交易对手信息 新增 投行组别的  交易对手发行人编号、交易对手名称、客户编号、国家代码、行业类型代码、交易对手方客户简称的字段下游联调测试"/>
        <s v="网银在线提额接口联调及流程逻辑编写"/>
        <s v="1.参加公司部的周例会，陈总强调实施团队例会和分管客户对照标准打分；_x000a_2.1号文和2号文解读和方案编写；_x000a_3.下午4:00开始，参加业技融合例会。"/>
        <s v="作业：MRP_IFBM_PROD_FLOW 同业流水作业合并：MRP_B_T_IBK_BORR_FLOW、MRP_B_N_TRANS_LOAN_FLOW. 填写映射文档"/>
        <s v="对公存款普通企业存款模型标签卡影响分析"/>
        <s v="进行存量个人贷款信息慧信比对。"/>
        <s v="1.衍生区初始化脚本适配gsql_x000a_2.日常开发问题协助排查"/>
        <s v="S14_TBVIRBANKACCMAP  表入湖脚本开发测试，实时作业接入测试"/>
        <s v="看板描述:_x000a_    ,稳增长相关报表优化_x000a_    ,机构树改造:_x000a_        ,信用卡逾期口径核对: 余额, 逾期, 不良, 关注等自动指标一致. 变动指标不一致. 具体情况还需要和老师确认._x000a_            ,核对文档:202602经营单位数(核对).xls_x000a_    ,明细模型停用下线操作: 已完成, 邮件已发_x000a_        ,20260316_明细模型下线配置(表不存在).xls_x000a_        ,20260316_明细模型下线配置(表存在).xls"/>
        <s v="开发宁波信号处理入库，信号分发等相关开发脚本以及sql脚本"/>
        <s v="胡文琪-25年短信费用预算数据提取_x000a_赵利梅-手机银行APP新户同步数据监测数据提取 "/>
        <s v="1、潘修滔关于S81的集成需求，沟通了一轮，后续确认可不做_x000a_2、林幸的结售汇口径确认_x000a_3、胡庆关于关联企业客户编号优化的诉求"/>
        <s v="慧信新旧线表级差异比对、检核结果差异比对、缺陷验证及处理"/>
        <s v="S19_TPC_x0009_7_x0009_修改采集表-_x0009_&quot;TBWISDDCLIENTINFO_x000a_TBWISDDBASICINFO_x000a_TBWISBNFALLOCATION_x000a_TBWISDDINSURANCE_x000a_TBWISOTHERPARTY_x000a_TBWISTRUSTPARTY_x000a_TBWISTRUSTPERIOD&quot;"/>
        <s v="大数据RTL_BW_TBOND_BAL_NEW--凭证式跑数、数据验证_x000a_国债账号_x000a_资金账号_x000a_存款账号_x000a_客户编号_x000a_资金账号开户机构_x000a_营销人员工号_x000a_营销机构_x000a_客户经理编号_x000a_客户经理所属机构_x000a_线下操作机构_x000a_业绩归属人员_x000a_业绩归属机构_x000a_业绩归属日期"/>
        <s v="测试法人贷款借据表字段级差异，目前测试通过27条，不通过2条仍在修复"/>
        <s v="2、脚本开发类工作_x000a_   X20250612000039_2025年经营指标体系建设_x000a_   脚本开发开发中1个：大数据UDAS_A_XYK_FANHUA_INSTAL"/>
        <s v="INF_ASSOC_P_DEPOSIT_BIZ_QUARTER修改逻辑"/>
        <s v="页面回填文档编写【贷款日均】（含3个标签卡、3个指标单元格表格、47个图表及事件联动）"/>
        <s v="业绩分配相关脚本修改，测试，数据验证。"/>
        <s v="MRP_B_SGD_BYBK_BB_BAL开发"/>
        <s v="配合下游G机关联调测试"/>
        <s v="口径调研：E_FRM_NRWA_ENTITY_2"/>
        <s v="B_LS_XYK_CUST_REVENUE_ORG模型测试"/>
        <s v="1.进行区域特色1231季报字段测试分析，针对59个差异字段，分析对季报指标的影响性，新提17个重点字段缺陷"/>
        <s v="RDI_F_IND_AGNFUND_TX_BW配合联调测试,UDAS_F_IND_RCPMIS_INFO配合联调测试"/>
        <s v="生产验证NRP风险零售模型数据，重跑UDAS模型及指标数据。_x000a_帮外汇部老师调整报表逻辑_x000a_帮金市部老师提数"/>
        <s v="分析整合模型普惠台账是否符合开发需要_x000a_过存量UDAS模型清理_x000a_修改需求规格说明书_x000a_分析讨论Udas及MRP标准化企信余额分成表优化需求_x000a_分析讨论审批台账口径"/>
        <s v="代发需求讨论及代发的金额预警接口逻辑讨论等"/>
        <s v="1.名单管理搜索项客户名称脱敏处理，修改铁匠_x000a_2.修改代码"/>
        <s v="专项任务-胡雯-从生产环境取3张明细表20260228的数据，并同步到测试环境，用于较值数据测试（工商注销户调整值）。"/>
        <s v="个人两端核对分析、逻辑调整；企业授信协议整改口径调研"/>
        <s v="E_PRM_PRMS_HUABEI_QINGTUI_I新增6要素脚本修改以及数据验证"/>
        <s v="中证信评分批量相关数据库表创建_x000a_征信系统中证信评分批量接口代码开发、测试"/>
        <s v="根据源系统新增的表S04_KLNB_PRCG_ATTR_LDAY_H 开发FDM_C_LOAN_ACCT_INFO  对公重订价逻辑，并验证数据中是否还有重订价大于当前日期的数据"/>
        <s v="讨论个人两端核对不一致的原因及优化方案，调整逻辑，准备重新取数复测脚本"/>
        <s v="20260316-【同业客户基础信息】0228补录新增的1条客户相关的所有信息，还有2000多条数据的人行支付行号；调研担保方式的集市层加工口径；【存量个人存款信息】0228问题核查回复（1、存量个人存款信息，存款产品类别-协定户存款，本期余额854.57万元，较上期增长228.7%，请核实；2、存量个人存款信息，存款产品类别-其他保证金存款，本期余额749.74万元，较上期增长减少76.14%，请核实）"/>
        <s v="专项任务-陈姿-代发规模看板-高停发企业，高风险企业代码开发"/>
        <s v="MRP债券投资余额数据核对及代码调整。"/>
        <s v="麻烦您帮忙取下，谢谢：_x000a_1、2023-2025年短信平台中短信内容含有以下字段的短信数：“借记卡长期未使用”+“暂停非柜面”、“折长期未使用”+“暂停非柜面”_x000a_2、全行未设非柜面限额的已激活未销户的个人人民币活期结算账户数，其中，（1）开通手机银行的账户数；（2）留有手机号而非座机或联系方式为空的账户数_x000a__x000a__x000a_"/>
        <s v="对公中台新增对标"/>
        <s v="新旧线比对，月报运维"/>
        <s v="基金业绩余额及销量展示的需求分析"/>
        <s v="新增采集开发:_x000a_S84_MT_LAND_REGISTER_x000a_S84_MT_FEE_PLAN_INFO_x000a_S84_MT_FEE_SHARE_RULE _x000a_S84_CRM_WARRANT_INFO"/>
        <s v="【问题排查】深圳分行20260126001_x000a_宅基贷补报问题沟通_x000a_信用卡逾期补报反馈问题沟通、信用卡旧线客户信息补报反馈问题沟通。"/>
        <s v="A0838Y006-征信异议审批接口开发_x000a_"/>
        <s v="计财板块-下钻页面（合意贷模型）:需求设计、影响分析对公合意贷模型_x000a_"/>
        <s v="1.测试了3个脚本，编写17条测试案例_x000a_FRM_RWB_BOSH_ASS_ORG_x000a_FRM_RWC_BOSH_ASS_ORG_x000a_20340_I_V_ANP_CC_CTRCTBS_DIF_x000a_进度:_x000a_FRM_RWB_BOSH_ASS_ORG_x000a_FRM_RWC_BOSH_ASS_ORG 已测完_x000a_20340_I_V_ANP_CC_CTRCTBS_DIF  基础测试已测完_x000a_2.同步了2张表_x000a_s89_rhzxgd_of_hicr_acct_mthlyblg _x000a_s89_rhzxxyk_of_hicr_acct_mthlyblg_x000a_3.与环境组老师沟通，准备测试数据"/>
        <s v="更新普惠贷款进度表，普惠贷款进度表--分行BI数据集准备（新增团队字段）_x000a_"/>
        <s v="计财板块-下钻页面（合意贷模型）:修改cfg、ctl配置对公合意贷余额（非平台贷）接口"/>
        <s v="专项任务-魏巍-全行客户年日均增长情况,今日已完成,已通过云文档交付_x000a_专项任务-魏巍-远程经营客户月日均提级情况,今日已完成,已通过云文档交付_x000a_专项任务-魏巍-长尾触达客户风评及活跃情况,今日已完成,已通过云文档交付"/>
        <s v="1、每日卡校验及反馈数据汇总及分析；_x000a_2、人行两端核对数据量差异分析；_x000a_3、新个贷卡校验补报逻辑编辑。"/>
        <s v="1.授信协议口径修改调研：因有1700户客户余额大于授信总额，业务要求修改取数来源，改为从审批系统取数。经调研验证，审批系统也存在批复编号从失效变为生效情况（但是数据量量级比CP少，分别是240条和10w），可以从审批系统取数，待和业务讨论_x000a_2.法透个案整改-制作报文发送业务，确认后上传_x000a_3.两端核对明细-提取CDI CDA UPR 整合模型数据，补充产品号、归属部门，发送业务核对_x000a_4.抵质押模块根据业务要求新增修改（去除以前从旧押品系统取数逻辑），发送业务验数"/>
        <s v="【信贷合同信息】S83-12分组（3个分组）修改『贷款用途』，增加0206映射为归还本行贷款；"/>
        <s v="1.验证票易贷押品相关数据_x000a_2.验证应收账款相关押品数据_x000a_3.进行普惠台账相关开发工作"/>
        <s v="新兴板块-下钻页面指标、管理指标:测试-ETL加工（包括UAT、PI、PP）【商投行联动获客数】"/>
        <s v="DSM_EskIntsetlTxnIntf_001司库-结息交易接口测试"/>
        <s v="专项任务-陈姿-信义贷看板，长期限看板手动更新数据；信义贷看板流程效率表中添加新产品；临时任务-陈姿-建立信义贷各产品投放金额表，用25年12月金额跟udas表里面金额进行核对；建立信义贷当月申请户数和当月建额户数表；"/>
        <s v="卡校验20260312、20260313数据整理_x000a_客户异议上海誉苏实业有限公司（根据中征码查询是有4笔借据未结清，需要业务确认）_x000a_两端核对文档匹配产品及产品名称（4个模块）_x000a_帮业务查询微业贷授信协议状态口径（已反馈）_x000a_应用端用户报备事宜配合查询（l44_ins_inf表无数导致）_x000a_个案治理序号27（法透生成整笔删除、开户、其他时点、关闭报文）_x000a_卡校验治理信息报告日期类型，一共27笔借据需人行提数_x000a_月版脚本提测（删除临时表）_x000a_杨家豪老师让排查银承汇票4笔借据报送情况（3笔报送结清，1笔报送删除业务还未确认）"/>
        <s v="卸数界面开发+文档开发"/>
        <s v="28个doris+14个2已上doris"/>
        <s v="udas_e_gs_corp_dpst_bal_hd科目调整剔除244001，追数2月末 仓内上下游联调测试（改动部分）按照3轮测试评估_x000a_udas_e_gs_corp_dpst_bal_hd科目调整剔除244001，追数2月末 仓内上下游联调测试（回归部分）按照3轮测试评估_x000a_udas_e_gs_corp_dpst_bal_hd科目调整剔除244001，追数2月末 外围系统联调测试按照3轮测试评估_x000a_"/>
        <s v="区域特色1231季报涉及明细表字段级差异测试_x000a_对公贷款明细表字段级差异测试_x000a_供应链金融监测汇总表字段级差异测试"/>
        <s v="确认新旧线字段差异原因，并提交缺陷。_x000a_复测已调整内容。"/>
        <s v="开发ema_tq_netsunion_trans"/>
        <s v="外币合意系数口径修改数据联调。"/>
        <s v="慧信east20260131期月报数据核对验证"/>
        <s v="外币合意系数口径修改数据验证。"/>
        <s v="信义贷国补贴息脚本开发，单元自测"/>
        <s v="udas_e_gs_corp_dpst_bal_hd科目调整剔除244001，追数2月末 集市侧需求分析_全链路影响性分析_x000a_udas_e_gs_corp_dpst_bal_hd科目调整剔除244001，追数2月末 概要设计评审_x000a_udas_e_gs_corp_dpst_bal_hd科目调整剔除244001，追数2月末 模型设计_口径调研_x000a_udas_e_gs_corp_dpst_bal_hd科目调整剔除244001，追数2月末 详细设计评审_x000a_udas_e_gs_corp_dpst_bal_hd科目调整剔除244001，追数2月末 脚本开发_x000a_udas_e_gs_corp_dpst_bal_hd科目调整剔除244001，追数2月末 单元测试_x000a_"/>
        <s v="托管资金账户表 生产数据测试（20260228）"/>
        <s v="1号文和2号文解读和方案编写。"/>
        <s v="验证缺陷系统上缺陷:内部分户账明细表：记账日期，交易日期，交易时间，借贷标志，对方记账账户名称，对方记账账号，对方交易支付行号，交易服务编码，交易摘要描述，生产0228数据_x000a_票据信息表：机构编号，验证信用卡信息表生产0228bioaji数据量"/>
        <s v="1.编写s72指标的开发逻辑并验证其准确性"/>
        <s v="区域特色季报测试"/>
        <s v="联调测试_x000a_E_CHA_EIBS_IBC_CUST_SIGN_x000a_E_CHA_EIBS_IBC_CUST_IND_x000a_E_CHA_EIBS_IBC_CUST_INFO"/>
        <s v="客户风险文档整理"/>
        <s v="kpi相关功能开发"/>
        <s v="1.网点排队-年频-业务量详情页面标签卡、表格、图表、页面及事件配置"/>
        <s v="整合损益涉及投行业务联调测试"/>
        <s v="TP03_AGNC_SALE_ENTRST_AGRM_INF_W，代理销售委托协议信息，新增15个字段，脚本逻辑及初始化开发，SIT2环境测试，跑数20251231，并进行数据验证，大禹配置文档填写"/>
        <s v="修改脚本s73_tm_loan_yx_h_x000a_s84_intd_bond_ration_result_h紧急变更，测试sqlreview ,填写提测平台"/>
        <s v="RDI_F_INDIV_CUST_TXN_x000a_RDI_F_INDIV_REPAY_PLAN_SUZ_x000a_新增脚本文档编写、脚本提测、投产支持"/>
        <s v="AI外呼360待办任务需求分析"/>
        <s v="司库数据监管报送-报送报表基本信息-字段信息管理-删除 后端、P端接口开发"/>
        <s v="数据测试验证，下游联调_x000a_MLM_APPMODEL_CUSTSTRATEGY_INFO_MID APP模型用户和策略的交互特征中间表"/>
        <s v="1.现金报送需求：配合下游排查集市“对公存款分户账交易明细”模型3个字段的生产数据问题，并反馈问题原因。_x000a_2.现金报送需求：配合下游排查集市“现金交易明细”模型2个字段的生产数据问题，并反馈问题原因。"/>
        <s v="ema_ph_financing_init.py脚本自测，数据验证"/>
        <s v="vp_transaction_flow 视图测试"/>
        <s v="专项任务--方晴-对公中收监测看板  --对公中收监测看板（功能验收，需求优化进行中）_x000a_专项任务--徐冬-民营客户贷款评分模型看板  --民营客户贷款评分模型看板（进行中）_x000a_专项任务--张哲冰-集团客户信息提数  --完成集团客户信息提数支持"/>
        <s v="sk03_acc_hist_bal     账户历史余额12点批_x000a_sk03_acc_hist_bal_7 账户历史余额7点批_x000a_sk05_crn_acc_txn_dtl 活期账户交易增加合并逻辑_x000a_账户历史余额合并，增加优先从S88+S04取值，在从非直联表中取值逻辑_x000a_测试环境数据验证 20260313上线支持"/>
        <s v="对公差异整理并反馈，码值跟数标对齐"/>
        <s v="CCM_OVERSEA_CUST_IND_x0009_海外客户标签表脚本迁移开发"/>
        <s v="1.E_FRM_IDV_CUST_CREDIT_LMT_DTL测试_x000a_2.给下游出数"/>
        <s v="数据集团账户余额变动表剔除销户账户，余额改成余额历史表取数"/>
        <s v="G32业务数据和系统数据核对，确认下USD的差异是否为汇率导致_x000a_修复G0104平台贷调整数据以及S2601累计支付利息较上期少_x000a_S2601标注部分较上期数据少的问题，经查询几个余额较大的客户，均为利率下降导致。因10月有智芯上线影响，所以无法确认是否属于正常波动，0930和1231的利率明细，需要提数发给对应业务部门确认下，现在取到的1231利率数据是否正确"/>
        <s v="掌上行20260313版本生产环境部署验证与20260320版本申请流程操作 ， 已完成 ；"/>
        <s v="KPI项目-2026年机构KPI页面配置开发"/>
        <s v="指标下钻分析功能优化-结构分析开发优化+测试"/>
        <s v="引擎数据查询逻辑调整，机构转换一对多数据处理。"/>
        <s v="脚本开发开发中2个：代客货币互换表,新增接口，批量脚本及初始化建表脚本开发"/>
        <s v="1、开发修改0313上线版本脚本，增加落标转码规则，检查对标，测试联调_x000a_tp99_modl_csz_parm_inf_c_init.sql_x000a_s73_lc_appl_ext_h.sql_x000a_2、整理提测清单，提交提测平台及git，自测脚本_x000a_l13_pps_tbpensionsign1_h_init.sql_x000a_l13_pps_tbclientmap_h_init.sql_x000a_l13_pps_tbpensionassetacc1_h_init.sql_x000a_l13_pps_tbpensionsign1_h.sql_x000a_l13_pps_tbclientmap_h.sql_x000a_l13_pps_tbpensionassetacc1_h.sql_x000a_3、开发0320上线版本新增脚本_x000a_s51_ccss_fk_ysq_appl_init.sql_x000a_s51_ccss_fk_ysq_appl.sql_x000a_"/>
        <s v="对603 表内外业务抵质押物 进行表级比对验证、字段级比对验证"/>
        <s v="确认已反馈缺陷，并复测，不重新反馈问题内容"/>
        <s v="1、处理分析1月份漏期清单_x000a_2、整理汇总本周卡校验和反馈清单_x000a_3、整理本周人行整改项进度以及周报信息"/>
        <s v="泛化指标20260131机构追数脚本开发。"/>
        <s v="1、比对一表通新旧线的重点指标的差异原因，整理案例到与比对过程到云文档中；_x000a_2、验证磁升芯需求改造跑出的信用卡指标测试数据结果的正确性。"/>
        <s v="明细查询流程优化设计"/>
        <s v="APPNRP.E_NRP_WJ_COR_LOAN_TX_x000a_补数脚本联调测试数据验证"/>
        <s v="调整周版与紧急变更版本调度,解决报错问题_x000a_修改表TP03_BADB_AR_INF_W 银行承兑汇票合约明细,修改表过滤条件,同时修改表落标错误字段 缺陷ID：B20260300255600 跑入0228数据验证缺失数据与数据量_x000a_检验P层表s20_xfunds_forex_swapdeals_h下线情况,反馈至对应落标层开发,生产核验紧急变更下线表TP03_SMBSN_AR_RFND_STL_ODR_INF_A依赖情况,反馈至测试与对应开发"/>
        <s v="1.税务账户报送运维"/>
        <s v="掌上行KPI画像前端支持表格数据差异化展示"/>
        <s v="1104慧信新旧线指标结果表数据比对，分析原因并反馈建信解决"/>
        <s v="新旧线1231季报涉及明细表字段级差异测试_x000a_机构信息表、汇率信息表字段级差异测试_x000a_抵质押物表、个人贷款明细表字段级差异测试"/>
        <s v="1、写需求文档：AI外呼；_x000a_2、排查生产问题：网点服务专员120186和120497反映他们从云掌柜看到的客户是同一批；"/>
        <s v="1104G19指标差异原因查询"/>
        <s v="1.党员大会学习_x000a_2.参会讨论明确Qb201制度升级的自动化开发要求"/>
        <s v="重点指标配合测试,新旧线比对配合测试,一表通转EAST 测试案例编写"/>
        <s v="1104-数据加载和测试-G0102/G12/G05数据加载和测试_x000a_1104-报表UAT测试-G0102/G12/G05报表配合UAT测试_x000a_应用系统-利率报备明细/利率报备/大集中/区域特色/1104上线后的生产数据验证_x000a_"/>
        <s v="专项任务--李瑞敏--司库:监管报送报告图表及表格展示数据检查及调整；_x000a_专项任务--李瑞敏--司库:司库引擎流程设计-规则检核流程设计；"/>
        <s v="计财：《上海地区分区域两收结构》报表配置调整及测试"/>
        <s v="MRP投资余额新老全字段比对，脚本代码调整。"/>
        <s v="1.沟通Q07业绩归属机构/Q48线上供应链/Q54睡眠卡口径_x000a_2.安排1231季报字段比对，测试Qb201/Q38个别指标的新线修复情况"/>
        <s v="分析切换切数作业对UDAS报表影响_x000a_新增币种对报表影响"/>
        <s v="1.贷前贷后主借人共借人变更数据加载 20260313 数据加载跑批_x000a_fidi_etl /fidi/cacrs_crpbc/lgy/etl/i_lnacc_w_xgd.sql &quot;--hivevar SHDATA=SHDATA --hivevar FIDI_CRPBC=fidi_cacrs_crpbc --hivevar V_CURR_DATE=20260313 --hivevar V_YEST_DATE=20260312&quot; /fidi/cacrs_crpbc/lgy/log/20260313/etl_i_lnacc_w_xgd_20260313.log_x000a_fidi_etl /fidi/cacrs_crpbc/lgy/etl/i_lnacc_w.sql &quot;--hivevar SHDATA=SHDATA --hivevar FIDI_CRPBC=fidi_cacrs_crpbc --hivevar V_CURR_DATE=20260313 --hivevar V_YEST_DATE=20260312&quot; /fidi/cacrs_crpbc/lgy/log/20260313/etl_i_lnacc_w_20260313.log_x000a_fidi_etl /fidi/cacrs_crpbc/lgy/etl/i_rltrepymt_w.sql &quot;--hivevar SHDATA=SHDATA --hivevar FIDI_CRPBC=fidi_cacrs_crpbc --hivevar V_CURR_DATE=20260313 --hivevar V_YEST_DATE=20260312&quot; /fidi/cacrs_crpbc/lgy/log/20260313/etl_i_rltrepymt_w_20260313.log_x000a_fidi_etl /fidi/cacrs_crpbc/lgy/etl/i_ctr_wrntctr_rel_w.sql &quot;--hivevar SHDATA=SHDATA --hivevar FIDI_CRPBC=fidi_cacrs_crpbc --hivevar V_CURR_DATE=20260313 --hivevar V_YEST_DATE=20260312&quot; /fidi/cacrs_crpbc/lgy/log/20260313/etl_i_ctr_wrntctr_rel_w_20260313.log_x000a_fidi_etl /fidi/cacrs_crpbc/lgy/etl/i_acctspectrstdspn_a.sql &quot;--hivevar SHDATA=SHDATA --hivevar FIDI_CRPBC=fidi_cacrs_crpbc --hivevar V_CURR_DATE=20260313 --hivevar V_YEST_DATE=20260312&quot; /fidi/cacrs_crpbc/lgy/log/20260313/etl_i_acctspectrstdspn_a_20260313.log_x000a_fidi_etl /fidi/cacrs_crpbc/lgy/etl/i_c_anp_ci_acctbs.sql &quot;--hivevar SHDATA=SHDATA --hivevar FIDI_CRPBC=fidi_cacrs_crpbc --hivevar V_CURR_DATE=20260313 --hivevar V_YEST_DATE=20260312&quot; /fidi/cacrs_crpbc/lgy/log/20260313/etl_i_c_anp_ci_acctbs_20260313.log_x000a_fidi_etl /fidi/cacrs_crpbc/lgy/etl/i_c_anp_ci_acctbs_dbt.sql &quot;--hivevar SHDATA=SHDATA --hivevar FIDI_CRPBC=fidi_cacrs_crpbc --hivevar V_CURR_DATE=20260313 --hivevar V_YEST_DATE=20260312&quot; /fidi/cacrs_crpbc/lgy/log/20260313/etl_i_c_anp_ci_acctbs_dbt_20260313.log_x000a_fidi_etl /fidi/cacrs_crpbc/lgy/etl/i_c_anp_ci_acctbsinf.sql &quot;--hivevar SHDATA=SHDATA --hivevar FIDI_CRPBC=fidi_cacrs_crpbc --hivevar V_CURR_DATE=20260313 --hivevar V_YEST_DATE=20260312&quot; /fidi/cacrs_crpbc/lgy/log/20260313/etl_i_c_anp_ci_acctbsinf_20260313.log_x000a_fidi_etl /fidi/cacrs_crpbc/lgy/etl/i_c_anp_ci_acctdbtinf.sql &quot;--hivevar SHDATA=SHDATA --hivevar FIDI_CRPBC=fidi_cacrs_crpbc --hivevar V_CURR_DATE=20260313 --hivevar V_YEST_DATE=20260312&quot; /fidi/cacrs_crpbc/lgy/log/20260313/etl_i_c_anp_ci_acctdbtinf_20260313.log_x000a_fidi_etl /fidi/cacrs_crpbc/lgy/etl/i_c_anp_ci_acctmthlyblginf.sql &quot;--hivevar SHDATA=SHDATA --hivevar FIDI_CRPBC=fidi_cacrs_crpbc --hivevar V_CURR_DATE=20260313 --hivevar V_YEST_DATE=20260312&quot; /fidi/cacrs_crpbc/lgy/log/20260313/etl_i_c_anp_ci_acctmthlyblginf_20260313.log_x000a_fidi_etl /fidi/cacrs_crpbc/lgy/etl/i_c_anp_ci_motgacltalctrctinf.sql &quot;--hivevar SHDATA=SHDATA --hivevar FIDI_CRPBC=fidi_cacrs_crpbc --hivevar V_CURR_DATE=20260313 --hivevar V_YEST_DATE=20260312&quot; /fidi/cacrs_crpbc/lgy/log/20260313/etl_i_c_anp_ci_motgacltalctrctinf_20260313.log_x000a_fidi_etl /fidi/cacrs_crpbc/lgy/etl/i_c_anp_ci_rltrepymtinf.sql &quot;--hivevar SHDATA=SHDATA --hivevar FIDI_CRPBC=fidi_cacrs_crpbc --hivevar V_CURR_DATE=20260313 --hivevar V_YEST_DATE=20260312&quot; /fidi/cacrs_crpbc/lgy/log/20260313/etl_i_c_anp_ci_rltrepymtinf_20260313.log_x000a_fidi_etl /fidi/cacrs_crpbc/lgy/etl/i_c_anp_ci_acctspectrstdspn.sql &quot;--hivevar SHDATA=SHDATA --hivevar FIDI_CRPBC=fidi_cacrs_crpbc --hivevar V_CURR_DATE=20260313 --hivevar V_YEST_DATE=20260312&quot; /fidi/cacrs_crpbc/lgy/log/20260313/etl_i_c_anp_ci_acctspectrstdspn_20260313.log_x000a_fidi_etl /fidi/cacrs_crpbc/lgy/etl/i_vt_anp_ci_rptdatecode.sql &quot;--hivevar SHDATA=SHDATA --hivevar FIDI_CRPBC=fidi_cacrs_crpbc --hivevar V_CURR_DATE=20260313 --hivevar V_YEST_DATE=20260312&quot; /fidi/cacrs_crpbc/lgy/log/20260313/etl_i_vt_anp_ci_rptdatecode_20260313.log_x000a_fidi_etl /fidi/cacrs_crpbc/lgy/etl/i_v_anp_ci_acctbs.sql &quot;--hivevar SHDATA=SHDATA --hivevar FIDI_CRPBC=fidi_cacrs_crpbc --hivevar V_CURR_DATE=20260313 --hivevar V_YEST_DATE=20260312&quot; /fidi/cacrs_crpbc/lgy/log/20260313/etl_i_v_anp_ci_acctbs_20260313.log_x000a_fidi_etl /fidi/cacrs_crpbc/lgy/etl/i_v_anp_ci_acctbsinf.sql &quot;--hivevar SHDATA=SHDATA --hivevar FIDI_CRPBC=fidi_cacrs_crpbc --hivevar V_CURR_DATE=20260313 --hivevar V_YEST_DATE=20260312&quot; /fidi/cacrs_crpbc/lgy/log/20260313/etl_i_v_anp_ci_acctbsinf_20260313.log_x000a_fidi_etl /fidi/cacrs_crpbc/lgy/etl/i_v_anp_ci_acctdbtinf.sql &quot;--hivevar SHDATA=SHDATA --hivevar FIDI_CRPBC=fidi_cacrs_crpbc --hivevar V_CURR_DATE=20260313 --hivevar V_YEST_DATE=20260312&quot; /fidi/cacrs_crpbc/lgy/log/20260313/etl_i_v_anp_ci_acctdbtinf_20260313.log_x000a_fidi_etl /fidi/cacrs_crpbc/lgy/etl/i_v_anp_ci_acctmthlyblginf.sql &quot;--hivevar SHDATA=SHDATA --hivevar FIDI_CRPBC=fidi_cacrs_crpbc --hivevar V_CURR_DATE=20260313 --hivevar V_YEST_DATE=20260312&quot; /fidi/cacrs_crpbc/lgy/log/20260313/etl_i_v_anp_ci_acctmthlyblginf_20260313.log_x000a_fidi_etl /fidi/cacrs_crpbc/lgy/etl/i_v_anp_ci_motgacltalctrctinf.sql &quot;--hivevar SHDATA=SHDATA --hivevar FIDI_CRPBC=fidi_cacrs_crpbc --hivevar V_CURR_DATE=20260313 --hivevar V_YEST_DATE=20260312&quot; /fidi/cacrs_crpbc/lgy/log/20260313/etl_i_v_anp_ci_motgacltalctrctinf_20260313.log_x000a_fidi_etl /fidi/cacrs_crpbc/lgy/etl/i_v_anp_ci_rltrepymtinf.sql &quot;--hivevar SHDATA=SHDATA --hivevar FIDI_CRPBC=fidi_cacrs_crpbc --hivevar V_CURR_DATE=20260313 --hivevar V_YEST_DATE=20260312&quot; /fidi/cacrs_crpbc/lgy/log/20260313/etl_i_v_anp_ci_rltrepymtinf_20260313.log_x000a_fidi_etl /fidi/cacrs_crpbc/lgy/etl/i_v_anp_ci_acctspectrstdspn.sql &quot;--hivevar SHDATA=SHDATA --hivevar FIDI_CRPBC=fidi_cacrs_crpbc --hivevar V_CURR_DATE=20260313 --hivevar V_YEST_DATE=20260312&quot; /fidi/cacrs_crpbc/lgy/log/20260313/etl_i_v_anp_ci_acctspectrstdspn_20260313.log_x000a_fidi_etl /fidi/cacrs_crpbc/lgy/etl/i_p_anp_ci_acctbs.sql &quot;--hivevar SHDATA=SHDATA --hivevar FIDI_CRPBC=fidi_cacrs_crpbc --hivevar V_CURR_DATE=20260313 --hivevar V_YEST_DATE=20260312&quot; /fidi/cacrs_crpbc/lgy/log/20260313/etl_i_p_anp_ci_acctbs_20260313.log_x000a_fidi_etl /fidi/cacrs_crpbc/lgy/etl/i_p_anp_ci_acctbsinf.sql &quot;--hivevar SHDATA=SHDATA --hivevar FIDI_CRPBC=fidi_cacrs_crpbc --hivevar V_CURR_DATE=20260313 --hivevar V_YEST_DATE=20260312&quot; /fidi/cacrs_crpbc/lgy/log/20260313/etl_i_p_anp_ci_acctbsinf_20260313.log_x000a_fidi_etl /fidi/cacrs_crpbc/lgy/etl/i_p_anp_ci_acctdbtinf.sql &quot;--hivevar SHDATA=SHDATA --hivevar FIDI_CRPBC=fidi_cacrs_crpbc --hivevar V_CURR_DATE=20260313 --hivevar V_YEST_DATE=20260312&quot; /fidi/cacrs_crpbc/lgy/log/20260313/etl_i_p_anp_ci_acctdbtinf_20260313.log_x000a_fidi_etl /fidi/cacrs_crpbc/lgy/etl/i_p_anp_ci_acctmthlyblginf.sql &quot;--hivevar SHDATA=SHDATA --hivevar FIDI_CRPBC=fidi_cacrs_crpbc --hivevar V_CURR_DATE=20260313 --hivevar V_YEST_DATE=20260312&quot; /fidi/cacrs_crpbc/lgy/log/20260313/etl_i_p_anp_ci_acctmthlyblginf_20260313.log_x000a_fidi_etl /fidi/cacrs_crpbc/lgy/etl/i_p_anp_ci_motgacltalctrctinf.sql &quot;--hivevar SHDATA=SHDATA --hivevar FIDI_CRPBC=fidi_cacrs_crpbc --hivevar V_CURR_DATE=20260313 --hivevar V_YEST_DATE=20260312&quot; /fidi/cacrs_crpbc/lgy/log/20260313/etl_i_p_anp_ci_motgacltalctrctinf_20260313.log_x000a_fidi_etl /fidi/cacrs_crpbc/lgy/etl/i_p_anp_ci_rltrepymtinf.sql &quot;--hivevar SHDATA=SHDATA --hivevar FIDI_CRPBC=fidi_cacrs_crpbc --hivevar V_CURR_DATE=20260313 --hivevar V_YEST_DATE=20260312&quot; /fidi/cacrs_crpbc/lgy/log/20260313/etl_i_p_anp_ci_rltrepymtinf_20260313.log_x000a_fidi_etl /fidi/cacrs_crpbc/lgy/etl/i_p_anp_ci_acctspectrstdspn.sql &quot;--hivevar SHDATA=SHDATA --hivevar FIDI_CRPBC=fidi_cacrs_crpbc --hivevar V_CURR_DATE=20260313 --hivevar V_YEST_DATE=20260312&quot; /fidi/cacrs_crpbc/lgy/log/20260313/etl_i_p_anp_ci_acctspectrstdspn_20260313.log_x000a_"/>
        <s v="分析报表逻辑，协助提数_x000a_提变更_x000a_"/>
        <s v="分析梳理+给信统同事讲解确认"/>
        <s v="日常答疑"/>
        <s v="走流程"/>
        <s v="沟通会"/>
        <s v="可视化报表助手运营工作。解决用户看板权限问题，完成用户看板移交，用户定时邮件发送需求的配置，解答功能使用疑惑等"/>
        <s v="--同业拆入_x000a_,'信用拆入'_x000a_--黄金拆入_x000a_,'黄金拆入'_x000a_--同业存单投资_x000a_,'同业存单投资'  --有外币_x000a_--基金投资_x000a_,'基金投资'  --有外币_x000a_--企业信用受益权_x000a_,'企业信用受益权投资'_x000a_--债权投资计划_x000a_,'保险债权投资计划'_x000a_--其他投资_x000a_,'个人信用类金融资产投资','银登对公资产流转'_x000a_数据范围比对，差异原因查询（新线集市与MRP）"/>
        <s v="1.投行业务对标_x000a_2.监管缩期对标"/>
        <s v="1.NRP集市作业开发_x000a_(1).客户经理个贷KPI预警表UDAS_A_LS_LOAN_MNGR_KPI_HDP脚本开发，用整合模型个人贷款申请信息表和个人贷款申请住房贷贷款补充信息表替换RBW_B_PT_LODGING_LOAN_APPLY_DTL；_x000a_(2).住房贷款申请明细卸数中间表NRP_UDAS_LODGING_LOAN_APPLY_DTL测试数据卸数，并邮件通知下游差异情况。"/>
        <s v="理财产品资产端交易数据统计表表 生产数据20260228期数据测试"/>
        <s v="分析凭证融资信息表口径"/>
        <s v="借记卡新户加工"/>
        <s v="对公功能脱敏测试及客户经理业绩功能增加"/>
        <s v="本体论对外接口开发"/>
        <s v="协助李春博开发艾绒移动看板。开发 长江口投资：移动端看板（首页指标卡，到期）。"/>
        <s v="科创地图及园区获客功能梳理_x000a_测试提的问题修复_x000a_网银在线提额接口调用"/>
        <s v="1:对公存款表UDAS_F_CORP_DPST_BAL科目244口径修改。_x000a_2：核对测试   50%"/>
        <s v="1.批量备份功能脚本开发_x000a_2.TDSQL导出模板开发"/>
        <s v="1.查看客户视图融资模块接口逻辑。"/>
        <s v="跑sqlreview，下发数据"/>
        <s v="9张余额表合并,同业产品余额脚本开发"/>
        <s v="张平-信用卡借记卡和E账户银网联交易数据提取"/>
        <s v="S04_KDPA_PB_ACCT_LMT_DEFN修改开发测试"/>
        <s v="大数据平台运维，故障排查与定位"/>
        <s v="代理推介中收分成重新铺数"/>
        <s v="新版分成明细表业务类型匹配；宅即贷漏损bisql调整；月跟踪bi添加提前还款字段"/>
        <s v="嵇殷-客诉团队周报_x000a_顾玄怡-远程银行中心看板使用情况看版_x000a_魏巍-智能外呼交互文本"/>
        <s v="1.dws作业RDI_STD_CORP_CRD_BAL_DIV迁移到大数据，开发跑批作业脚本及初始化脚本。"/>
        <s v="针对平台类客户，支持按合作主题或合作主体的具体账号，动态监测其在我行各项存款类别的余额、日均、时点付息率。"/>
        <s v="脚本开发，CAB：_x000a_INF_CB_ACCT_AUTO_CTRL_x000a_RBW_04_21_HD"/>
        <s v="数据验证:E_PRM_DYFXJ_BCARD_SCORE标杆数据比对，逻辑调整"/>
        <s v="1.参加测试组分享会_x000a_2.整理个人笔记_x000a_3.协助开发加载数据，用途手搓报文_x000a_S83_ICR_INT_ACCTCTRCT_DW_x000a_结果:出现卡点，与加载老师协调入库._x000a_4.周版20260313案例跟踪，与开发沟通_x000a_5.数据脱敏核查_x000a_进度:100个字段"/>
        <s v="麻烦提取孤儿账户数据（即有账号、无介质的数据），需要负债账号、客户号、开户网点（中文）、开户分支行（中文）、开户时间、账户余额、签约项、介质号_x000a__x000a_        提数口径参考：_x000a_select a.cust_acct_num ,b.open_acct_org ,'开户分支行（中文）',_x000a_b.open_acct_dt ,b.cur_acct_bal ,b.acct_ste , '签约项', c.vchr_num _x000a_from  kdpa_pb_cust_acct_num_cmprs   a,kdpa_pb_acct_info b   left join kceb_pb_cust c  on b.cust_acct_num =c.cust_acct_num _x000a_where a.cust_acct_num  = b.cust_acct_num _x000a_and a.cust_acct_num_tp  = '2'  and  a.ccy_code_num  = 'CNY' and a.lblty_prod_tp  = '0';_x000a_-- 签约项 根据a.cust_acct_num  关联下表的ctrct_num获取_x000a_select * from kcbb_ctrct_rltnp kcr ;_x000a_"/>
        <s v="提测平台流程操作整理；"/>
        <s v="查询卡校验和反馈失败的情况，是否自动补报，并登记_x000a_跑历史漏期的情况，跑23年1-3月，漏期的第一层_x000a_重新把1月漏期的明细提供"/>
        <s v="姚蔚--企业咨询分析周明细数据0306-0312：需求分析，脚本编写，数据查询，核对数据_x000a_薛晓婷--收费客户数据：需求分析，脚本编写，数据查询，核对数据_x000a_"/>
        <s v="新入表采集平台开发，抽取测试数据并验证数据准确性_x000a_表清单：td_center_detail,td_center_detail_receipt,"/>
        <s v="S02_T_PARAM_FIN_BAN_LIST等多张表新表入仓数据加载测试，配合联调测试20260201,20260210等日期加载。"/>
        <s v="1.投产包CAB 以及依赖检查_x000a_2.配合测试解决报错问题_x000a_3.UAT环境err_01 数据日期断层的问题解决"/>
        <s v="机构变更导致的明细模型数据查询失败缺陷修复测试"/>
        <s v="【指标数据收集】-数标落标考核信息项整理-PASO标识、应用/模块名称、分支编号、数据结构、示例等"/>
        <s v="小微金融项目DWS应用侧影响、配合改造方案讨论"/>
        <s v="征信厂商事项、需求等管理；企业征信法透个案例整改会议讨论"/>
        <s v="1.查询重点指标差异原因"/>
        <s v="TP03_CORP_LNDEBT_INF_W  新增属性   SprAgt_Ln_IND varchar(1) COMMENT'支农贷款标志' "/>
        <s v="1、供应链首页标签卡相关明细开发（融资情况、授信情况、供应链平台注册明细）_x000a_2、供应链首页标签卡相关组件开发_x000a_3、供应链首页标签卡配置开发调整"/>
        <s v="1104-数据加载和测试-G0102/G0107/G1101//G05/S68数据加载和测试_x000a__x000a_"/>
        <s v="1.CDH的jar包替换并验证，完成生产部署；_x000a_2.自服务群问题排查并解决；_x000a_3.SH贴源层作业完成情况分析；_x000a_4.网关采集表同步视图"/>
        <s v="参加需求评审会议 60min"/>
        <s v="PIS_BC_NUM_CRDNUM开发"/>
        <s v="指标内部验证、与看板逻辑验证"/>
        <s v="需求指标开发"/>
        <s v="大集中-数据加载与测试-应用层A1411金融机构资产负债项目月报表/A3302大中小企业贷款统计表_x000a_大集中-协助业务UAT测试-应用层A1411金融机构资产负债项目月报表/A3302大中小企业贷款统计表，提取2份明细数据给到业务_x000a_"/>
        <s v="脚本核对验数，配合测试"/>
        <s v="开门红对公存款流入流出上线_x000a_排行榜报表和底稿数据核对_x000a_"/>
        <s v="修改存款人类别和发证机关所在地逻辑"/>
        <s v="金融市场交易对手信息 新增 投行组别的  交易对手发行人编号、交易对手名称、客户编号、国家代码、行业类型代码、交易对手方客户简称的字段"/>
        <s v="测试环境脱敏视图更新，测试团队租户权限调整更新，poc相关节点使用前维护"/>
        <s v="TP05_CUST_VCHR_LOST_W  表的  loss_sbsqt_deal   字段，映射逻辑发生改变     脚本开发 数据验证"/>
        <s v="客户粘性模型提数需求沟通"/>
        <s v="脚本开发 UDAS_F_GS_INVE_BANK_BIZ"/>
        <s v="PRM_PRMS_DYYF_CUST_CLEAR_LIST新增6要素规则脚本开发以及数据验证"/>
        <s v="货币利率互换交易表风险缓释组开发_x000a_下线字段影响分析"/>
        <s v="规则管理接口联调"/>
        <s v="与业务确认报表口径（资金池定义、账户范围、展示粒度）；_x000a_明确指标计算逻辑；_x000a_梳理资金池系统相关表结构、字段含义；_x000a_口径调整，报表执行语句调整；_x000a_确认司库来源表取模型表取，调整表逻辑；_x000a_让源系统生产测试环境数据；"/>
        <s v="全链路同步并测试 案例数据南通众和应收账款业务业务需求 借据【LD260630366424】"/>
        <s v="支付系统重构需求沟通，银联无卡系统数据安全整改优化需求沟通。"/>
        <s v="网联支付明细口径答疑"/>
        <s v="作业：MRP_IFBM_PROD_FLOW 同业流水作业合并：MRP_B_N_PRO_PLED_PRI_REPO_FLOW、MRP_B_N_SECU_PROFIT_VOU_FLOW,MRP_B_SGD_STORE_IBK_FLOW"/>
        <s v="使用大模型对小微信贷系统进行五级业务建模分析，描述流程模型和实体模型问题"/>
        <s v="各种奇奇怪怪问题"/>
        <s v="1.上午：听取浪潮介绍穿透式监管方案，进行了问题讨论；_x000a_2.下午：上影股份调研，完成调查问卷问题确认。"/>
        <s v="AML_ECIF_INFO_3RD，AML_PARTY_INFO，E_AML_BB11_PARTY_CORP_3RD，E_AML_BB11_PARTY_INFO_3RD跑批卸数测试"/>
        <s v="开发宁波信号分发流程相关优化，以及分发回复宁波的信号处理状态信息计算。"/>
        <s v="配合监管缺陷排查"/>
        <s v="配合RDI清包袱，完成汇入汇款相关需求的需求澄清和分析，并完成口径调研。"/>
        <s v="配合监管报送排查整合模型银行承兑汇票合约明细存在的问题，调研新旧系统口径并验证口径的正确性，确定修改方案并修改模型设计文档。"/>
        <s v="应付票据-数据报送-行内三家集团全链路开发"/>
        <s v="上午调试模块，下午开会讨论功能"/>
        <s v="京小贷口径修改与测试"/>
        <s v="在大数据平台开发个贷支行分成表和平台贷分成表逻辑_x000a_分析S47_DWD_PRODUCT_MGR_DIVIDE在DWS的下游使用情况以及x下线影响"/>
        <s v="cdi_core_acct_entry脚本跑数"/>
        <s v="_x0009_0312较值验证"/>
        <s v="零售贷款交易数据验证并加载测试"/>
        <s v="日报指标情况分析+对接信统同步情况"/>
        <s v="分析以下存储过程新老存款模型使用情况及调整逻辑_x000a_SP_F_CORP_DPST_BAL_PRE_x000a_SP_F_CORP_DPST_CUST_BRANCH_x000a_SP_F_CRM_C_A_EVT_C_REMIND_TOT_x000a_SP_F_CUST_DLOAN_DETAIL_NEW_x000a_"/>
        <s v="贷款交易模型投放数据，新网联合贷、微粒贷经营贷、美团月付-联合贷、京东白条分分卡-联合贷、京东金条（助贷）、抖音月付、微粒贷-深圳、滴水贷助贷、放心借联合贷、放心借助贷、公积金信用贷、房贷预授信、代发工资预授信产品老模型数据确实问题分析。_x000a_"/>
        <s v="协定利率口径答疑，协助业务提数_x000a_外汇中收渠道答疑，协助业务提数"/>
        <s v="汇款模型分析_x000a_外汇展业集成需求调研、设计"/>
        <s v="1.tp03_idv_ln_gurtctr_inf_pltf_w 修改S73_TM_LOAN_YX_H组合同签订日期和担保合同生效日期和担保合同到期日期_x000a_2.TP03_IDV_LNDEBT_BSC_INF_PLTF_W_S73 改连续拖欠期数_x000a_3.tp03_idv_lnacc_bsc_inf_pltf_w_s73 改连续拖欠期数"/>
        <s v="衍生区指标出数情况查询_x000a_投行脚本开发"/>
        <s v="S19_TPC_x0009_7_x0009_修改采集表-_x0009_&quot;TBWISDDCLIENTINFO_x000a_TBWISDDBASICINFO_x000a_TBWISBNFALLOCATION_x000a_TBWISDDINSURANCE_x000a_TBWISOTHERPARTY_x000a_TBWISTRUSTPARTY_x000a_TBWISTRUSTPERIOD&quot;_x000a_"/>
        <s v="1.出数情况调研及没数情况检查_x000a_2.落标涉及脚本修改手工检查合理性并修改脚本_x000a_"/>
        <s v="代理推介、风险缓释口径调研"/>
        <s v="修改20260131对公涉及较值的存储过程"/>
        <s v="MRP_B_SGD_BYBK_BAL_NEW开发"/>
        <s v="质押券交易明细表调整 债券代码全称、合同号、合同类型、发行人编号（交易对手）、发行人姓名（交易对手）字段逻辑调整下游联调测试"/>
        <s v="测试票据信息表，个人贷款担保合同表，个人贷款客户信息表，信用卡客户信息表生产0228数据"/>
        <s v="专项任务-陈姿-信义贷看板，长期限定存看板数据手动更新，信义贷添加新的产品分类和产品代码；临时任务-陈姿-监管报送--整理23年至今各分行网点零售客户数量"/>
        <s v="E_MIS_DTL_RLC_CCS_CUSTHX脚本开发"/>
        <s v="INF_ASSOC_CREDIT_LOAN口径调研、脚本逻辑修改，数据验证。"/>
        <s v="RDI_IND_CUST_INFO表口径分析"/>
        <s v="mrp清包袱：_x000a_迁移后 信用拆入拆出余额表 口径分析，脚本开发，数据测试"/>
        <s v="首页-新户数功能开发"/>
        <s v="营销二维码功能测试"/>
        <s v="配合G机关验数"/>
        <s v="UDAS_F_XYK_TRANS_DTL_KHX追数脚本开发测试"/>
        <s v="专项任务-陈姿-代发规模看板-新增个人及企业分布数据异常原因定位和代码优化"/>
        <s v="专项任务-胡雯-修改存储过程（SP_R_ALL_CORP_CUST_MOVE,SP_B_GENERALIZE_IDX_INN_CRM98,SP_TMP_GS_CHAIN_PLTF_CUST_TD,SP_R_CORP_CHAIN_PLTF_CUST_DTL）PP环境代码测试，数据测试。"/>
        <s v="1. 配合上线 2. 代码开发 3. 需求分析"/>
        <s v="会议评审讨论dataops模型设计及相关业务功能流程；_x000a_关键点：简化审核为主，不应过多人工录入信息，做好流程对接。_x000a_讨论逻辑模型、口径管理等业务具体流转问题"/>
        <s v="5-6个架构议题讨论_x000a_---大模型相关架构学习_x000a_数据仓库内空间存储清理讨论决策、个贷计算区加工高时效内容决策、权益平台提供服务模型研究分析讨论_x000a__x000a_还有一个落标层的架构决策文档没写完_x000a_"/>
        <s v="2、脚本开发类工作_x000a_   X20260213000002_UDAS、掌上行、CRM新机构历史数据追溯_x000a_   脚本开发已提测12个：大数据UDAS_A_XYK_INDEX_STAT_ONE_x000a_UDAS_A_LS_INDEX_STAT_LATE_x000a_UDAS_A_XYK_INDEX_STAT_THREE_x000a_UDAS_A_XYK_INDEX_STAT_TWO_x000a_UDAS_F_XYK_CUST_REVENUE_DTL_x000a_UDAS_A_XYK_MOBILEPAY_CHANNEL_ORG_x000a_UDAS_A_XYK_MOBILEPAY_TRANS_ORG_x000a_UDAS_F_XYK_INCR_CUST_INFO_x000a_UDAS_F_XYK_TRANS_DTL_ALL_x000a_UDAS_F_XYK_TRANS_DTL_KHX_x000a_UDAS_F_XYK_TRANS_DTL_MT"/>
        <s v="批量又又又又又晚了_x000a_分析拉取超过10亿大查询和30分钟作业更新_x000a_讨论调度优先级在任务流层面设计问题"/>
        <s v="E_MIS_DTL_FIVE_LVL_CLS_LOAN_脚本开发"/>
        <s v="1、每日卡校验及反馈数据汇总及分析；_x000a_2、人行两端核对数据量差异分析；_x000a_3、新个贷卡校验补报逻辑。"/>
        <s v="下游联调，投产支持"/>
        <s v="上游提供测试案例不满足，沟通案例调整点重卸重测"/>
        <s v="MRP_B_T_CREDIT_BOND_BAL脚本开发"/>
        <s v="crm敏感信息脱敏处理"/>
        <s v="S90_ICCS_MCH_INFO_H脚本开发、数据加载测试"/>
        <s v="20260313-【存量债券投资信息、债券投资发生额信息】0228数据自校验，有一些校验问题处理，例如：已停用的地区代码，替换成新的地区代码等；离线审核world文档0228整理【个贷、单位贷】；【存量SPV投资】0228报送支持以及查询发行人地区-江苏、福建跨期40亿元只有的原因；"/>
        <s v="同步对公CRM任务处理到零售代发ETL处理"/>
        <s v="执行验证同业0313版本业绩分配设置增加区支行功能；及对公提醒脱敏功能验证;配合智能尽调测试评审。"/>
        <s v="kpi指标机构树查询管架机构映射器代码优化开发"/>
        <s v="生产问题验证，业绩分配初始化脚本编写。"/>
        <s v="普惠MVP接入RSD的ESB接口"/>
        <s v="字节跳动补报客户月度仍未更新更新问题排查_x000a_新个贷征信卡交验案例排查原因（历史期次未结清，近期期次先结清）_x000a_员工持股、京东金条接口征信码值映射问题排查"/>
        <s v="修改作业：_x000a_APPCRM.E_CRM_C_MNGR_PH_LOAN_DTL (普惠客户经理普惠贷款明细)  _x000a_验数"/>
        <s v="进行特定目的载体投资发生额信息报送。"/>
        <s v="1.开发客户历史跟踪详情页面优化需求"/>
        <s v="E变更新增实时接口查询预约编号当前处理人的需求分析"/>
        <s v="新旧线比对 月报运维"/>
        <s v="UPR集市 BDPHADP配合任务"/>
        <s v="AML配合人行银检白皮书整理"/>
        <s v="1.规则引擎错误日志增加名单导入明细同步按钮_x000a_2.接口联调及测试"/>
        <s v="E_CRM_P_COST_CHANGE 脚本开发测试"/>
        <s v="分析重点数据项不一致原因"/>
        <s v="CCM_C_DISCNT_ACCT_NEW 比对数据"/>
        <s v="1、吴越关于冻结表的问题--补历史，需要新增入仓_x000a_2、财私关于保险刷数的问题查询_x000a_3、财私关于基金利率的问题确认"/>
        <s v="CCM_PA_C_MNGR_Y_NEW_FINC数据验证"/>
        <s v="响应报文封装模块开发"/>
        <s v="监管报告数据"/>
        <s v="1.光明食品（集团）有限公司，支行在受理客户授信申报业务时发现企业中征码与统一社会信用代码未绑定，支行申请将企业中征码与企业统一社会信用代码进行绑定。新增报文_x000a_2.上海艾融公司反馈无客户报文影响业务开展_x000a_3.厂商工作梳理及工作量沟通_x000a_4.抵质押报文业务验数问题反馈"/>
        <s v="大数据RTL_BW_TBOND_BAL_NEW--柜台债跑数、数据验证_x000a_债券余额_x000a_债券月积数_x000a_债券年积数_x000a_债券月日均余额_x000a_债券年日均余额_x000a_"/>
        <s v="一、修改管控脚本 拆分管控方式 取最小，测试脚本_x000a_   二、提取旧线脚本需要的部分脚本。"/>
        <s v="数据集成测试：FRM_F03_CREDIT_CARD_CURRENCY、FRM_I9_DEVAL_CRDCARD、FRM_RWC_RETAIL_EXPOSURE_x000a_口径调研：E_FRM_NRWA_RETAIL_EXPOSURE_2"/>
        <s v="逾期清单、不良明细下发udas版上线，员工持股个人余额sql开发,取数，2026e宅即贷申请全流程漏损已上线：http://vra-bi.bosc:8010/webroot/decision/link/drnD"/>
        <s v="CCM_C_FIN_ACCT_NEW接口全字段测试"/>
        <s v="1.处理生产角色申请权限内容_x000a_2.月版版本，备份生产环境的用户、角色、用户组、机构文档"/>
        <s v="A0838Y005-征信异议退回下环节联系人查询接口开发"/>
        <s v="专项任务-魏巍-长尾资产情况周报提取,今日已完成,已通过云文档交付"/>
        <s v="数据加载:20260310_x000a_S00_AEGL_GL_LEDGER_POST_BAL_x000a_S00_AEGL_BS_GL_POST_HIST_x000a_S00_AEGL_GL_FM_BRANCH_x000a_S00_AEGL_GL_LEDGER_ACCT_BAL_x000a_S00_AEGL_GL_SUBJECT_x000a_S00_AEGL_GL_BUSINESS_SITUATION_x000a_S00_AEGL_GL_POST_GROUP_HIST_x000a_S00_AEGL_GL_ACCT_x000a_S00_AEGL_GL_POST_HIST_x000a_S00_AEGL_GL_PROD_MAPPING_T24_x000a_S00_AEGL_GL_PROD_ACCOUNTING_x000a_"/>
        <s v="DSM_EskAccBalIntf_001司库-账户历史余额查询接口接口修改开发_x0009__x0009__x0009__x0009__x000a_"/>
        <s v="授信协议改造卡校验测试_x000a_额度中台总额度小于占用金额分析_x000a_抵质押模块验数问题回复"/>
        <s v="司库监管报送-数据字典管理开发 80%"/>
        <s v="卡校验20260311数据整理_x000a_长期未更新失败报文上报人行结果跟踪及处理_x000a_两端核对11月份处理意见补充_x000a_配合王菲菲老师排查9笔借据共同担保人的问题_x000a_解答张小天老师报文填写格式等问题_x000a_卡校验治理推进（3个类型）_x000a_杨嘉豪让排查一笔借据为什么人行还款形式为6_x000a_评估工作量X20250930000004_新增韩国韩元、墨西哥比索、泰国泰铢和马来西亚林吉特等币种业务需求"/>
        <s v="DSM_C151CusInfoSyn_001客户信息同步查询 拆分新做7个接口    X20260120000022_运营流程审核系统收费减免审批及移动端开发需求_x000a_除新增字段外 其余字段名和原先DSM_C151CusInfoSyn_001 客户信息同步查询 接口保持一致_x000a_入参均为客户号， 调用系统 CBPM_计划财务部，请提供接口文档投产后 原先 DSM_C151CusInfoSyn_001 会安排下线"/>
        <s v="RDI_F_INDIV_LOAN_ACCT_x000a_RDI_F_INDIV_DEB_CARD_x000a_新增脚本文档编写、脚本提测"/>
        <s v="指标下钻分析功能优化-结构分析开发+测试"/>
        <s v="1.网点排队-月频-业务量详情页面标签卡、表格、图表、页面及事件配置"/>
        <s v="1.编写s6301指标的开发逻辑并验证其准确性_x000a_2编写s6303指标的开发逻辑并验证其准确性"/>
        <s v="一表通慧信新旧线比对"/>
        <s v="区域特色1231季报指标差异测试_x000a_1231季报指标新旧线最新出数更新云文档_x000a_新线未出数或出数有误指标提交缺陷及缺陷跟进"/>
        <s v="大集中-数据加载与测试-应用层A1411_x000a_大集中-协助业务UAT测试-应用层A1411_x000a_区域特色-数据加载和测试-Q01数据加载和测试_x000a_"/>
        <s v="1104G0101A指标差异原因查询"/>
        <s v="CCM_C_CUST_STMT_x0009_对公客户往来接口表 脚本迁移开发"/>
        <s v="sk03_acc_hist_bal     账户历史余额12点批_x000a_sk03_acc_hist_bal_7 账户历史余额7点批_x000a_sk05_crn_acc_txn_dtl 活期账户交易增加合并逻辑_x000a_账户历史余额合并，增加优先从S88+S04取值，在从非直联表中取值逻辑_x000a_测试环境数据验证"/>
        <s v="C03_AST_INDIV_LOAN_LMT_INFO脚本开发"/>
        <s v="1. 配合代码分析及查询 2. 代码开发"/>
        <s v="APPCRM.E_CRM_P_FUND_CONS_ACCT 脚本开发以及单元测试,联调卸数提测文件等"/>
        <s v="法人客户信息表生产数据测试"/>
        <s v="代码开发_x000a_MLM_APPMODEL_CUSTSTRATEGY_INFO_MID APP模型用户和策略的交互特征中间表"/>
        <s v="开发历史数据追数脚本ema_ph_financing_init.py"/>
        <s v="1.cab配置_x000a_2.E_FRM_NRWA_ENTITY_2脚本开发_x000a_3.E_FRM_NRWA_ENTITY_2脚本测试"/>
        <s v="同步测试票易贷产品数据_x000a_全链路同步并测试 案例数据南通众和应收账款业务业务需求 借据【LD260630366424】"/>
        <s v="脚本开发开发中2个：金市其他类损益表,新增接口，批量脚本及初始化建表脚本开发"/>
        <s v="联调测试_x000a_E_CHA_EIBS_IBC_CUST_FIN_x000a_E_CHA_EIBS_IBC_CUST_SECU_TRUST"/>
        <s v="KPI画像前端支持支行级机构筛选"/>
        <s v="资质_x0009_sem_qualf_inf_w_x000a_对公客户外部评级信息_x0009_sem_corp_cst_ext_rtg_inf_w_x000a_ 表开发"/>
        <s v="头寸共享资金池对标审核"/>
        <s v="udas首页优化设计"/>
        <s v="对202 个人客户关系表 进行表级比对验证、字段级比对验证"/>
        <s v="AI外呼base64图片大小修改成32k以下验证"/>
        <s v="司库数据监管报送-报送报表基本信息-字段信息管理-新增、更新 P端接口开发"/>
        <s v=" L04_TBS_IC_TD_CENTER_DETAIL、L04_TBS_IC_TD_TRANS_INFO、L04_TBS_IC_TD_CENTER_DETAIL_RECEIPT等表数据加载，视图新建"/>
        <s v="提数末表内外本外币分类清单及当年新发生的借据清单_x000a_G0109校验时环比获取上期数据有误，排查引擎日志后，报表维度误配置为日，已修复_x000a_排查前台明细数据查询时，非管理员用户无法查到数据的问题，配置的机构映射表缺失对应的机构映射，已配置"/>
        <s v="S90__x0009_ICCS_MCH_EXTRA_FLOW_H脚本开发、数据加载测试"/>
        <s v="1.梳理过渡阶段的存量工作事项以及资源补充安排"/>
        <s v="UDAS_F_XYK_TRANS_DTL_ALL追数脚本开发测试"/>
        <s v="客户风险20260228批次；担保信息担保抵质押率修数。"/>
        <s v="深圳综合信兴物流有限公司司库账户余额变动表开发(企业名称、银行、账号、上期结存、本期收入、本期支出、本期结存)"/>
        <s v="1、与信用卡业务沟通补报问题_x000a_2、处理农信互联未结清账户问题_x000a_3、处理分析1月份漏期清单_x000a_"/>
        <s v="跑数，自测提测_x000a_UDAS_A_WJ_IN_CHNL_CUST_x000a_UDAS_A_WJ_IN_CHNL_TX_CUST_x000a_UDAS_A_WJ_IND_KQ_USER_OPINFO_x000a_UDAS_A_WJ_IN_CUST_RETENTION_x000a_NRP_E_WJ_COR_CHNL_CUST_U2_x000a_NRP_E_WJ_COR_CHNL_TX_U2_x000a_UDAS_E2_WJ_COR_CHNL_JOR_x000a_UDAS_A_WJ_IND_TRIP_STEP_EVT_x000a_E_NRP_WJ_COR_LOAN_BAL_x000a_E_NRP_WJ_COR_LOAN_TX_x000a_UDAS_E2_WJ_BYSTAGES_CHANNEL"/>
        <s v="TP03_AGNC_CMRC_PNSN_CST_TXN_JRNL_A 代理商养客户交易流水，调整映射组1 币种 申请金额 逻辑，SIT2环境测试，同步6张源表1月数据，跑数20260101-20260131，并通知下游测试_x000a_TP05_AGNB_CSACC_MDTXN_JRNL_A 代理政府债券客户证券账户成交交易流水，调整BOSS23S分组 凭证式国债付款方式代码 逻辑，SIT2环境测试，同步16张源表1月数据，跑数20260101-20260131，并通知下游测试_x000a_TP03_CHMTPD_TNAC_HD_BAL_DINF_W 代理理财产品交易账户持券余额衍生信息，新增主键银行账号字段，脚本逻辑及初始化开发，SIT2环境测试，跑数20251231，并进行数据验证"/>
        <s v="UDAS_F_GS_CUST_INFO_SECBRCH对公客户20260131机构追数脚本开发。"/>
        <s v="外汇期权脚本开发"/>
        <s v="1.现金报送需求：集市“现金交易明细”模型增加“对手账号”字段，脚本同步增加该字段的代码逻辑，并在测试环境跑数验证。_x000a_2.现金报送需求：填写新线集市上线的相关文档。"/>
        <s v="开发vp03_bdm_td_fdz_risk_model_score_a_x000a_vp03_psb_break_card_acct_inf_a_x000a_vp03_tfb_com_bop_jcxx_w，提供测试数据，回复邮件，填写提测平台测试sqlreview,配置调度"/>
        <s v="1、比对一表通新旧线的重点指标的差异原因，整理案例到与比对过程到云文档中；_x000a_2、与业务沟通磁升芯需求用到的贴源表卡授权信息表一个卡产品对应多个卡介质的处理方案。"/>
        <s v="1、设计“AI外呼”的原型图；_x000a_2、排查生产问题：319822 钟小杰，在3月12日9：10到9：20使用锤子R2手机，无法进入云掌柜页面；_x000a_3、解答业务老师问题，找生产数据：晨会二维码视频；"/>
        <s v="专项任务--方晴-对公中收监测看板  --经营单位维度需求更新，已发业务验收初步完成_x000a_专项任务--王威茗--上海地区新签订人民币贷款合同最低利率统计周报表  --更新CP口径，并用新口径完成双周报_x000a_专项任务--叶颖--对公客户机构信息  --完成对公客户机构信息数据支持"/>
        <s v="1、开发0313版本新增脚本，检查对标字段，测试环境测试供数联调_x000a_l13_pps_tbpensionsign1_h_init.sql_x000a_l13_pps_tbclientmap_h_init.sql_x000a_l13_pps_tbpensionassetacc1_h_init.sql_x000a_l13_pps_tbpensionsign1_h.sql_x000a_l13_pps_tbclientmap_h.sql_x000a_l13_pps_tbpensionassetacc1_h.sql_x000a_2、生产测试环境大禹调度配置测试_x000a_L13_PPS_TBPENSIONSIGN1_H_x000a_L13_PPS_TBCLIENTMAP_H_x000a_L13_PPS_TBPENSIONASSETACC1_H_x000a_3、新增开发任务提交提测平台"/>
        <s v="开发新增实体TP99_FTP_IntRt_Curv_W FTP利率曲线信息, 登记所需落标表并跑入测试数据_x000a_汇总周版调度,同步在生产同环境测试_x000a_新增TP07_CSTMGR_BSC_INF_W 客户经理基本信息口径 Org_Manage_Id | 管理机构编号, Org_Admin_Id | 行政机构编号并跑入测试数据"/>
        <s v="掌上行20260313版本在  PI  环境部署测试 ， 已完成 ；"/>
        <s v="中午外网云端部了一下openclaw，能用就是慢；_x000a_下午联系贾世林要了一下http://cdm-yun.bosc.cn/view/p/47225148  行内大模型，发现开发桌面的vscode要装一堆东西，还在试，争取明天装完"/>
        <s v="进行同业借贷发生额信息表级慧信测试。"/>
        <s v="1.进行区域特色1231季报指标测试分析，推进Q07Qa/Qb201指标差异缩小，确认Q32/Q48个别口径，提出或跟踪13个指标i缺陷"/>
        <s v="比对重追的25年数据与原来生产数据的差异，比总重分建议，分析差异的原因并解决。_x000a_涉及表_x000a_E_MAI_CRM_ORG       _x000a_E_MAI_GL_ORG        _x000a_E_MAI_DISCOUNT_T24  _x000a_E_MAI_CUST_MID      _x000a_E_MAI_LS_PROD       _x000a_E_MAI_LOAN          _x000a_E_MAI_DEPOSIT_BAL   _x000a_E_MAI_DEPOSIT_INTR  _x000a_E_MAI_LOAN_INTR     _x000a_"/>
        <s v="表及指标数据验证、插表风险分析及确认"/>
        <s v="指标及接口分析确认"/>
        <s v="需求分析及第一批排期"/>
        <s v="一、分析模型上线是否对我们有影响。_x000a_   二、验证业务给的管控明细与我们的明细，管控金额问题是 管控模式字段拼接，需要拆分处理。"/>
        <s v="《企业主体异常报表》逻辑调整、3个运营报表事件、帮业务提科目数据"/>
        <s v="1.主借人共借人变更数据卸数文件沟通。_x000a_2.贷前贷后主借人共借人变更数据加载 _x000a__x000a_cd /data_input3/PRMS/20260304_x000a__x000a_sh /automation/APP/templates/load_template0100_new.sh S73_INDINFO 20260304_x000a_sh /automation/APP/templates/load_template0100_new.sh S73_ACCTCTRCT 20260304_x000a_sh /automation/APP/templates/load_template0100_new.sh S73_RLTREPYMTINFO 20260304_x000a_sh /automation/APP/templates/load_template0100_new.sh S73_MOTGARLT 20260304_x000a_sh /automation/APP/templates/load_template0100_new.sh S73_MOTGACTRCT 20260304_x000a_sh /automation/APP/templates/load_template0100_new.sh S73_PROPTINFO 20260304_x000a__x000a__x000a_sh /automation/APP/templates/pdm_template0100.sh S73_INDINFO_H 20260304_x000a_sh /automation/APP/templates/pdm_template0100.sh S73_ACCTCTRCT_H 20260304_x000a_sh /automation/APP/templates/pdm_template0100.sh S73_RLTREPYMTINFO_H 20260304_x000a_sh /automation/APP/templates/pdm_template0100.sh S73_MOTGARLT_H 20260304_x000a_sh /automation/APP/templates/pdm_template0100.sh S73_MOTGACTRCT_H 20260304_x000a_sh /automation/APP/templates/pdm_template0100.sh S73_PROPTINFO_H 20260304_x000a_3.跑批脚本跑数据_x000a__x000a_fidi_etl /fidi/cacrs_crpbc/lgy/etl/i_lnacc_w_xgd.sql &quot;--hivevar SHDATA=SHDATA --hivevar FIDI_CRPBC=fidi_cacrs_crpbc --hivevar V_CURR_DATE=20260304 --hivevar V_YEST_DATE=20260303&quot; /fidi/cacrs_crpbc/lgy/log/20260304/etl_i_lnacc_w_xgd_20260304.log_x000a_fidi_etl /fidi/cacrs_crpbc/lgy/etl/i_lnacc_w.sql &quot;--hivevar SHDATA=SHDATA --hivevar FIDI_CRPBC=fidi_cacrs_crpbc --hivevar V_CURR_DATE=20260304 --hivevar V_YEST_DATE=20260303&quot; /fidi/cacrs_crpbc/lgy/log/20260304/etl_i_lnacc_w_20260304.log_x000a_fidi_etl /fidi/cacrs_crpbc/lgy/etl/i_rltrepymt_w.sql &quot;--hivevar SHDATA=SHDATA --hivevar FIDI_CRPBC=fidi_cacrs_crpbc --hivevar V_CURR_DATE=20260304 --hivevar V_YEST_DATE=20260303&quot; /fidi/cacrs_crpbc/lgy/log/20260304/etl_i_rltrepymt_w_20260304.log_x000a_fidi_etl /fidi/cacrs_crpbc/lgy/etl/i_ctr_wrntctr_rel_w.sql &quot;--hivevar SHDATA=SHDATA --hivevar FIDI_CRPBC=fidi_cacrs_crpbc --hivevar V_CURR_DATE=20260304 --hivevar V_YEST_DATE=20260303&quot; /fidi/cacrs_crpbc/lgy/log/20260304/etl_i_ctr_wrntctr_rel_w_20260304.log_x000a_fidi_etl /fidi/cacrs_crpbc/lgy/etl/i_acctspectrstdspn_a.sql &quot;--hivevar SHDATA=SHDATA --hivevar FIDI_CRPBC=fidi_cacrs_crpbc --hivevar V_CURR_DATE=20260304 --hivevar V_YEST_DATE=20260303&quot; /fidi/cacrs_crpbc/lgy/log/20260304/etl_i_acctspectrstdspn_a_20260304.log_x000a_fidi_etl /fidi/cacrs_crpbc/lgy/etl/i_c_anp_ci_acctbs.sql &quot;--hivevar SHDATA=SHDATA --hivevar FIDI_CRPBC=fidi_cacrs_crpbc --hivevar V_CURR_DATE=20260304 --hivevar V_YEST_DATE=20260303&quot; /fidi/cacrs_crpbc/lgy/log/20260304/etl_i_c_anp_ci_acctbs_20260304.log_x000a_fidi_etl /fidi/cacrs_crpbc/lgy/etl/i_c_anp_ci_acctbs_dbt.sql &quot;--hivevar SHDATA=SHDATA --hivevar FIDI_CRPBC=fidi_cacrs_crpbc --hivevar V_CURR_DATE=20260304 --hivevar V_YEST_DATE=20260303&quot; /fidi/cacrs_crpbc/lgy/log/20260304/etl_i_c_anp_ci_acctbs_dbt_20260304.log_x000a_fidi_etl /fidi/cacrs_crpbc/lgy/etl/i_c_anp_ci_acctbsinf.sql &quot;--hivevar SHDATA=SHDATA --hivevar FIDI_CRPBC=fidi_cacrs_crpbc --hivevar V_CURR_DATE=20260304 --hivevar V_YEST_DATE=20260303&quot; /fidi/cacrs_crpbc/lgy/log/20260304/etl_i_c_anp_ci_acctbsinf_20260304.log_x000a_fidi_etl /fidi/cacrs_crpbc/lgy/etl/i_c_anp_ci_acctdbtinf.sql &quot;--hivevar SHDATA=SHDATA --hivevar FIDI_CRPBC=fidi_cacrs_crpbc --hivevar V_CURR_DATE=20260304 --hivevar V_YEST_DATE=20260303&quot; /fidi/cacrs_crpbc/lgy/log/20260304/etl_i_c_anp_ci_acctdbtinf_20260304.log_x000a_fidi_etl /fidi/cacrs_crpbc/lgy/etl/i_c_anp_ci_acctmthlyblginf.sql &quot;--hivevar SHDATA=SHDATA --hivevar FIDI_CRPBC=fidi_cacrs_crpbc --hivevar V_CURR_DATE=20260304 --hivevar V_YEST_DATE=20260303&quot; /fidi/cacrs_crpbc/lgy/log/20260304/etl_i_c_anp_ci_acctmthlyblginf_20260304.log_x000a_fidi_etl /fidi/cacrs_crpbc/lgy/etl/i_c_anp_ci_motgacltalctrctinf.sql &quot;--hivevar SHDATA=SHDATA --hivevar FIDI_CRPBC=fidi_cacrs_crpbc --hivevar V_CURR_DATE=20260304 --hivevar V_YEST_DATE=20260303&quot; /fidi/cacrs_crpbc/lgy/log/20260304/etl_i_c_anp_ci_motgacltalctrctinf_20260304.log_x000a_fidi_etl /fidi/cacrs_crpbc/lgy/etl/i_c_anp_ci_rltrepymtinf.sql &quot;--hivevar SHDATA=SHDATA --hivevar FIDI_CRPBC=fidi_cacrs_crpbc --hivevar V_CURR_DATE=20260304 --hivevar V_YEST_DATE=20260303&quot; /fidi/cacrs_crpbc/lgy/log/20260304/etl_i_c_anp_ci_rltrepymtinf_20260304.log_x000a_fidi_etl /fidi/cacrs_crpbc/lgy/etl/i_c_anp_ci_acctspectrstdspn.sql &quot;--hivevar SHDATA=SHDATA --hivevar FIDI_CRPBC=fidi_cacrs_crpbc --hivevar V_CURR_DATE=20260304 --hivevar V_YEST_DATE=20260303&quot; /fidi/cacrs_crpbc/lgy/log/20260304/etl_i_c_anp_ci_acctspectrstdspn_20260304.log_x000a_fidi_etl /fidi/cacrs_crpbc/lgy/etl/i_vt_anp_ci_rptdatecode.sql &quot;--hivevar SHDATA=SHDATA --hivevar FIDI_CRPBC=fidi_cacrs_crpbc --hivevar V_CURR_DATE=20260304 --hivevar V_YEST_DATE=20260303&quot; /fidi/cacrs_crpbc/lgy/log/20260304/etl_i_vt_anp_ci_rptdatecode_20260304.log_x000a_fidi_etl /fidi/cacrs_crpbc/lgy/etl/i_v_anp_ci_acctbs.sql &quot;--hivevar SHDATA=SHDATA --hivevar FIDI_CRPBC=fidi_cacrs_crpbc --hivevar V_CURR_DATE=20260304 --hivevar V_YEST_DATE=20260303&quot; /fidi/cacrs_crpbc/lgy/log/20260304/etl_i_v_anp_ci_acctbs_20260304.log_x000a_fidi_etl /fidi/cacrs_crpbc/lgy/etl/i_v_anp_ci_acctbsinf.sql &quot;--hivevar SHDATA=SHDATA --hivevar FIDI_CRPBC=fidi_cacrs_crpbc --hivevar V_CURR_DATE=20260304 --hivevar V_YEST_DATE=20260303&quot; /fidi/cacrs_crpbc/lgy/log/20260304/etl_i_v_anp_ci_acctbsinf_20260304.log_x000a_fidi_etl /fidi/cacrs_crpbc/lgy/etl/i_v_anp_ci_acctdbtinf.sql &quot;--hivevar SHDATA=SHDATA --hivevar FIDI_CRPBC=fidi_cacrs_crpbc --hivevar V_CURR_DATE=20260304 --hivevar V_YEST_DATE=20260303&quot; /fidi/cacrs_crpbc/lgy/log/20260304/etl_i_v_anp_ci_acctdbtinf_20260304.log_x000a_fidi_etl /fidi/cacrs_crpbc/lgy/etl/i_v_anp_ci_acctmthlyblginf.sql &quot;--hivevar SHDATA=SHDATA --hivevar FIDI_CRPBC=fidi_cacrs_crpbc --hivevar V_CURR_DATE=20260304 --hivevar V_YEST_DATE=20260303&quot; /fidi/cacrs_crpbc/lgy/log/20260304/etl_i_v_anp_ci_acctmthlyblginf_20260304.log_x000a_fidi_etl /fidi/cacrs_crpbc/lgy/etl/i_v_anp_ci_motgacltalctrctinf.sql &quot;--hivevar SHDATA=SHDATA --hivevar FIDI_CRPBC=fidi_cacrs_crpbc --hivevar V_CURR_DATE=20260304 --hivevar V_YEST_DATE=20260303&quot; /fidi/cacrs_crpbc/lgy/log/20260304/etl_i_v_anp_ci_motgacltalctrctinf_20260304.log_x000a_fidi_etl /fidi/cacrs_crpbc/lgy/etl/i_v_anp_ci_rltrepymtinf.sql &quot;--hivevar SHDATA=SHDATA --hivevar FIDI_CRPBC=fidi_cacrs_crpbc --hivevar V_CURR_DATE=20260304 --hivevar V_YEST_DATE=20260303&quot; /fidi/cacrs_crpbc/lgy/log/20260304/etl_i_v_anp_ci_rltrepymtinf_20260304.log_x000a_fidi_etl /fidi/cacrs_crpbc/lgy/etl/i_v_anp_ci_acctspectrstdspn.sql &quot;--hivevar SHDATA=SHDATA --hivevar FIDI_CRPBC=fidi_cacrs_crpbc --hivevar V_CURR_DATE=20260304 --hivevar V_YEST_DATE=20260303&quot; /fidi/cacrs_crpbc/lgy/log/20260304/etl_i_v_anp_ci_acctspectrstdspn_20260304.log_x000a_fidi_etl /fidi/cacrs_crpbc/lgy/etl/i_p_anp_ci_acctbs.sql &quot;--hivevar SHDATA=SHDATA --hivevar FIDI_CRPBC=fidi_cacrs_crpbc --hivevar V_CURR_DATE=20260304 --hivevar V_YEST_DATE=20260303&quot; /fidi/cacrs_crpbc/lgy/log/20260304/etl_i_p_anp_ci_acctbs_20260304.log_x000a_fidi_etl /fidi/cacrs_crpbc/lgy/etl/i_p_anp_ci_acctbsinf.sql &quot;--hivevar SHDATA=SHDATA --hivevar FIDI_CRPBC=fidi_cacrs_crpbc --hivevar V_CURR_DATE=20260304 --hivevar V_YEST_DATE=20260303&quot; /fidi/cacrs_crpbc/lgy/log/20260304/etl_i_p_anp_ci_acctbsinf_20260304.log_x000a_fidi_etl /fidi/cacrs_crpbc/lgy/etl/i_p_anp_ci_acctdbtinf.sql &quot;--hivevar SHDATA=SHDATA --hivevar FIDI_CRPBC=fidi_cacrs_crpbc --hivevar V_CURR_DATE=20260304 --hivevar V_YEST_DATE=20260303&quot; /fidi/cacrs_crpbc/lgy/log/20260304/etl_i_p_anp_ci_acctdbtinf_20260304.log_x000a_fidi_etl /fidi/cacrs_crpbc/lgy/etl/i_p_anp_ci_acctmthlyblginf.sql &quot;--hivevar SHDATA=SHDATA --hivevar FIDI_CRPBC=fidi_cacrs_crpbc --hivevar V_CURR_DATE=20260304 --hivevar V_YEST_DATE=20260303&quot; /fidi/cacrs_crpbc/lgy/log/20260304/etl_i_p_anp_ci_acctmthlyblginf_20260304.log_x000a_fidi_etl /fidi/cacrs_crpbc/lgy/etl/i_p_anp_ci_motgacltalctrctinf.sql &quot;--hivevar SHDATA=SHDATA --hivevar FIDI_CRPBC=fidi_cacrs_crpbc --hivevar V_CURR_DATE=20260304 --hivevar V_YEST_DATE=20260303&quot; /fidi/cacrs_crpbc/lgy/log/20260304/etl_i_p_anp_ci_motgacltalctrctinf_20260304.log_x000a_fidi_etl /fidi/cacrs_crpbc/lgy/etl/i_p_anp_ci_rltrepymtinf.sql &quot;--hivevar SHDATA=SHDATA --hivevar FIDI_CRPBC=fidi_cacrs_crpbc --hivevar V_CURR_DATE=20260304 --hivevar V_YEST_DATE=20260303&quot; /fidi/cacrs_crpbc/lgy/log/20260304/etl_i_p_anp_ci_rltrepymtinf_20260304.log_x000a_fidi_etl /fidi/cacrs_crpbc/lgy/etl/i_p_anp_ci_acctspectrstdspn.sql &quot;--hivevar SHDATA=SHDATA --hivevar FIDI_CRPBC=fidi_cacrs_crpbc --hivevar V_CURR_DATE=20260304 --hivevar V_YEST_DATE=20260303&quot; /fidi/cacrs_crpbc/lgy/log/20260304/etl_i_p_anp_ci_acctspectrstdspn_20260304.log_x000a__x000a_"/>
        <s v="DWS配合反洗钱跑数验证，CDL智芯整合模型表。"/>
        <s v="MRP债券投资余额数据验证。"/>
        <s v="业绩分配初始化数据编写，测试。问题反馈。"/>
        <s v="《稳增长-提数-上海地区分区业务情况》报表调整及测试；"/>
        <s v="大数据平台运维"/>
        <s v="1.投行业务对标_x000a_2.特殊资产对标"/>
        <s v="PTEMP_F_CRDBSC_INFO_CUR 开发"/>
        <s v="贷记卡新户加工"/>
        <s v="1.协助开发测试报文，加载贷前贷后表_x000a_合计:14张表_x000a_进度:已完成_x000a_2.编写周版20260313案例_x000a_合计:24条_x000a_进度:已上传，单脚本运行失败，排查原因是同名库没数据，全链路SIT跑的话有数据_x000a_3.数据脱敏核查自查_x000a_进度:检查了700个字段_x000a_4.编写大禹依赖扫描的个人操作文档。"/>
        <s v="协助李春博开发艾绒移动看板。开发 长江口投资：移动端看板（资金总览、融资、账户、金融投资、资金流量）。"/>
        <s v="1.脚本迁移到大数据作业RDI_CORP_EBANKING_CUST，核对表数据，字段数据验证"/>
        <s v="昨日已预警客户已上传文件传输，请您继续剔除，此外今天的代码在昨天的基础上：_x000a_1、剔除《附件1：总行营业部账户限额批量设置清单 (1)》中的客户号。_x000a_2、筛选逻辑删减为：剔除中高端卡（此前提供的卡种）、剔除白名单客户（已文件传输发您），剔除org_nm_3为“上海银行成都分行”、“上海银行深圳分行”、“%总行营业部%”的账户，筛选day_limit_amt_test&gt;max_dayout_amt_12m且channel_qd为Y的账户。"/>
        <s v="1.NRP集市作业开发_x000a_(1).住房贷款申请明细卸数中间表NRP_UDAS_LODGING_LOAN_APPLY_DTL脚本开发及20251231测试数据验证，就差异字段与上游沟通；"/>
        <s v="1.开发客户视图外部融资模块相关代码逻辑。"/>
        <s v="1.利率报备-数据加载与测试-R04/R05/R07_x000a_2.大集中-数据加载与测试-应用层A1411/A3327"/>
        <s v="AML_T24_TRANS_INFO，AML_TRANS_BASIC_INFO脚本测试20260311,20260312，概要涉及文档编辑"/>
        <s v="S04_KHSA_CB_ACCT_INFO修改开发测试"/>
        <s v="代发授信户问题查询及逻辑调整提供方案等E_CRM_C_AGT_CREDIT_RPT"/>
        <s v="测试环境脱敏视图更新，租户权限新增，权限调整"/>
        <s v="整理整合缺失的字段 反馈给周老师了 待新增字段_x000a_INF_FSS_FPS_FIN_FINC_INFO(暂时不切整合需要和业务重新确认需求_x000a_脚本开发：_x000a_RBW_B_PT_M_MAT_OPEN_DTL"/>
        <s v="贷款交易模型投放数据商业性个人住房贷款、组合个人住房贷款(新)、网商经营贷、网商经营贷助贷2.0、网商贷均衡助贷信用、网商贷均衡助贷产品数据新旧逻辑分析，数据差异分析。"/>
        <s v="sqlreview，测试数据"/>
        <s v="1.所有上线标签出数情况调研及没数情况分析_x000a_2.落标涉及脚本修改同步修改脚本_x000a_3.打包测试12版本上线内容"/>
        <s v="杨悦-营销活动后客户用券明细数据提取_x000a_赵利梅-手机银行APP新户同步数据监测数据提取"/>
        <s v="MIS_SUM_FIVE_LVL_CLS_LOAN_ADD_脚本开发"/>
        <s v="客户经理一人一表资产质量核销数据开发，按核销前一日的新规则分成；宅在贷经营主体取数_x000a_"/>
        <s v="大数据RTL_BW_TBOND_BAL_NEW--柜台债跑数、数据验证_x000a_营销人员工号_x000a_营销机构_x000a_客户经理编号_x000a_客户经理所属机构_x000a_线下操作机构_x000a_业绩归属人员_x000a_业绩归属机构_x000a_业绩归属日期_x000a_"/>
        <s v="脚本开发:e_prm_f_credit_col_acc_info_my0200.py_x000a_e_prm_f_credit_col_acc_info.py业务逻辑调整，数据验证，下游联调测试"/>
        <s v="1、监管报告数据_x000a_2、周会_x000a_"/>
        <s v="看板描述:_x000a_    ,稳增长相关报表优化_x000a_    ,BI104516:一般对公贷款余额（授管）指标替换:分析完毕_x000a_        ,指标修改: 进度:100%_x000a_        ,报表修改: 进度:100%_x000a_        ,伺服配置: 月版文档已提交_x000a_        ,测试环境完成测试, 今天投产"/>
        <s v="余额表合并,同业产品余额脚本开发"/>
        <s v="1、整理提测平台的操作流程；_x000a_2、整理dataops的功能和菜单流程；"/>
        <s v="嵇颖-客诉凭证取数口径调整_x000a_刘张杰-满意度增加手动调整数据，技能组乱码问题修复"/>
        <s v="S19_TBWISDDBASICINFO,S19_TBWISBNFALLOCATION,S19_TBWISDDINSURANCE等多张表修改采集，数据加载测试，配合联调测试20260219,20260225等日期加载。"/>
        <s v="新入表采集平台开发，抽取测试数据并验证数据准确性_x000a_表清单：td_center_balance,td_center_detail,_x000a_"/>
        <s v="1.投产包CAB 以及依赖检查_x000a_2.配合测试解决报错问题_x000a_3.UAT环境arr_01 脚本报错解决"/>
        <s v="1.脚本开发,通过ranger的api,能够指定policy id启用/停止对应policy策略_x000a_2.日常开发问题协助排查"/>
        <s v="S22_tbtransreq修改表结构开发测试_x000a_"/>
        <s v="与业务确认报表口径（资金池定义、账户范围、展示粒度）；_x000a_明确指标计算逻辑_x000a_梳理资金池系统相关表结构、字段含义；_x000a_口径调整，报表执行语句调整；_x000a_确认司库来源表取模型表取，调整表逻辑_x000a_让源系统生产测试环境数据"/>
        <s v="姚蔚--企业电子渠道满意度明细：需求分析，脚本编写，数据查询，核对数据_x000a_"/>
        <s v="1.查询重点指标差异原因_x000a_2.查询新旧线表级差异"/>
        <s v="个人两端核对差异分析--量级、字段差异"/>
        <s v="零售贷款交易数据和上游一起核对，并反馈问题"/>
        <s v="TP03_CORP_LNACC_BSC_INF_W 新增字段 ori_loan_accno _x000a__x000a_修改法透组   贷款账户余额 正常本金余额 字段逻辑_x000a__x000a_TP03_CORP_CRLN_CTR_RLTV_ACC_INF_W  新增字段 MAIN_ACCT_ID varchar(3)    comment '主账号标志'_x000a__x000a_ TP03_CORP_LN_LNCTR_INF_W 中 组 S83_IRMS_CONT_LOAN_INFO_H ctr_char_cd_x000a_赋值表达式 S83_IRMS_CONT_LOAN_INFO_H  APPL_TYPE，贴源转换逻辑如下_x000a__x000a_,CASE   WHEN T1.APPL_TYPE='1' THEN '1101' _x000a_        WHEN T1.APPL_TYPE='2' THEN '1201' _x000a_        WHEN T1.APPL_TYPE='3' THEN '1201' _x000a_        WHEN T1.APPL_TYPE='4' THEN '1201' _x000a_        WHEN T1.APPL_TYPE='5' THEN '1301' _x000a_        WHEN T1.APPL_TYPE='6' THEN '1701' _x000a_        ELSE COALESCE(T1.APPL_TYPE,'') _x000a_        END"/>
        <s v="1、到期首页标签卡数据测试及调整_x000a_2、到期驾驶舱数据测试及调整_x000a_3、供应链模块相关指标口径调研"/>
        <s v="需求分析：关于江苏金租接入车生态项目需求 征信影响_x000a_厂商面试_x000a_普惠宅基贷产品征信补报事宜沟通_x000a_事件排查：IM2026031010209"/>
        <s v="生产问题排查：IM2026031010162_x000a_厂商面试发包_x000a_需求讨论：授信协议改造，存在额度占用大于分项总额度之和的情况"/>
        <s v="RAD并行期_x000a_案例评审、进度跟踪"/>
        <s v="反洗钱数仓0327上线需求对齐，了解需求内容和开发对齐问题"/>
        <s v="测试报表0228生产数据"/>
        <s v="上海大学现场校招面试"/>
        <s v="1.CDI_CUST_SERVICE_SIGN_H_S14：SIGN_MEDIA逻辑修改及相关关联逻辑改动_x000a_2.CDI_FUND_CONS_ACCT_F_TXN:Sign_Medium逻辑修改及相关关联逻辑改动_x000a_3.CDI_FUND_CONS_ACCT_H:Bnk_Acct逻辑修改及相关关联逻辑改动_x000a_4.CDI_PRFT_SPE_ACCT_FUND：bank_acc逻辑修改及相关关联逻辑改动 数据验证"/>
        <s v="对接生产DWS磁盘告警问题，快速响应处理，对接百信更换磁盘处理告警"/>
        <s v="查询卡校验和反馈失败的情况，是否自动补报，并登记_x000a_跑历史漏期的情况，跑22年_x000a_查询zhnx的漏期清单，并提供明细"/>
        <s v="区域特色-数据加载和测试-Qc3/Q01/Q32/Q48数据加载和测试_x000a_区域特色-报表UAT测试-Qc3/Q01/Q32/Q48协助UAT测试_x000a_"/>
        <s v="配合零售平台贷清退--客户有效性口径参会_x000a_零星讨论电话沟通事项"/>
        <s v="机构名称信息 落地方案架构讨论_x000a_整合模型ADM层相关架构议题讨论"/>
        <s v="陈佳宁关于S83客户经理的诉求，可能需加标，已报给王玉祥"/>
        <s v="脚本核对验数"/>
        <s v="机构改造-数据验证同步宽表数据_x000a_开门红-增加对公存贷本外合一_x000a_科目改造-流动性报表分析"/>
        <s v="分析未结清融资凭证信息表口径"/>
        <s v="修改存款人类别逻辑：当存款人国籍为HKG、MAC、TWN时，存款人类别为04_x000a_                当存款人国籍不为CHN、HKG、MAC、TWN时，存款人类别为05"/>
        <s v="投行中收、中收分成逻辑调研"/>
        <s v="风险缓释凭证数据调研"/>
        <s v="1.完成【关于在UDAS中新增零售及普惠业务审批台账的需求】的模型设计，主要是为了普惠业务审批台账的模型设计_x000a_2.参与授信尽调场景开发_x000a_3.参与模型设计小组周会"/>
        <s v="规则管理前端页面开发"/>
        <s v="1.掌上行支行作战室，配置资产负债表格内容_x000a_2.处理生产角色申请权限内容_x000a_3.指标模型上线，协助导入上线内容"/>
        <s v="1:机构追数根据上游CCM发给的新接口表名称修改脚本。_x000a_2：测试验证数据。_x000a_3：提测"/>
        <s v="2、脚本开发类工作_x000a_   X20250612000039_2025年经营指标体系建设_x000a_   脚本开发已提测1个：大数据UDAS_A_XYK_FANHUA_INSTAL_x000a_配合业务验数"/>
        <s v="机构数合并查数功能开发"/>
        <s v="1、报表平台及经管平台普通用户涉及机构配置空白修复测试_x000a_2、授权对象组权限功能通过性测试_x000a_3、掌上行移动端功能回归测试"/>
        <s v="质押券交易明细表调整 债券代码全称、合同号、合同类型、发行人编号（交易对手）、发行人姓名（交易对手）字段逻辑调整"/>
        <s v="1.上午：上影集团酒店板块2家业主公司+2家酒店调研；_x000a_2.下午：1号文和2号文解读。"/>
        <s v="国结清包袱逻辑调研 60min_x000a_清包袱-和厂商例会，沟通进展和难点 90min"/>
        <s v="X20260227000040 合同支用组件无使用部门字段清理需求 姚志环_x000a_20260302000032 关于优化上海地区区支行&amp;异地分行收购的需求 姚志环"/>
        <s v="'票据正回购','再贴现'_x000a_--拆放同业_x000a_,'信用拆出'  --有外币_x000a_--黄金拆出_x000a_,'黄金拆出'_x000a_--同业存单发行_x000a_,'同业存单发行'_x000a_--票据转贴现_x000a_,'转贴现'_x000a_数据范围比对，差异原因查询（新线集市与MRP）"/>
        <s v="代理理财销量业绩归属明细、代理理财余额业绩归属信息批量脚本、初始化、补数脚本提测"/>
        <s v="开发宁波信号数据处理进入信号分发表，以及信号详情指标表。"/>
        <s v="E_PRM_PRMS_WLD_CUST_CLEAR_LIST新增6要素脚本修改以及数据验证"/>
        <s v="专项任务--李瑞敏--司库:司库引擎流程设计-接收数据触发流程设计；_x000a_专项任务--李瑞敏--司库:监管报送报告图表及表格展示数据检查及调整；"/>
        <s v="配合监管报送排查整合模型银行承兑汇票合约明细存在的问题，发现旧线监管与整合模型关于记账成功的口径差异，并与源系统重新调研新旧两套票据系统的口径，收集下游使用场景。"/>
        <s v="配合RDI清包袱，完成汇入汇款相关需求的需求澄清和分析。"/>
        <s v="脚本开发自测"/>
        <s v="模型组周会，讨论对标落标流程、当前工作痛点、模型文档与生产比对情况等，同步各项工作本周进展"/>
        <s v="完成和卢总过清单和后续跟踪内容，每两周更新一次，关注治理成效_x000a_http://cdm-yun.bosc.cn/view/p/53802082_x000a_"/>
        <s v="指标数据量统计_x000a_投行口径调研"/>
        <s v="普惠、结售汇相关口径答疑"/>
        <s v="1.tp03_idv_lnacc_bsc_inf_pltf_w_s73 改S73_JD_LOAN限制条件_x000a_2.tp03_idv_lndebt_bsc_inf_pltf_w_s73 改S73_JD_LOAN限制条件3_x000a_3.tp03_idv_ln_gurtctr_ctr_rel_pltf_w 修改S73_TM_LOAN_YX_H组合同签订日期和担保合同生效日期和担保合同到期日期"/>
        <s v="专项任务-陈姿-代发规模看板-代发企业个人代发价值户明细数据集准备和看板开发和验数"/>
        <s v="绿色金融项目影响性分析、工作量评估_x000a_对公客户粘性模型取数分析"/>
        <s v="授信协议改造开发测试_x000a_贷款余额大于额度金额收集"/>
        <s v="_x000a_4506 每周四上午9.30-11.00_x000a_1）整合模型周例会（模型-开发-厂商）_x000a_      模型文档质量梳理，0327后全部上平台维护；缺陷处理2日内解决；_x000a_2）模型组周例会_x000a_      科室例会信息同步，痛点问题收集整理，看板填写讨论及同步_x000a_"/>
        <s v="代客中收比对_x000a_货币利率互换交易表字段整理"/>
        <s v="备份新1231和恢复1231时点数据"/>
        <s v="提数需求分析：参考客户经营评价体系评分规则业务数据底稿分析取值来源 业务：朱婷华"/>
        <s v="专项任务-胡雯-新增视图(V_CORP_CUST_INFO_BRCH_25BAK,V_CORP_CUST_INFO_SEC_25BAK,V_CORP_CUST_INFO_SUB_25BAK)代码测试，数据验证。"/>
        <s v="首页输送转化-时点AUM功能开发"/>
        <s v="mrp清包袱：_x000a_迁移后 信用拆入拆出余额表 口径分析，脚本开发"/>
        <s v="20260312-【存量个人贷款信息】0228问题查询回复（1、存量，贷款质量为次级的本期利率为4.96，较上期减少104bp，贷款质量为可疑的本期利率为6.78，较上期上涨152bp，变动较大，请核实）；普惠相关3年的（2023-2025）提数，涉及15个指标（1、普惠小微贷款余额；2、信用贷款余额；3、抵质押贷款余额等15个指标）"/>
        <s v="对公任务同步功能测试"/>
        <s v="E变更流程状态ETL开发"/>
        <s v="分析以下存储过程新老存款模型使用情况及调整逻辑_x000a_SP_B_GENERALIZE_IDX_INN_CRM101_x000a_SP_B_GENERALIZE_IDX_INN_CRM124_x000a_SP_B_GENERALIZE_IDX_INN_CRM42_x000a_SP_B_GENERALIZE_IDX_INN_CRM43_x000a_"/>
        <s v="MRP_B_GOLD_SYS_FLOW脚本开发"/>
        <s v="执行验证开户尽调历史查询脱敏功能"/>
        <s v="kpi指标机构树查询管架机构映射器代码查看"/>
        <s v="DSM_EskThrDocEnqrIntf_001司库-三单查询接口开发"/>
        <s v="福费廷全口径、普惠口径BI新字段:当月投放已上线，绿色贷款2025年对公客户日均存款余额取数，逾期清单、不良明细下发udas版sql脚本维护"/>
        <s v="卡校验20260310数据整理_x000a_根据反馈失败报文分析长期未更新报文，并重新制作报文发出_x000a_核对2笔长期未更新数据CDATA\UPR_x000a_两端核对11月份版本分析，是否需要业务处理及处理方式  50%_x000a_1笔核销5笔关闭失败文件处理重新生成报文_x000a_客户异议深圳市华辉行贸易有限公司申请统码与中征码关联"/>
        <s v="S层数据加载:20260310_x000a_S84_INTM_FEE_SCHEDULE_x000a_S84_MT_BUSINESS_CONTRACT_x000a_S84_INTD_BOND_RATION_RESULT_x000a_S84_SYS_USER_x000a_S84_INTM_PROJECT_INFO_x000a_S84_COMM_CREDIT_LINES_x000a_S84_MT_PROJECT_INFO_x000a_S84_INTM_BUSINESS_CONTRACT_x000a_T05_PAY_PLAN_EVT_S84_x000a_T05_MT_PROJ_CONT_REG_EVT_S84_x000a_T05_IBBM_RATION_RESULT_EVT_S84_x000a_T05_IBBM_PUBLIC_EVT_S84_x000a_T05_IBBM_PROJECT_EVT_S84_x000a_T05_IBBM_INTM_PROJECT_EVT_S84_x000a_T05_IBBM_CREDIT_EVT_S84_x000a_T03_MT_PROJ_INFO_H_S84_x000a_T03_IBBM_AGMT_BOND_INFO_S84_x000a_T03_IBBM_AGMT_ASSET_INFO_S84"/>
        <s v="E变更新增实时接口查询当前处理人的需求分析"/>
        <s v="作业：MRP_IFBM_PROD_FLOW 同业流水作业合并：MRP_B_N_CWMRC_CORP_ASSET_FLOW、MRP_B_N_PERSONAL_CREDIT_FLOW"/>
        <s v="ccm_pa_c_mngr_y_new_interna完成比对"/>
        <s v="分析反馈异常处理方案"/>
        <s v="A0838Y004-征信异议录入审批-接口开发"/>
        <s v="专项任务-魏巍-长尾看板数据校验,今日已完成,已通过看板展示_x000a_专项任务-刘张杰-体验质检看板调整,今日已完成70%_x000a_专项任务-魏巍-长尾触达客户截至2月资产情况,今日已完成,已通过云文档交付"/>
        <s v="CCM_PA_C_MNGR_RELA_FINC补数脚本开发及验数"/>
        <s v="司库监管报送-数据字典管理开发 70%"/>
        <s v="专项任务-陈姿-信义贷看板，长期限定存看板数据手动更新；临时任务-陈姿-整理sas软件内是否存在敏感信息"/>
      </sharedItems>
    </cacheField>
    <cacheField name="工时（小时）" numFmtId="0">
      <sharedItems containsSemiMixedTypes="0" containsString="0" containsNumber="1" minValue="0" maxValue="16.833300000000001" count="150">
        <n v="8.5"/>
        <n v="11"/>
        <n v="10"/>
        <n v="11.5"/>
        <n v="10.166700000000001"/>
        <n v="4.25"/>
        <n v="9.2667000000000002"/>
        <n v="9.1667000000000005"/>
        <n v="8.75"/>
        <n v="12.5"/>
        <n v="5.1666999999999996"/>
        <n v="1.4167000000000001"/>
        <n v="6.6666999999999996"/>
        <n v="10.333299999999999"/>
        <n v="2"/>
        <n v="1.5"/>
        <n v="5"/>
        <n v="8.6667000000000005"/>
        <n v="9"/>
        <n v="2.1166999999999998"/>
        <n v="2.8332999999999999"/>
        <n v="1"/>
        <n v="1.7"/>
        <n v="8"/>
        <n v="2.15"/>
        <n v="0"/>
        <n v="8.9499999999999993"/>
        <n v="2.5"/>
        <n v="3.3332999999999999"/>
        <n v="8.9167000000000005"/>
        <n v="10.5"/>
        <n v="4.3333000000000004"/>
        <n v="4.1666999999999996"/>
        <n v="10.083299999999999"/>
        <n v="8.8332999999999995"/>
        <n v="9.5"/>
        <n v="8.6333000000000002"/>
        <n v="4"/>
        <n v="8.8000000000000007"/>
        <n v="9.75"/>
        <n v="5.5"/>
        <n v="1.2"/>
        <n v="11.833299999999999"/>
        <n v="9.0667000000000009"/>
        <n v="3.5"/>
        <n v="3"/>
        <n v="10.199999999999999"/>
        <n v="1.3"/>
        <n v="8.65"/>
        <n v="8.5832999999999995"/>
        <n v="3.4"/>
        <n v="5.0999999999999996"/>
        <n v="0.65"/>
        <n v="0.7"/>
        <n v="9.15"/>
        <n v="8.7166999999999994"/>
        <n v="9.3332999999999995"/>
        <n v="0.25"/>
        <n v="8.5500000000000007"/>
        <n v="9.6667000000000005"/>
        <n v="1.6667000000000001"/>
        <n v="9.35"/>
        <n v="6.0833000000000004"/>
        <n v="12"/>
        <n v="13"/>
        <n v="6.5"/>
        <n v="9.0167000000000002"/>
        <n v="6"/>
        <n v="8.6"/>
        <n v="10.4"/>
        <n v="4.5"/>
        <n v="7.5"/>
        <n v="3.6667000000000001"/>
        <n v="9.8000000000000007"/>
        <n v="11.666700000000001"/>
        <n v="12.75"/>
        <n v="13.5"/>
        <n v="10.65"/>
        <n v="4.75"/>
        <n v="12.2667"/>
        <n v="0.85"/>
        <n v="7"/>
        <n v="7.65"/>
        <n v="8.3332999999999995"/>
        <n v="9.8332999999999995"/>
        <n v="12.0167"/>
        <n v="2.1667000000000001"/>
        <n v="3.8332999999999999"/>
        <n v="12.333299999999999"/>
        <n v="10.55"/>
        <n v="11.966699999999999"/>
        <n v="7.6666999999999996"/>
        <n v="10.666700000000001"/>
        <n v="10.050000000000001"/>
        <n v="10.833299999999999"/>
        <n v="9.0333000000000006"/>
        <n v="0.6"/>
        <n v="1.1667000000000001"/>
        <n v="0.93330000000000002"/>
        <n v="9.9666999999999994"/>
        <n v="8.7667000000000002"/>
        <n v="1.0333000000000001"/>
        <n v="1.05"/>
        <n v="8.6166999999999998"/>
        <n v="9.25"/>
        <n v="10.916700000000001"/>
        <n v="1.1499999999999999"/>
        <n v="3.1667000000000001"/>
        <n v="10.566700000000001"/>
        <n v="1.3332999999999999"/>
        <n v="11.333299999999999"/>
        <n v="9.1166999999999998"/>
        <n v="13.333299999999999"/>
        <n v="9.5500000000000007"/>
        <n v="9.4167000000000005"/>
        <n v="10.283300000000001"/>
        <n v="3.75"/>
        <n v="4.6749999999999998"/>
        <n v="8.7833000000000006"/>
        <n v="11.7333"/>
        <n v="3.8250000000000002"/>
        <n v="2.3332999999999999"/>
        <n v="5.2"/>
        <n v="6.8"/>
        <n v="8.9"/>
        <n v="0.5"/>
        <n v="10.25"/>
        <n v="8.85"/>
        <n v="10.45"/>
        <n v="0.1333"/>
        <n v="9.9332999999999991"/>
        <n v="9.6999999999999993"/>
        <n v="9.3666999999999998"/>
        <n v="8.5667000000000009"/>
        <n v="14.5"/>
        <n v="5.95"/>
        <n v="9.5333000000000006"/>
        <n v="0.14169999999999999"/>
        <n v="8.8833000000000002"/>
        <n v="8.7332999999999998"/>
        <n v="12.416700000000001"/>
        <n v="14.333299999999999"/>
        <n v="10.15"/>
        <n v="1.8332999999999999"/>
        <n v="2.0499999999999998"/>
        <n v="9.1333000000000002"/>
        <n v="10.35"/>
        <n v="16.833300000000001"/>
        <n v="0.83330000000000004"/>
        <n v="10.6"/>
      </sharedItems>
    </cacheField>
    <cacheField name="需求牵头部门（二级）" numFmtId="0">
      <sharedItems containsBlank="1" count="10">
        <s v="数据平台部"/>
        <m/>
        <s v="数据开发部"/>
        <s v="上海开发测试中心"/>
        <s v="综合管理部"/>
        <s v="信息管理部"/>
        <s v="苏州开发测试中心"/>
        <s v="智能创新部"/>
        <s v="数据治理部"/>
        <s v="智能研发部"/>
      </sharedItems>
    </cacheField>
    <cacheField name="事项类型" numFmtId="0">
      <sharedItems containsBlank="1" count="19">
        <m/>
        <s v="开发（含模型、应用、数仓等）"/>
        <s v="项目管理（含外包管理）"/>
        <s v="评审（含架构评审、代码评审、CAB等）"/>
        <s v="运维"/>
        <s v="脚本整理"/>
        <s v="其他"/>
        <s v="设计（含可行性方案、概设、详设等）"/>
        <s v="生产运维"/>
        <s v="需求澄清与分析"/>
        <s v="培训学习"/>
        <s v="数据需求整理和管理"/>
        <s v="行政类工作"/>
        <s v="测试（含模型、应用、数仓等）"/>
        <s v="数据架构、数据模型设计与评审"/>
        <s v="项目流程质量管理"/>
        <s v="数据平台相关支撑"/>
        <s v="数据管理平台维护和测试"/>
        <s v="自主研发"/>
      </sharedItems>
    </cacheField>
    <cacheField name="是否行员" numFmtId="0">
      <sharedItems count="2">
        <s v="否"/>
        <s v="是"/>
      </sharedItems>
    </cacheField>
    <cacheField name="工作大类" numFmtId="0">
      <sharedItems containsBlank="1" count="8">
        <m/>
        <s v="运维支持"/>
        <s v="培训学习"/>
        <s v="流程类事务"/>
        <s v="评审会议"/>
        <s v="自主研发"/>
        <s v="数据专家"/>
        <s v="版本打包"/>
      </sharedItems>
    </cacheField>
    <cacheField name="工号2" numFmtId="0">
      <sharedItems count="406">
        <s v="CS9316"/>
        <s v="307438"/>
        <s v="CS5698"/>
        <s v="CS2303"/>
        <s v="CS6318"/>
        <s v="CS7825"/>
        <s v="CS0966"/>
        <s v="CS1663"/>
        <s v="CS7763"/>
        <s v="CS101076"/>
        <s v="CS100924"/>
        <s v="CS101133"/>
        <s v="CS3225"/>
        <s v="CS4237"/>
        <s v="CS1711"/>
        <s v="CS100416"/>
        <s v="CS6140"/>
        <s v="CS100315"/>
        <s v="CS9091"/>
        <s v="CS6565"/>
        <s v="CS6758"/>
        <s v="CS9009"/>
        <s v="CS9665"/>
        <s v="CS8932"/>
        <s v="CS101206"/>
        <s v="CS0493"/>
        <s v="CS7628"/>
        <s v="CS100308"/>
        <s v="CS0987"/>
        <s v="CS100902"/>
        <s v="CS0574"/>
        <s v="CS100191"/>
        <s v="CS0375"/>
        <s v="CS8393"/>
        <s v="CS7862"/>
        <s v="CS101220"/>
        <s v="CS100010"/>
        <s v="303471"/>
        <s v="CS7071"/>
        <s v="CS3509"/>
        <s v="CS100377"/>
        <s v="CS8500"/>
        <s v="CS4771"/>
        <s v="CS101081"/>
        <s v="CS0227"/>
        <s v="306190"/>
        <s v="CS3168"/>
        <s v="CS100301"/>
        <s v="CS101254"/>
        <s v="CS101338"/>
        <s v="CS8843"/>
        <s v="CS6364"/>
        <s v="CS8404"/>
        <s v="CS3632"/>
        <s v="CS101104"/>
        <s v="CS9050"/>
        <s v="CS5324"/>
        <s v="303482"/>
        <s v="304805"/>
        <s v="CS100875"/>
        <s v="CS1714"/>
        <s v="CS0898"/>
        <s v="CS100513"/>
        <s v="CS5187"/>
        <s v="CS2868"/>
        <s v="CS6470"/>
        <s v="CS3436"/>
        <s v="CS0495"/>
        <s v="CS3585"/>
        <s v="CS2860"/>
        <s v="CS8696"/>
        <s v="CS8805"/>
        <s v="CS101351"/>
        <s v="CS100853"/>
        <s v="CS3196"/>
        <s v="CS0604"/>
        <s v="306545"/>
        <s v="CS0326"/>
        <s v="CS7902"/>
        <s v="CS0254"/>
        <s v="CS6391"/>
        <s v="CS0770"/>
        <s v="304059"/>
        <s v="CS101303"/>
        <s v="CS4953"/>
        <s v="304765"/>
        <s v="CS4491"/>
        <s v="CS0581"/>
        <s v="CS3212"/>
        <s v="307311"/>
        <s v="CS8827"/>
        <s v="CS0985"/>
        <s v="305419"/>
        <s v="CS0025"/>
        <s v="CS6441"/>
        <s v="CS5736"/>
        <s v="307135"/>
        <s v="306836"/>
        <s v="CS9226"/>
        <s v="CS3399"/>
        <s v="303514"/>
        <s v="CS0815"/>
        <s v="CS1922"/>
        <s v="303060"/>
        <s v="307139"/>
        <s v="CS3920"/>
        <s v="CS5214"/>
        <s v="306523"/>
        <s v="307357"/>
        <s v="CS0247"/>
        <s v="CS0556"/>
        <s v="CS100657"/>
        <s v="CS4132"/>
        <s v="CS3579"/>
        <s v="CS0568"/>
        <s v="CS0703"/>
        <s v="CS101286"/>
        <s v="CS0409"/>
        <s v="307442"/>
        <s v="304826"/>
        <s v="304792"/>
        <s v="CS100028"/>
        <s v="303569"/>
        <s v="CS0354"/>
        <s v="302476"/>
        <s v="302570"/>
        <s v="CS4920"/>
        <s v="305042"/>
        <s v="306175"/>
        <s v="301732"/>
        <s v="CS0502"/>
        <s v="304855"/>
        <s v="CS3384"/>
        <s v="CS1940"/>
        <s v="CS8856"/>
        <s v="304049"/>
        <s v="303436"/>
        <s v="CS100698"/>
        <s v="304814"/>
        <s v="306527"/>
        <s v="307628"/>
        <s v="303447"/>
        <s v="306519"/>
        <s v="CS0381"/>
        <s v="305026"/>
        <s v="CS101102"/>
        <s v="302551"/>
        <s v="CS0728"/>
        <s v="304793"/>
        <s v="303930"/>
        <s v="305131"/>
        <s v="305907"/>
        <s v="304812"/>
        <s v="303504"/>
        <s v="306762"/>
        <s v="303439"/>
        <s v="307134"/>
        <s v="CS5337"/>
        <s v="CS2783"/>
        <s v="305337"/>
        <s v="306532"/>
        <s v="307310"/>
        <s v="CS7709"/>
        <s v="CS8594"/>
        <s v="305888"/>
        <s v="CS3813"/>
        <s v="304795"/>
        <s v="305341"/>
        <s v="307441"/>
        <s v="CS3312"/>
        <s v="305840"/>
        <s v="CS3372"/>
        <s v="CS100109"/>
        <s v="306171"/>
        <s v="CS6805"/>
        <s v="CS0100"/>
        <s v="305388"/>
        <s v="CS5111"/>
        <s v="306462"/>
        <s v="CS101313"/>
        <s v="304932"/>
        <s v="303519"/>
        <s v="CS100457"/>
        <s v="CS100725"/>
        <s v="306066"/>
        <s v="306529"/>
        <s v="304092"/>
        <s v="CS100455"/>
        <s v="306544"/>
        <s v="CS3951"/>
        <s v="CS4921"/>
        <s v="CS8345"/>
        <s v="303313"/>
        <s v="305358"/>
        <s v="307138"/>
        <s v="307136"/>
        <s v="CS3134"/>
        <s v="CS0226"/>
        <s v="CS4724"/>
        <s v="CS7437"/>
        <s v="306177"/>
        <s v="CS9358"/>
        <s v="CS9427"/>
        <s v="CS7900"/>
        <s v="CS0296"/>
        <s v="CS3633"/>
        <s v="CS9601"/>
        <s v="307451"/>
        <s v="CS0945"/>
        <s v="CS101077"/>
        <s v="306530"/>
        <s v="CS5506"/>
        <s v="CS0979"/>
        <s v="305188"/>
        <s v="CS100658"/>
        <s v="305266"/>
        <s v="305352"/>
        <s v="304085"/>
        <s v="CS7884"/>
        <s v="302573"/>
        <s v="305350"/>
        <s v="CS100883"/>
        <s v="CS3270"/>
        <s v="CS1085"/>
        <s v="304077"/>
        <s v="307439"/>
        <s v="CS4803"/>
        <s v="CS101148"/>
        <s v="CS5803"/>
        <s v="CS5491"/>
        <s v="CS6101"/>
        <s v="306525"/>
        <s v="CS4783"/>
        <s v="305396"/>
        <s v="CS0310"/>
        <s v="303473"/>
        <s v="CS4800"/>
        <s v="307447"/>
        <s v="CS8051"/>
        <s v="CS5941"/>
        <s v="305087"/>
        <s v="307351"/>
        <s v="CS0593"/>
        <s v="CS2843"/>
        <s v="CS5427"/>
        <s v="306475"/>
        <s v="CS7759"/>
        <s v="CS100843"/>
        <s v="304057"/>
        <s v="306537"/>
        <s v="CS3593"/>
        <s v="304303"/>
        <s v="CS0602"/>
        <s v="CS5347"/>
        <s v="305887"/>
        <s v="CS0411"/>
        <s v="305415"/>
        <s v="CS2813"/>
        <s v="CS6755"/>
        <s v="CS101335"/>
        <s v="306463"/>
        <s v="CS6757"/>
        <s v="CS9394"/>
        <s v="CS9136"/>
        <s v="CS0256"/>
        <s v="CS6784"/>
        <s v="CS7801"/>
        <s v="CS4126"/>
        <s v="306180"/>
        <s v="CS100497"/>
        <s v="CS0883"/>
        <s v="CS7620"/>
        <s v="CS100244"/>
        <s v="CS3511"/>
        <s v="304773"/>
        <s v="CS0586"/>
        <s v="CS8945"/>
        <s v="305431"/>
        <s v="CS101134"/>
        <s v="CS7831"/>
        <s v="303494"/>
        <s v="CS4873"/>
        <s v="304304"/>
        <s v="CS100832"/>
        <s v="CS3929"/>
        <s v="CS6716"/>
        <s v="CS7102"/>
        <s v="CS2181"/>
        <s v="306526"/>
        <s v="CS101128"/>
        <s v="CS3366"/>
        <s v="CS100724"/>
        <s v="305414"/>
        <s v="306187"/>
        <s v="304775"/>
        <s v="CS4658"/>
        <s v="CS100806"/>
        <s v="CS3378"/>
        <s v="CS100871"/>
        <s v="CS3018"/>
        <s v="305401"/>
        <s v="305425"/>
        <s v="306467"/>
        <s v="307307"/>
        <s v="CS6323"/>
        <s v="306538"/>
        <s v="304799"/>
        <s v="305481"/>
        <s v="CS8531"/>
        <s v="305405"/>
        <s v="CS100897"/>
        <s v="CS101007"/>
        <s v="CS101005"/>
        <s v="CS9726"/>
        <s v="CS100723"/>
        <s v="CS9413"/>
        <s v="305184"/>
        <s v="CS100407"/>
        <s v="CS5591"/>
        <s v="CS6845"/>
        <s v="CS6762"/>
        <s v="CS9066"/>
        <s v="CS8940"/>
        <s v="CS100889"/>
        <s v="306985"/>
        <s v="303450"/>
        <s v="CS8592"/>
        <s v="CS8400"/>
        <s v="CS4263"/>
        <s v="CS0396"/>
        <s v="CS101315"/>
        <s v="CS101057"/>
        <s v="CS3597"/>
        <s v="CS101070"/>
        <s v="CS100504"/>
        <s v="CS0874"/>
        <s v="CS1715"/>
        <s v="CS101183"/>
        <s v="CS1878"/>
        <s v="CS0952"/>
        <s v="CS9436"/>
        <s v="CS101008"/>
        <s v="CS3561"/>
        <s v="CS1706"/>
        <s v="CS101171"/>
        <s v="CS100988"/>
        <s v="CS1907"/>
        <s v="CS0805"/>
        <s v="CS9425"/>
        <s v="CS6673"/>
        <s v="CS0408"/>
        <s v="CS5112"/>
        <s v="CS9185"/>
        <s v="CS9485"/>
        <s v="CS101103"/>
        <s v="CS0509"/>
        <s v="CS0395"/>
        <s v="CS100270"/>
        <s v="CS7269"/>
        <s v="306252"/>
        <s v="CS6114"/>
        <s v="306191"/>
        <s v="CS8364"/>
        <s v="CS0837"/>
        <s v="306531"/>
        <s v="CS0958"/>
        <s v="CS7823"/>
        <s v="CS7240"/>
        <s v="CS5114"/>
        <s v="CS4396"/>
        <s v="CS5421"/>
        <s v="CS0962"/>
        <s v="CS2596"/>
        <s v="CS100331"/>
        <s v="CS7799"/>
        <s v="CS1661"/>
        <s v="CS9581"/>
        <s v="305377"/>
        <s v="307133"/>
        <s v="CS7436"/>
        <s v="CS5404"/>
        <s v="CS2883"/>
        <s v="CS4432"/>
        <s v="319957"/>
        <s v="CS7679"/>
        <s v="CS101325"/>
        <s v="306534"/>
        <s v="305473"/>
        <s v="CS7707"/>
        <s v="305382"/>
        <s v="CS0567"/>
        <s v="CS0521"/>
        <s v="305363"/>
        <s v="CS6371"/>
        <s v="304064"/>
        <s v="307234"/>
        <s v="CS4799"/>
        <s v="303028"/>
        <s v="CS101004"/>
        <s v="305421"/>
        <s v="305424"/>
        <s v="306860"/>
        <s v="307450"/>
        <s v="305484"/>
        <s v="CS6406"/>
        <s v="305432"/>
      </sharedItems>
    </cacheField>
    <cacheField name="用人科室" numFmtId="0">
      <sharedItems count="9">
        <s v="数据开发部"/>
        <s v="智能应用二部"/>
        <s v="数据平台部"/>
        <s v="数据测试部"/>
        <s v="信息管理部"/>
        <s v="智能应用一部"/>
        <s v="数据治理部"/>
        <s v="综合管理部"/>
        <s v="智能平台部"/>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946">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数据透视表1" cacheId="4" applyNumberFormats="0" applyBorderFormats="0" applyFontFormats="0" applyPatternFormats="0" applyAlignmentFormats="0" applyWidthHeightFormats="1" dataCaption="值" updatedVersion="5" minRefreshableVersion="3" useAutoFormatting="1" createdVersion="5" indent="0" compact="0" outline="1" outlineData="1" compactData="0" multipleFieldFilters="0">
  <location ref="A4:B10" firstHeaderRow="1" firstDataRow="1" firstDataCol="1" rowPageCount="2" colPageCount="1"/>
  <pivotFields count="33">
    <pivotField compact="0" numFmtId="179" showAll="0">
      <items count="4053">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Page" compact="0" multipleItemSelectionAllowed="1" showAll="0">
      <items count="213">
        <item x="33"/>
        <item x="47"/>
        <item x="140"/>
        <item x="10"/>
        <item x="149"/>
        <item x="157"/>
        <item x="71"/>
        <item x="85"/>
        <item x="154"/>
        <item x="189"/>
        <item x="81"/>
        <item x="6"/>
        <item x="86"/>
        <item x="5"/>
        <item x="40"/>
        <item x="159"/>
        <item x="35"/>
        <item x="191"/>
        <item x="193"/>
        <item x="84"/>
        <item x="61"/>
        <item x="121"/>
        <item x="180"/>
        <item x="22"/>
        <item x="152"/>
        <item x="175"/>
        <item x="188"/>
        <item x="13"/>
        <item x="173"/>
        <item x="131"/>
        <item x="17"/>
        <item x="163"/>
        <item x="201"/>
        <item x="0"/>
        <item x="114"/>
        <item x="147"/>
        <item x="48"/>
        <item x="66"/>
        <item x="103"/>
        <item x="30"/>
        <item x="129"/>
        <item x="113"/>
        <item x="78"/>
        <item x="153"/>
        <item x="14"/>
        <item x="143"/>
        <item x="20"/>
        <item x="55"/>
        <item x="195"/>
        <item x="169"/>
        <item x="99"/>
        <item x="64"/>
        <item x="69"/>
        <item x="198"/>
        <item x="67"/>
        <item x="80"/>
        <item x="186"/>
        <item x="194"/>
        <item x="168"/>
        <item x="52"/>
        <item x="126"/>
        <item x="116"/>
        <item x="102"/>
        <item x="196"/>
        <item x="50"/>
        <item x="77"/>
        <item x="104"/>
        <item x="205"/>
        <item x="123"/>
        <item x="21"/>
        <item x="8"/>
        <item x="132"/>
        <item x="41"/>
        <item x="105"/>
        <item x="89"/>
        <item x="128"/>
        <item x="106"/>
        <item x="127"/>
        <item x="27"/>
        <item x="9"/>
        <item x="177"/>
        <item x="150"/>
        <item x="68"/>
        <item x="56"/>
        <item x="148"/>
        <item x="38"/>
        <item x="199"/>
        <item x="162"/>
        <item x="158"/>
        <item x="133"/>
        <item x="97"/>
        <item x="145"/>
        <item x="36"/>
        <item x="12"/>
        <item x="45"/>
        <item x="93"/>
        <item x="34"/>
        <item x="155"/>
        <item x="92"/>
        <item x="75"/>
        <item x="63"/>
        <item x="79"/>
        <item x="119"/>
        <item x="73"/>
        <item x="42"/>
        <item x="108"/>
        <item x="98"/>
        <item x="76"/>
        <item x="135"/>
        <item x="96"/>
        <item x="130"/>
        <item x="24"/>
        <item x="53"/>
        <item x="136"/>
        <item x="209"/>
        <item x="72"/>
        <item x="139"/>
        <item x="74"/>
        <item x="167"/>
        <item x="4"/>
        <item x="29"/>
        <item x="170"/>
        <item x="156"/>
        <item x="184"/>
        <item x="111"/>
        <item x="211"/>
        <item x="182"/>
        <item x="117"/>
        <item x="100"/>
        <item x="31"/>
        <item x="172"/>
        <item x="7"/>
        <item x="59"/>
        <item x="164"/>
        <item x="2"/>
        <item x="11"/>
        <item x="120"/>
        <item x="49"/>
        <item x="115"/>
        <item x="178"/>
        <item x="62"/>
        <item x="165"/>
        <item x="107"/>
        <item x="82"/>
        <item x="28"/>
        <item x="204"/>
        <item x="87"/>
        <item x="16"/>
        <item x="101"/>
        <item x="179"/>
        <item x="19"/>
        <item x="161"/>
        <item x="160"/>
        <item x="26"/>
        <item x="39"/>
        <item x="112"/>
        <item x="94"/>
        <item x="118"/>
        <item x="70"/>
        <item x="124"/>
        <item x="91"/>
        <item x="183"/>
        <item x="141"/>
        <item x="171"/>
        <item x="65"/>
        <item x="187"/>
        <item x="44"/>
        <item x="110"/>
        <item x="190"/>
        <item x="125"/>
        <item x="197"/>
        <item x="25"/>
        <item x="51"/>
        <item x="3"/>
        <item x="18"/>
        <item x="208"/>
        <item x="46"/>
        <item x="109"/>
        <item x="166"/>
        <item x="206"/>
        <item x="192"/>
        <item x="142"/>
        <item x="203"/>
        <item x="137"/>
        <item x="207"/>
        <item x="58"/>
        <item x="88"/>
        <item x="23"/>
        <item x="185"/>
        <item x="181"/>
        <item x="176"/>
        <item x="122"/>
        <item x="37"/>
        <item x="90"/>
        <item x="83"/>
        <item x="210"/>
        <item x="15"/>
        <item x="95"/>
        <item x="174"/>
        <item x="138"/>
        <item x="32"/>
        <item x="134"/>
        <item x="43"/>
        <item x="60"/>
        <item x="151"/>
        <item x="54"/>
        <item x="200"/>
        <item x="144"/>
        <item x="146"/>
        <item x="57"/>
        <item x="202"/>
        <item h="1" x="1"/>
        <item t="default"/>
      </items>
    </pivotField>
    <pivotField compact="0" showAll="0"/>
    <pivotField compact="0" showAll="0"/>
    <pivotField compact="0" showAll="0"/>
    <pivotField compact="0" showAll="0"/>
    <pivotField compact="0" showAll="0"/>
    <pivotField compact="0" showAll="0"/>
    <pivotField compact="0" showAll="0"/>
    <pivotField compact="0" multipleItemSelectionAllowed="1" showAll="0">
      <items count="212">
        <item x="103"/>
        <item x="54"/>
        <item x="200"/>
        <item x="151"/>
        <item x="0"/>
        <item x="80"/>
        <item x="31"/>
        <item x="7"/>
        <item x="100"/>
        <item x="14"/>
        <item x="126"/>
        <item x="203"/>
        <item x="190"/>
        <item x="12"/>
        <item x="41"/>
        <item x="165"/>
        <item x="188"/>
        <item x="147"/>
        <item x="43"/>
        <item x="161"/>
        <item x="6"/>
        <item x="158"/>
        <item x="87"/>
        <item x="48"/>
        <item x="82"/>
        <item x="171"/>
        <item x="179"/>
        <item x="20"/>
        <item x="58"/>
        <item x="144"/>
        <item x="163"/>
        <item x="113"/>
        <item x="9"/>
        <item x="75"/>
        <item x="86"/>
        <item x="28"/>
        <item x="3"/>
        <item x="69"/>
        <item x="124"/>
        <item x="16"/>
        <item x="186"/>
        <item x="46"/>
        <item x="40"/>
        <item x="34"/>
        <item x="5"/>
        <item x="11"/>
        <item x="202"/>
        <item x="93"/>
        <item x="18"/>
        <item x="32"/>
        <item x="71"/>
        <item x="191"/>
        <item x="150"/>
        <item x="128"/>
        <item x="143"/>
        <item x="210"/>
        <item x="184"/>
        <item x="59"/>
        <item x="42"/>
        <item x="116"/>
        <item x="117"/>
        <item x="23"/>
        <item x="62"/>
        <item x="88"/>
        <item x="27"/>
        <item x="183"/>
        <item x="195"/>
        <item x="70"/>
        <item x="133"/>
        <item x="155"/>
        <item x="125"/>
        <item x="146"/>
        <item x="192"/>
        <item x="33"/>
        <item x="122"/>
        <item x="199"/>
        <item x="167"/>
        <item x="110"/>
        <item x="19"/>
        <item x="68"/>
        <item x="107"/>
        <item x="8"/>
        <item x="132"/>
        <item x="36"/>
        <item x="209"/>
        <item x="111"/>
        <item x="91"/>
        <item x="168"/>
        <item x="39"/>
        <item x="140"/>
        <item x="208"/>
        <item x="112"/>
        <item x="106"/>
        <item x="105"/>
        <item x="196"/>
        <item x="101"/>
        <item x="25"/>
        <item x="185"/>
        <item x="137"/>
        <item x="118"/>
        <item x="160"/>
        <item x="136"/>
        <item x="187"/>
        <item x="98"/>
        <item x="123"/>
        <item x="152"/>
        <item x="134"/>
        <item x="15"/>
        <item x="53"/>
        <item x="97"/>
        <item x="189"/>
        <item x="21"/>
        <item x="164"/>
        <item x="22"/>
        <item x="149"/>
        <item x="30"/>
        <item x="49"/>
        <item x="145"/>
        <item x="24"/>
        <item x="169"/>
        <item x="17"/>
        <item x="170"/>
        <item x="153"/>
        <item x="148"/>
        <item x="157"/>
        <item x="159"/>
        <item x="194"/>
        <item x="83"/>
        <item x="37"/>
        <item x="90"/>
        <item x="204"/>
        <item x="56"/>
        <item x="13"/>
        <item x="174"/>
        <item x="47"/>
        <item x="65"/>
        <item x="120"/>
        <item x="178"/>
        <item x="89"/>
        <item x="135"/>
        <item x="193"/>
        <item x="92"/>
        <item x="166"/>
        <item x="182"/>
        <item x="205"/>
        <item x="109"/>
        <item x="129"/>
        <item x="95"/>
        <item x="74"/>
        <item x="119"/>
        <item x="154"/>
        <item x="201"/>
        <item x="77"/>
        <item x="180"/>
        <item x="35"/>
        <item x="50"/>
        <item x="102"/>
        <item x="94"/>
        <item x="177"/>
        <item x="206"/>
        <item x="127"/>
        <item x="63"/>
        <item x="45"/>
        <item x="57"/>
        <item x="55"/>
        <item x="99"/>
        <item x="114"/>
        <item x="115"/>
        <item x="67"/>
        <item x="130"/>
        <item x="85"/>
        <item x="207"/>
        <item x="181"/>
        <item x="197"/>
        <item x="142"/>
        <item x="162"/>
        <item x="84"/>
        <item x="10"/>
        <item x="81"/>
        <item x="66"/>
        <item x="138"/>
        <item x="76"/>
        <item x="139"/>
        <item x="141"/>
        <item x="176"/>
        <item x="52"/>
        <item x="26"/>
        <item x="64"/>
        <item x="60"/>
        <item x="29"/>
        <item x="131"/>
        <item x="79"/>
        <item x="2"/>
        <item x="121"/>
        <item x="198"/>
        <item x="104"/>
        <item x="108"/>
        <item x="156"/>
        <item x="73"/>
        <item x="4"/>
        <item x="173"/>
        <item x="72"/>
        <item x="44"/>
        <item x="51"/>
        <item x="38"/>
        <item x="175"/>
        <item x="96"/>
        <item x="61"/>
        <item x="172"/>
        <item x="78"/>
        <item h="1" x="1"/>
        <item t="default"/>
      </items>
    </pivotField>
    <pivotField compact="0" showAll="0"/>
    <pivotField compact="0" showAll="0"/>
    <pivotField compact="0" showAll="0"/>
    <pivotField compact="0" showAll="0"/>
    <pivotField compact="0" showAll="0"/>
    <pivotField dataField="1" compact="0" showAll="0">
      <items count="151">
        <item x="25"/>
        <item x="129"/>
        <item x="137"/>
        <item x="57"/>
        <item x="125"/>
        <item x="96"/>
        <item x="52"/>
        <item x="53"/>
        <item x="148"/>
        <item x="80"/>
        <item x="98"/>
        <item x="21"/>
        <item x="101"/>
        <item x="102"/>
        <item x="106"/>
        <item x="97"/>
        <item x="41"/>
        <item x="47"/>
        <item x="109"/>
        <item x="11"/>
        <item x="15"/>
        <item x="60"/>
        <item x="22"/>
        <item x="143"/>
        <item x="14"/>
        <item x="144"/>
        <item x="19"/>
        <item x="24"/>
        <item x="86"/>
        <item x="121"/>
        <item x="27"/>
        <item x="20"/>
        <item x="45"/>
        <item x="107"/>
        <item x="28"/>
        <item x="50"/>
        <item x="44"/>
        <item x="72"/>
        <item x="116"/>
        <item x="120"/>
        <item x="87"/>
        <item x="37"/>
        <item x="32"/>
        <item x="5"/>
        <item x="31"/>
        <item x="70"/>
        <item x="117"/>
        <item x="78"/>
        <item x="16"/>
        <item x="51"/>
        <item x="10"/>
        <item x="122"/>
        <item x="40"/>
        <item x="135"/>
        <item x="67"/>
        <item x="62"/>
        <item x="65"/>
        <item x="12"/>
        <item x="123"/>
        <item x="81"/>
        <item x="71"/>
        <item x="82"/>
        <item x="91"/>
        <item x="23"/>
        <item x="83"/>
        <item x="0"/>
        <item x="58"/>
        <item x="133"/>
        <item x="49"/>
        <item x="68"/>
        <item x="103"/>
        <item x="36"/>
        <item x="48"/>
        <item x="17"/>
        <item x="55"/>
        <item x="139"/>
        <item x="8"/>
        <item x="100"/>
        <item x="118"/>
        <item x="38"/>
        <item x="34"/>
        <item x="127"/>
        <item x="138"/>
        <item x="124"/>
        <item x="29"/>
        <item x="26"/>
        <item x="18"/>
        <item x="66"/>
        <item x="95"/>
        <item x="43"/>
        <item x="111"/>
        <item x="145"/>
        <item x="54"/>
        <item x="7"/>
        <item x="104"/>
        <item x="6"/>
        <item x="56"/>
        <item x="61"/>
        <item x="132"/>
        <item x="114"/>
        <item x="35"/>
        <item x="136"/>
        <item x="113"/>
        <item x="59"/>
        <item x="131"/>
        <item x="39"/>
        <item x="73"/>
        <item x="84"/>
        <item x="130"/>
        <item x="99"/>
        <item x="2"/>
        <item x="93"/>
        <item x="33"/>
        <item x="142"/>
        <item x="4"/>
        <item x="46"/>
        <item x="126"/>
        <item x="115"/>
        <item x="13"/>
        <item x="146"/>
        <item x="69"/>
        <item x="128"/>
        <item x="30"/>
        <item x="89"/>
        <item x="108"/>
        <item x="149"/>
        <item x="77"/>
        <item x="92"/>
        <item x="94"/>
        <item x="105"/>
        <item x="1"/>
        <item x="110"/>
        <item x="3"/>
        <item x="74"/>
        <item x="119"/>
        <item x="42"/>
        <item x="90"/>
        <item x="63"/>
        <item x="85"/>
        <item x="79"/>
        <item x="88"/>
        <item x="140"/>
        <item x="9"/>
        <item x="75"/>
        <item x="64"/>
        <item x="112"/>
        <item x="76"/>
        <item x="141"/>
        <item x="134"/>
        <item x="147"/>
        <item t="default"/>
      </items>
    </pivotField>
    <pivotField compact="0" showAll="0"/>
    <pivotField axis="axisPage" compact="0" multipleItemSelectionAllowed="1" showAll="0">
      <items count="20">
        <item x="13"/>
        <item h="1" x="12"/>
        <item h="1" x="5"/>
        <item x="1"/>
        <item h="1" x="10"/>
        <item h="1" x="3"/>
        <item h="1" x="6"/>
        <item x="7"/>
        <item h="1" x="8"/>
        <item h="1" x="17"/>
        <item h="1" x="14"/>
        <item h="1" x="16"/>
        <item h="1" x="11"/>
        <item x="2"/>
        <item h="1" x="15"/>
        <item x="9"/>
        <item h="1" x="4"/>
        <item h="1" x="18"/>
        <item h="1" x="0"/>
        <item t="default"/>
      </items>
    </pivotField>
    <pivotField compact="0" showAll="0"/>
    <pivotField compact="0" showAll="0"/>
    <pivotField compact="0" showAll="0"/>
    <pivotField axis="axisRow" compact="0" showAll="0">
      <items count="10">
        <item x="3"/>
        <item x="0"/>
        <item x="2"/>
        <item x="6"/>
        <item x="4"/>
        <item x="8"/>
        <item x="1"/>
        <item x="5"/>
        <item x="7"/>
        <item t="default"/>
      </items>
    </pivotField>
  </pivotFields>
  <rowFields count="1">
    <field x="32"/>
  </rowFields>
  <rowItems count="6">
    <i>
      <x v="1"/>
    </i>
    <i>
      <x v="2"/>
    </i>
    <i>
      <x v="4"/>
    </i>
    <i>
      <x v="6"/>
    </i>
    <i>
      <x v="7"/>
    </i>
    <i t="grand">
      <x/>
    </i>
  </rowItems>
  <colItems count="1">
    <i/>
  </colItems>
  <pageFields count="2">
    <pageField fld="28" hier="0"/>
    <pageField fld="12" hier="0"/>
  </pageFields>
  <dataFields count="1">
    <dataField name="求和项:工时（小时）"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workbookViewId="0">
      <selection activeCell="I18" sqref="I18"/>
    </sheetView>
  </sheetViews>
  <sheetFormatPr defaultColWidth="8.875" defaultRowHeight="13.5" x14ac:dyDescent="0.15"/>
  <cols>
    <col min="1" max="1" width="16.5"/>
    <col min="2" max="2" width="23.25"/>
    <col min="6" max="6" width="14.125" customWidth="1"/>
    <col min="7" max="7" width="23.25" hidden="1" customWidth="1"/>
    <col min="8" max="9" width="23.25" customWidth="1"/>
    <col min="10" max="10" width="23.125" hidden="1" customWidth="1"/>
    <col min="11" max="11" width="21.125" customWidth="1"/>
    <col min="12" max="12" width="12.875"/>
  </cols>
  <sheetData>
    <row r="1" spans="1:12" x14ac:dyDescent="0.15">
      <c r="A1" t="s">
        <v>0</v>
      </c>
      <c r="B1" t="s">
        <v>1</v>
      </c>
    </row>
    <row r="2" spans="1:12" x14ac:dyDescent="0.15">
      <c r="A2" t="s">
        <v>2</v>
      </c>
      <c r="B2" t="s">
        <v>1</v>
      </c>
    </row>
    <row r="4" spans="1:12" x14ac:dyDescent="0.15">
      <c r="A4" t="s">
        <v>3</v>
      </c>
      <c r="B4" t="s">
        <v>4</v>
      </c>
      <c r="F4" s="35" t="s">
        <v>3</v>
      </c>
      <c r="G4" s="35" t="s">
        <v>5</v>
      </c>
      <c r="H4" s="36" t="s">
        <v>5</v>
      </c>
      <c r="I4" s="36" t="s">
        <v>6</v>
      </c>
      <c r="J4" s="38" t="s">
        <v>7</v>
      </c>
      <c r="K4" s="36" t="s">
        <v>8</v>
      </c>
      <c r="L4" s="35" t="s">
        <v>9</v>
      </c>
    </row>
    <row r="5" spans="1:12" x14ac:dyDescent="0.15">
      <c r="A5" t="s">
        <v>10</v>
      </c>
      <c r="B5">
        <v>300.75</v>
      </c>
      <c r="F5" s="37" t="s">
        <v>11</v>
      </c>
      <c r="G5" s="37">
        <v>278.44990000000001</v>
      </c>
      <c r="H5" s="38">
        <v>39.869999999999997</v>
      </c>
      <c r="I5" s="39">
        <f t="shared" ref="I5:I10" si="0">G5/8.5</f>
        <v>32.758811764705882</v>
      </c>
      <c r="J5" s="38"/>
      <c r="K5" s="38">
        <f t="shared" ref="K5:K10" si="1">J5/8.5</f>
        <v>0</v>
      </c>
      <c r="L5" s="40">
        <f t="shared" ref="L5:L10" si="2">K5/I5</f>
        <v>0</v>
      </c>
    </row>
    <row r="6" spans="1:12" x14ac:dyDescent="0.15">
      <c r="A6" t="s">
        <v>12</v>
      </c>
      <c r="B6">
        <v>349.13330000000002</v>
      </c>
      <c r="F6" s="37" t="s">
        <v>10</v>
      </c>
      <c r="G6" s="37">
        <v>1878.26620000001</v>
      </c>
      <c r="H6" s="38">
        <v>410.24</v>
      </c>
      <c r="I6" s="39">
        <f t="shared" si="0"/>
        <v>220.97249411764824</v>
      </c>
      <c r="J6" s="38">
        <v>300.75</v>
      </c>
      <c r="K6" s="38">
        <f t="shared" si="1"/>
        <v>35.382352941176471</v>
      </c>
      <c r="L6" s="40">
        <f t="shared" si="2"/>
        <v>0.16012107336010115</v>
      </c>
    </row>
    <row r="7" spans="1:12" x14ac:dyDescent="0.15">
      <c r="A7" t="s">
        <v>13</v>
      </c>
      <c r="B7">
        <v>280.5</v>
      </c>
      <c r="F7" s="37" t="s">
        <v>12</v>
      </c>
      <c r="G7" s="37">
        <v>1225.3331000000001</v>
      </c>
      <c r="H7" s="38">
        <v>241.66</v>
      </c>
      <c r="I7" s="39">
        <f t="shared" si="0"/>
        <v>144.15683529411766</v>
      </c>
      <c r="J7" s="38">
        <v>349.13330000000002</v>
      </c>
      <c r="K7" s="38">
        <f t="shared" si="1"/>
        <v>41.074505882352945</v>
      </c>
      <c r="L7" s="40">
        <f t="shared" si="2"/>
        <v>0.28492929800068245</v>
      </c>
    </row>
    <row r="8" spans="1:12" x14ac:dyDescent="0.15">
      <c r="A8" t="s">
        <v>14</v>
      </c>
      <c r="B8">
        <v>76.5</v>
      </c>
      <c r="F8" s="37" t="s">
        <v>15</v>
      </c>
      <c r="G8" s="37">
        <v>160.68350000000001</v>
      </c>
      <c r="H8" s="38">
        <v>37</v>
      </c>
      <c r="I8" s="39">
        <f t="shared" si="0"/>
        <v>18.903941176470589</v>
      </c>
      <c r="J8" s="38"/>
      <c r="K8" s="38">
        <f t="shared" si="1"/>
        <v>0</v>
      </c>
      <c r="L8" s="40">
        <f t="shared" si="2"/>
        <v>0</v>
      </c>
    </row>
    <row r="9" spans="1:12" x14ac:dyDescent="0.15">
      <c r="A9" t="s">
        <v>16</v>
      </c>
      <c r="B9">
        <v>76.5</v>
      </c>
      <c r="F9" s="37" t="s">
        <v>14</v>
      </c>
      <c r="G9" s="37">
        <v>919.41650000000004</v>
      </c>
      <c r="H9" s="38">
        <v>201.5</v>
      </c>
      <c r="I9" s="39">
        <f t="shared" si="0"/>
        <v>108.16664705882353</v>
      </c>
      <c r="J9" s="38">
        <v>76.5</v>
      </c>
      <c r="K9" s="38">
        <f t="shared" si="1"/>
        <v>9</v>
      </c>
      <c r="L9" s="40">
        <f t="shared" si="2"/>
        <v>8.3204945745480971E-2</v>
      </c>
    </row>
    <row r="10" spans="1:12" x14ac:dyDescent="0.15">
      <c r="A10" t="s">
        <v>17</v>
      </c>
      <c r="B10">
        <v>1083.3833</v>
      </c>
      <c r="F10" s="37" t="s">
        <v>16</v>
      </c>
      <c r="G10" s="37">
        <v>860.69970000000001</v>
      </c>
      <c r="H10" s="38">
        <v>141.41</v>
      </c>
      <c r="I10" s="39">
        <f t="shared" si="0"/>
        <v>101.25878823529412</v>
      </c>
      <c r="J10" s="38">
        <v>76.5</v>
      </c>
      <c r="K10" s="38">
        <f t="shared" si="1"/>
        <v>9</v>
      </c>
      <c r="L10" s="40">
        <f t="shared" si="2"/>
        <v>8.8881174235334343E-2</v>
      </c>
    </row>
  </sheetData>
  <phoneticPr fontId="9"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73"/>
  <sheetViews>
    <sheetView tabSelected="1" topLeftCell="A187" workbookViewId="0">
      <selection activeCell="I216" sqref="I216"/>
    </sheetView>
  </sheetViews>
  <sheetFormatPr defaultColWidth="9" defaultRowHeight="13.5" x14ac:dyDescent="0.15"/>
  <cols>
    <col min="1" max="1" width="22" customWidth="1"/>
    <col min="4" max="4" width="13" customWidth="1"/>
    <col min="5" max="5" width="11.875" customWidth="1"/>
    <col min="6" max="6" width="33.125" customWidth="1"/>
    <col min="7" max="7" width="21.75" customWidth="1"/>
    <col min="8" max="8" width="34.25" customWidth="1"/>
    <col min="9" max="11" width="11.5" customWidth="1"/>
    <col min="12" max="12" width="22.875" customWidth="1"/>
  </cols>
  <sheetData>
    <row r="1" spans="1:12" x14ac:dyDescent="0.15">
      <c r="A1" t="s">
        <v>18</v>
      </c>
      <c r="B1" s="33" t="s">
        <v>19</v>
      </c>
      <c r="C1" s="33" t="s">
        <v>20</v>
      </c>
      <c r="D1" s="33" t="s">
        <v>21</v>
      </c>
      <c r="E1" s="33" t="s">
        <v>22</v>
      </c>
      <c r="F1" t="s">
        <v>23</v>
      </c>
      <c r="G1" t="s">
        <v>24</v>
      </c>
      <c r="H1" t="s">
        <v>25</v>
      </c>
      <c r="I1" t="s">
        <v>2</v>
      </c>
      <c r="J1" t="s">
        <v>26</v>
      </c>
      <c r="K1" t="s">
        <v>27</v>
      </c>
      <c r="L1" s="33" t="s">
        <v>0</v>
      </c>
    </row>
    <row r="2" spans="1:12" x14ac:dyDescent="0.15">
      <c r="A2" s="34">
        <v>46106.698657407404</v>
      </c>
      <c r="B2" t="s">
        <v>48</v>
      </c>
      <c r="C2" t="s">
        <v>49</v>
      </c>
      <c r="D2" t="s">
        <v>16</v>
      </c>
      <c r="E2" t="str">
        <f>VLOOKUP(B2,'人员清单-202603'!D:J,7,FALSE)</f>
        <v>对公应用组</v>
      </c>
      <c r="F2" t="s">
        <v>50</v>
      </c>
      <c r="I2" t="s">
        <v>51</v>
      </c>
      <c r="K2">
        <v>8.5</v>
      </c>
      <c r="L2" t="s">
        <v>29</v>
      </c>
    </row>
    <row r="3" spans="1:12" x14ac:dyDescent="0.15">
      <c r="A3" s="34">
        <v>46106.661030092597</v>
      </c>
      <c r="B3" t="s">
        <v>57</v>
      </c>
      <c r="C3" t="s">
        <v>58</v>
      </c>
      <c r="D3" t="s">
        <v>16</v>
      </c>
      <c r="E3" t="str">
        <f>VLOOKUP(B3,'人员清单-202603'!D:J,7,FALSE)</f>
        <v>对公应用组</v>
      </c>
      <c r="F3" t="s">
        <v>59</v>
      </c>
      <c r="K3">
        <v>8.5</v>
      </c>
      <c r="L3" t="s">
        <v>34</v>
      </c>
    </row>
    <row r="4" spans="1:12" x14ac:dyDescent="0.15">
      <c r="A4" s="34">
        <v>46106.596111111103</v>
      </c>
      <c r="B4" t="s">
        <v>76</v>
      </c>
      <c r="C4" t="s">
        <v>77</v>
      </c>
      <c r="D4" t="s">
        <v>16</v>
      </c>
      <c r="E4" t="str">
        <f>VLOOKUP(B4,'人员清单-202603'!D:J,7,FALSE)</f>
        <v>对公应用组</v>
      </c>
      <c r="F4" t="s">
        <v>78</v>
      </c>
      <c r="K4">
        <v>8</v>
      </c>
      <c r="L4" t="s">
        <v>29</v>
      </c>
    </row>
    <row r="5" spans="1:12" x14ac:dyDescent="0.15">
      <c r="A5" s="34">
        <v>46106.572685185201</v>
      </c>
      <c r="B5" t="s">
        <v>79</v>
      </c>
      <c r="C5" t="s">
        <v>80</v>
      </c>
      <c r="D5" t="s">
        <v>16</v>
      </c>
      <c r="E5" t="str">
        <f>VLOOKUP(B5,'人员清单-202603'!D:J,7,FALSE)</f>
        <v>零售应用组</v>
      </c>
      <c r="F5" t="s">
        <v>81</v>
      </c>
      <c r="K5">
        <v>8.5</v>
      </c>
      <c r="L5" t="s">
        <v>40</v>
      </c>
    </row>
    <row r="6" spans="1:12" x14ac:dyDescent="0.15">
      <c r="A6" s="34">
        <v>46106.4163078704</v>
      </c>
      <c r="B6" t="s">
        <v>107</v>
      </c>
      <c r="C6" t="s">
        <v>108</v>
      </c>
      <c r="D6" t="s">
        <v>16</v>
      </c>
      <c r="E6" t="str">
        <f>VLOOKUP(B6,'人员清单-202603'!D:J,7,FALSE)</f>
        <v>对公应用组</v>
      </c>
      <c r="F6" t="s">
        <v>109</v>
      </c>
      <c r="K6">
        <v>4.25</v>
      </c>
      <c r="L6" t="s">
        <v>42</v>
      </c>
    </row>
    <row r="7" spans="1:12" x14ac:dyDescent="0.15">
      <c r="A7" s="34">
        <v>46106.415868055599</v>
      </c>
      <c r="B7" t="s">
        <v>107</v>
      </c>
      <c r="C7" t="s">
        <v>108</v>
      </c>
      <c r="D7" t="s">
        <v>16</v>
      </c>
      <c r="E7" t="str">
        <f>VLOOKUP(B7,'人员清单-202603'!D:J,7,FALSE)</f>
        <v>对公应用组</v>
      </c>
      <c r="F7" t="s">
        <v>59</v>
      </c>
      <c r="K7">
        <v>4.25</v>
      </c>
      <c r="L7" t="s">
        <v>34</v>
      </c>
    </row>
    <row r="8" spans="1:12" x14ac:dyDescent="0.15">
      <c r="A8" s="34">
        <v>46106.383923611102</v>
      </c>
      <c r="B8" t="s">
        <v>138</v>
      </c>
      <c r="C8" t="s">
        <v>139</v>
      </c>
      <c r="D8" t="s">
        <v>16</v>
      </c>
      <c r="E8" t="str">
        <f>VLOOKUP(B8,'人员清单-202603'!D:J,7,FALSE)</f>
        <v>对公应用组</v>
      </c>
      <c r="F8" t="s">
        <v>140</v>
      </c>
      <c r="K8">
        <v>4.25</v>
      </c>
      <c r="L8" t="s">
        <v>29</v>
      </c>
    </row>
    <row r="9" spans="1:12" x14ac:dyDescent="0.15">
      <c r="A9" s="34">
        <v>46106.383692129602</v>
      </c>
      <c r="B9" t="s">
        <v>138</v>
      </c>
      <c r="C9" t="s">
        <v>139</v>
      </c>
      <c r="D9" t="s">
        <v>16</v>
      </c>
      <c r="E9" t="str">
        <f>VLOOKUP(B9,'人员清单-202603'!D:J,7,FALSE)</f>
        <v>对公应用组</v>
      </c>
      <c r="F9" t="s">
        <v>141</v>
      </c>
      <c r="K9">
        <v>4.25</v>
      </c>
      <c r="L9" t="s">
        <v>41</v>
      </c>
    </row>
    <row r="10" spans="1:12" x14ac:dyDescent="0.15">
      <c r="A10" s="34">
        <v>46106.380648148202</v>
      </c>
      <c r="B10" t="s">
        <v>148</v>
      </c>
      <c r="C10" t="s">
        <v>149</v>
      </c>
      <c r="D10" t="s">
        <v>16</v>
      </c>
      <c r="E10" t="str">
        <f>VLOOKUP(B10,'人员清单-202603'!D:J,7,FALSE)</f>
        <v>零售应用组</v>
      </c>
      <c r="F10" t="s">
        <v>150</v>
      </c>
      <c r="K10">
        <v>8.5</v>
      </c>
      <c r="L10" t="s">
        <v>41</v>
      </c>
    </row>
    <row r="11" spans="1:12" x14ac:dyDescent="0.15">
      <c r="A11" s="34">
        <v>46106.375625000001</v>
      </c>
      <c r="B11" t="s">
        <v>156</v>
      </c>
      <c r="C11" t="s">
        <v>157</v>
      </c>
      <c r="D11" t="s">
        <v>16</v>
      </c>
      <c r="E11" t="str">
        <f>VLOOKUP(B11,'人员清单-202603'!D:J,7,FALSE)</f>
        <v>对公应用组</v>
      </c>
      <c r="F11" t="s">
        <v>158</v>
      </c>
      <c r="K11">
        <v>8.5</v>
      </c>
      <c r="L11" t="s">
        <v>35</v>
      </c>
    </row>
    <row r="12" spans="1:12" x14ac:dyDescent="0.15">
      <c r="A12" s="34">
        <v>46106.367615740703</v>
      </c>
      <c r="B12" t="s">
        <v>176</v>
      </c>
      <c r="C12" t="s">
        <v>177</v>
      </c>
      <c r="D12" t="s">
        <v>16</v>
      </c>
      <c r="E12" t="str">
        <f>VLOOKUP(B12,'人员清单-202603'!D:J,7,FALSE)</f>
        <v>对公应用组</v>
      </c>
      <c r="F12" t="s">
        <v>59</v>
      </c>
      <c r="K12">
        <v>8.5</v>
      </c>
      <c r="L12" t="s">
        <v>34</v>
      </c>
    </row>
    <row r="13" spans="1:12" x14ac:dyDescent="0.15">
      <c r="A13" s="34">
        <v>46106.360810185201</v>
      </c>
      <c r="B13" t="s">
        <v>201</v>
      </c>
      <c r="C13" t="s">
        <v>202</v>
      </c>
      <c r="D13" t="s">
        <v>16</v>
      </c>
      <c r="E13" t="str">
        <f>VLOOKUP(B13,'人员清单-202603'!D:J,7,FALSE)</f>
        <v>零售应用组</v>
      </c>
      <c r="F13" t="s">
        <v>203</v>
      </c>
      <c r="K13">
        <v>8.5</v>
      </c>
      <c r="L13" t="s">
        <v>40</v>
      </c>
    </row>
    <row r="14" spans="1:12" x14ac:dyDescent="0.15">
      <c r="A14" s="34">
        <v>46106.349189814799</v>
      </c>
      <c r="B14" t="s">
        <v>216</v>
      </c>
      <c r="C14" t="s">
        <v>217</v>
      </c>
      <c r="D14" t="s">
        <v>16</v>
      </c>
      <c r="E14" t="str">
        <f>VLOOKUP(B14,'人员清单-202603'!D:J,7,FALSE)</f>
        <v>零售应用组</v>
      </c>
      <c r="F14" t="s">
        <v>218</v>
      </c>
      <c r="K14">
        <v>8.5</v>
      </c>
      <c r="L14" t="s">
        <v>66</v>
      </c>
    </row>
    <row r="15" spans="1:12" x14ac:dyDescent="0.15">
      <c r="A15" s="34">
        <v>46106.326481481497</v>
      </c>
      <c r="B15" t="s">
        <v>219</v>
      </c>
      <c r="C15" t="s">
        <v>220</v>
      </c>
      <c r="D15" t="s">
        <v>16</v>
      </c>
      <c r="E15" t="str">
        <f>VLOOKUP(B15,'人员清单-202603'!D:J,7,FALSE)</f>
        <v>对公应用组</v>
      </c>
      <c r="F15" t="s">
        <v>140</v>
      </c>
      <c r="K15">
        <v>8.5</v>
      </c>
      <c r="L15" t="s">
        <v>29</v>
      </c>
    </row>
    <row r="16" spans="1:12" x14ac:dyDescent="0.15">
      <c r="A16" s="34">
        <v>46105.792974536998</v>
      </c>
      <c r="B16" t="s">
        <v>224</v>
      </c>
      <c r="C16" t="s">
        <v>225</v>
      </c>
      <c r="D16" t="s">
        <v>16</v>
      </c>
      <c r="E16" t="str">
        <f>VLOOKUP(B16,'人员清单-202603'!D:J,7,FALSE)</f>
        <v>对公应用组</v>
      </c>
      <c r="F16" t="s">
        <v>226</v>
      </c>
      <c r="G16" t="s">
        <v>227</v>
      </c>
      <c r="I16" t="s">
        <v>191</v>
      </c>
      <c r="K16">
        <v>2.8332999999999999</v>
      </c>
      <c r="L16" t="s">
        <v>42</v>
      </c>
    </row>
    <row r="17" spans="1:12" x14ac:dyDescent="0.15">
      <c r="A17" s="34">
        <v>46105.792905092603</v>
      </c>
      <c r="B17" t="s">
        <v>224</v>
      </c>
      <c r="C17" t="s">
        <v>225</v>
      </c>
      <c r="D17" t="s">
        <v>16</v>
      </c>
      <c r="E17" t="str">
        <f>VLOOKUP(B17,'人员清单-202603'!D:J,7,FALSE)</f>
        <v>对公应用组</v>
      </c>
      <c r="F17" t="s">
        <v>228</v>
      </c>
      <c r="K17">
        <v>2.8332999999999999</v>
      </c>
      <c r="L17" t="s">
        <v>34</v>
      </c>
    </row>
    <row r="18" spans="1:12" x14ac:dyDescent="0.15">
      <c r="A18" s="34">
        <v>46105.792858796303</v>
      </c>
      <c r="B18" t="s">
        <v>224</v>
      </c>
      <c r="C18" t="s">
        <v>225</v>
      </c>
      <c r="D18" t="s">
        <v>16</v>
      </c>
      <c r="E18" t="str">
        <f>VLOOKUP(B18,'人员清单-202603'!D:J,7,FALSE)</f>
        <v>对公应用组</v>
      </c>
      <c r="F18" t="s">
        <v>141</v>
      </c>
      <c r="K18">
        <v>2.8332999999999999</v>
      </c>
      <c r="L18" t="s">
        <v>41</v>
      </c>
    </row>
    <row r="19" spans="1:12" x14ac:dyDescent="0.15">
      <c r="A19" s="34">
        <v>46105.596111111103</v>
      </c>
      <c r="B19" t="s">
        <v>76</v>
      </c>
      <c r="C19" t="s">
        <v>77</v>
      </c>
      <c r="D19" t="s">
        <v>16</v>
      </c>
      <c r="E19" t="str">
        <f>VLOOKUP(B19,'人员清单-202603'!D:J,7,FALSE)</f>
        <v>对公应用组</v>
      </c>
      <c r="F19" t="s">
        <v>78</v>
      </c>
      <c r="K19">
        <v>8</v>
      </c>
      <c r="L19" t="s">
        <v>29</v>
      </c>
    </row>
    <row r="20" spans="1:12" x14ac:dyDescent="0.15">
      <c r="A20" s="34">
        <v>46105.417025463001</v>
      </c>
      <c r="B20" t="s">
        <v>57</v>
      </c>
      <c r="C20" t="s">
        <v>58</v>
      </c>
      <c r="D20" t="s">
        <v>16</v>
      </c>
      <c r="E20" t="str">
        <f>VLOOKUP(B20,'人员清单-202603'!D:J,7,FALSE)</f>
        <v>对公应用组</v>
      </c>
      <c r="F20" t="s">
        <v>59</v>
      </c>
      <c r="K20">
        <v>8.5</v>
      </c>
      <c r="L20" t="s">
        <v>34</v>
      </c>
    </row>
    <row r="21" spans="1:12" x14ac:dyDescent="0.15">
      <c r="A21" s="34">
        <v>46105.403946759303</v>
      </c>
      <c r="B21" t="s">
        <v>48</v>
      </c>
      <c r="C21" t="s">
        <v>49</v>
      </c>
      <c r="D21" t="s">
        <v>16</v>
      </c>
      <c r="E21" t="str">
        <f>VLOOKUP(B21,'人员清单-202603'!D:J,7,FALSE)</f>
        <v>对公应用组</v>
      </c>
      <c r="F21" t="s">
        <v>239</v>
      </c>
      <c r="I21" t="s">
        <v>240</v>
      </c>
      <c r="K21">
        <v>4.25</v>
      </c>
      <c r="L21" t="s">
        <v>41</v>
      </c>
    </row>
    <row r="22" spans="1:12" x14ac:dyDescent="0.15">
      <c r="A22" s="34">
        <v>46105.403877314799</v>
      </c>
      <c r="B22" t="s">
        <v>48</v>
      </c>
      <c r="C22" t="s">
        <v>49</v>
      </c>
      <c r="D22" t="s">
        <v>16</v>
      </c>
      <c r="E22" t="str">
        <f>VLOOKUP(B22,'人员清单-202603'!D:J,7,FALSE)</f>
        <v>对公应用组</v>
      </c>
      <c r="F22" t="s">
        <v>50</v>
      </c>
      <c r="I22" t="s">
        <v>51</v>
      </c>
      <c r="K22">
        <v>4.25</v>
      </c>
      <c r="L22" t="s">
        <v>29</v>
      </c>
    </row>
    <row r="23" spans="1:12" x14ac:dyDescent="0.15">
      <c r="A23" s="34">
        <v>46105.400810185201</v>
      </c>
      <c r="B23" t="s">
        <v>176</v>
      </c>
      <c r="C23" t="s">
        <v>177</v>
      </c>
      <c r="D23" t="s">
        <v>16</v>
      </c>
      <c r="E23" t="str">
        <f>VLOOKUP(B23,'人员清单-202603'!D:J,7,FALSE)</f>
        <v>对公应用组</v>
      </c>
      <c r="F23" t="s">
        <v>59</v>
      </c>
      <c r="K23">
        <v>8.5</v>
      </c>
      <c r="L23" t="s">
        <v>34</v>
      </c>
    </row>
    <row r="24" spans="1:12" x14ac:dyDescent="0.15">
      <c r="A24" s="34">
        <v>46105.381608796299</v>
      </c>
      <c r="B24" t="s">
        <v>148</v>
      </c>
      <c r="C24" t="s">
        <v>149</v>
      </c>
      <c r="D24" t="s">
        <v>16</v>
      </c>
      <c r="E24" t="str">
        <f>VLOOKUP(B24,'人员清单-202603'!D:J,7,FALSE)</f>
        <v>零售应用组</v>
      </c>
      <c r="F24" t="s">
        <v>150</v>
      </c>
      <c r="K24">
        <v>8.5</v>
      </c>
      <c r="L24" t="s">
        <v>41</v>
      </c>
    </row>
    <row r="25" spans="1:12" x14ac:dyDescent="0.15">
      <c r="A25" s="34">
        <v>46105.3808796296</v>
      </c>
      <c r="B25" t="s">
        <v>245</v>
      </c>
      <c r="C25" t="s">
        <v>246</v>
      </c>
      <c r="D25" t="s">
        <v>16</v>
      </c>
      <c r="E25" t="str">
        <f>VLOOKUP(B25,'人员清单-202603'!D:J,7,FALSE)</f>
        <v>零售应用组</v>
      </c>
      <c r="F25" t="s">
        <v>150</v>
      </c>
      <c r="K25">
        <v>8.5</v>
      </c>
      <c r="L25" t="s">
        <v>41</v>
      </c>
    </row>
    <row r="26" spans="1:12" x14ac:dyDescent="0.15">
      <c r="A26" s="34">
        <v>46105.368611111102</v>
      </c>
      <c r="B26" t="s">
        <v>138</v>
      </c>
      <c r="C26" t="s">
        <v>139</v>
      </c>
      <c r="D26" t="s">
        <v>16</v>
      </c>
      <c r="E26" t="str">
        <f>VLOOKUP(B26,'人员清单-202603'!D:J,7,FALSE)</f>
        <v>对公应用组</v>
      </c>
      <c r="F26" t="s">
        <v>141</v>
      </c>
      <c r="K26">
        <v>8.5</v>
      </c>
      <c r="L26" t="s">
        <v>41</v>
      </c>
    </row>
    <row r="27" spans="1:12" x14ac:dyDescent="0.15">
      <c r="A27" s="34">
        <v>46105.3682638889</v>
      </c>
      <c r="B27" t="s">
        <v>79</v>
      </c>
      <c r="C27" t="s">
        <v>80</v>
      </c>
      <c r="D27" t="s">
        <v>16</v>
      </c>
      <c r="E27" t="str">
        <f>VLOOKUP(B27,'人员清单-202603'!D:J,7,FALSE)</f>
        <v>零售应用组</v>
      </c>
      <c r="F27" t="s">
        <v>250</v>
      </c>
      <c r="K27">
        <v>8.5</v>
      </c>
      <c r="L27" t="s">
        <v>41</v>
      </c>
    </row>
    <row r="28" spans="1:12" x14ac:dyDescent="0.15">
      <c r="A28" s="34">
        <v>46105.367847222202</v>
      </c>
      <c r="B28" t="s">
        <v>156</v>
      </c>
      <c r="C28" t="s">
        <v>157</v>
      </c>
      <c r="D28" t="s">
        <v>16</v>
      </c>
      <c r="E28" t="str">
        <f>VLOOKUP(B28,'人员清单-202603'!D:J,7,FALSE)</f>
        <v>对公应用组</v>
      </c>
      <c r="F28" t="s">
        <v>158</v>
      </c>
      <c r="K28">
        <v>4.25</v>
      </c>
      <c r="L28" t="s">
        <v>35</v>
      </c>
    </row>
    <row r="29" spans="1:12" x14ac:dyDescent="0.15">
      <c r="A29" s="34">
        <v>46105.3663310185</v>
      </c>
      <c r="B29" t="s">
        <v>156</v>
      </c>
      <c r="C29" t="s">
        <v>157</v>
      </c>
      <c r="D29" t="s">
        <v>16</v>
      </c>
      <c r="E29" t="str">
        <f>VLOOKUP(B29,'人员清单-202603'!D:J,7,FALSE)</f>
        <v>对公应用组</v>
      </c>
      <c r="F29" t="s">
        <v>59</v>
      </c>
      <c r="K29">
        <v>4.25</v>
      </c>
      <c r="L29" t="s">
        <v>34</v>
      </c>
    </row>
    <row r="30" spans="1:12" x14ac:dyDescent="0.15">
      <c r="A30" s="34">
        <v>46105.3663310185</v>
      </c>
      <c r="B30" t="s">
        <v>107</v>
      </c>
      <c r="C30" t="s">
        <v>108</v>
      </c>
      <c r="D30" t="s">
        <v>16</v>
      </c>
      <c r="E30" t="str">
        <f>VLOOKUP(B30,'人员清单-202603'!D:J,7,FALSE)</f>
        <v>对公应用组</v>
      </c>
      <c r="F30" t="s">
        <v>109</v>
      </c>
      <c r="K30">
        <v>4.25</v>
      </c>
      <c r="L30" t="s">
        <v>42</v>
      </c>
    </row>
    <row r="31" spans="1:12" x14ac:dyDescent="0.15">
      <c r="A31" s="34">
        <v>46105.366157407399</v>
      </c>
      <c r="B31" t="s">
        <v>107</v>
      </c>
      <c r="C31" t="s">
        <v>108</v>
      </c>
      <c r="D31" t="s">
        <v>16</v>
      </c>
      <c r="E31" t="str">
        <f>VLOOKUP(B31,'人员清单-202603'!D:J,7,FALSE)</f>
        <v>对公应用组</v>
      </c>
      <c r="F31" t="s">
        <v>59</v>
      </c>
      <c r="K31">
        <v>4.25</v>
      </c>
      <c r="L31" t="s">
        <v>34</v>
      </c>
    </row>
    <row r="32" spans="1:12" x14ac:dyDescent="0.15">
      <c r="A32" s="34">
        <v>46105.365555555603</v>
      </c>
      <c r="B32" t="s">
        <v>201</v>
      </c>
      <c r="C32" t="s">
        <v>202</v>
      </c>
      <c r="D32" t="s">
        <v>16</v>
      </c>
      <c r="E32" t="str">
        <f>VLOOKUP(B32,'人员清单-202603'!D:J,7,FALSE)</f>
        <v>零售应用组</v>
      </c>
      <c r="F32" t="s">
        <v>203</v>
      </c>
      <c r="K32">
        <v>8.5</v>
      </c>
      <c r="L32" t="s">
        <v>40</v>
      </c>
    </row>
    <row r="33" spans="1:12" x14ac:dyDescent="0.15">
      <c r="A33" s="34">
        <v>46105.356111111098</v>
      </c>
      <c r="B33" t="s">
        <v>216</v>
      </c>
      <c r="C33" t="s">
        <v>217</v>
      </c>
      <c r="D33" t="s">
        <v>16</v>
      </c>
      <c r="E33" t="str">
        <f>VLOOKUP(B33,'人员清单-202603'!D:J,7,FALSE)</f>
        <v>零售应用组</v>
      </c>
      <c r="F33" t="s">
        <v>257</v>
      </c>
      <c r="K33">
        <v>4.25</v>
      </c>
      <c r="L33" t="s">
        <v>34</v>
      </c>
    </row>
    <row r="34" spans="1:12" x14ac:dyDescent="0.15">
      <c r="A34" s="34">
        <v>46105.356053240699</v>
      </c>
      <c r="B34" t="s">
        <v>216</v>
      </c>
      <c r="C34" t="s">
        <v>217</v>
      </c>
      <c r="D34" t="s">
        <v>16</v>
      </c>
      <c r="E34" t="str">
        <f>VLOOKUP(B34,'人员清单-202603'!D:J,7,FALSE)</f>
        <v>零售应用组</v>
      </c>
      <c r="F34" t="s">
        <v>218</v>
      </c>
      <c r="K34">
        <v>4.25</v>
      </c>
      <c r="L34" t="s">
        <v>66</v>
      </c>
    </row>
    <row r="35" spans="1:12" x14ac:dyDescent="0.15">
      <c r="A35" s="34">
        <v>46105.323229166701</v>
      </c>
      <c r="B35" t="s">
        <v>219</v>
      </c>
      <c r="C35" t="s">
        <v>220</v>
      </c>
      <c r="D35" t="s">
        <v>16</v>
      </c>
      <c r="E35" t="str">
        <f>VLOOKUP(B35,'人员清单-202603'!D:J,7,FALSE)</f>
        <v>对公应用组</v>
      </c>
      <c r="F35" t="s">
        <v>140</v>
      </c>
      <c r="K35">
        <v>8.5</v>
      </c>
      <c r="L35" t="s">
        <v>29</v>
      </c>
    </row>
    <row r="36" spans="1:12" x14ac:dyDescent="0.15">
      <c r="A36" s="34">
        <v>46104.658912036997</v>
      </c>
      <c r="B36" t="s">
        <v>48</v>
      </c>
      <c r="C36" t="s">
        <v>49</v>
      </c>
      <c r="D36" t="s">
        <v>16</v>
      </c>
      <c r="E36" t="str">
        <f>VLOOKUP(B36,'人员清单-202603'!D:J,7,FALSE)</f>
        <v>对公应用组</v>
      </c>
      <c r="F36" t="s">
        <v>50</v>
      </c>
      <c r="I36" t="s">
        <v>51</v>
      </c>
      <c r="K36">
        <v>4.25</v>
      </c>
      <c r="L36" t="s">
        <v>29</v>
      </c>
    </row>
    <row r="37" spans="1:12" x14ac:dyDescent="0.15">
      <c r="A37" s="34">
        <v>46104.658865740697</v>
      </c>
      <c r="B37" t="s">
        <v>48</v>
      </c>
      <c r="C37" t="s">
        <v>49</v>
      </c>
      <c r="D37" t="s">
        <v>16</v>
      </c>
      <c r="E37" t="str">
        <f>VLOOKUP(B37,'人员清单-202603'!D:J,7,FALSE)</f>
        <v>对公应用组</v>
      </c>
      <c r="F37" t="s">
        <v>239</v>
      </c>
      <c r="I37" t="s">
        <v>240</v>
      </c>
      <c r="K37">
        <v>4.25</v>
      </c>
      <c r="L37" t="s">
        <v>41</v>
      </c>
    </row>
    <row r="38" spans="1:12" x14ac:dyDescent="0.15">
      <c r="A38" s="34">
        <v>46104.613217592603</v>
      </c>
      <c r="B38" t="s">
        <v>216</v>
      </c>
      <c r="C38" t="s">
        <v>217</v>
      </c>
      <c r="D38" t="s">
        <v>16</v>
      </c>
      <c r="E38" t="str">
        <f>VLOOKUP(B38,'人员清单-202603'!D:J,7,FALSE)</f>
        <v>零售应用组</v>
      </c>
      <c r="F38" t="s">
        <v>218</v>
      </c>
      <c r="K38">
        <v>4.25</v>
      </c>
      <c r="L38" t="s">
        <v>66</v>
      </c>
    </row>
    <row r="39" spans="1:12" x14ac:dyDescent="0.15">
      <c r="A39" s="34">
        <v>46104.607916666697</v>
      </c>
      <c r="B39" t="s">
        <v>224</v>
      </c>
      <c r="C39" t="s">
        <v>225</v>
      </c>
      <c r="D39" t="s">
        <v>16</v>
      </c>
      <c r="E39" t="str">
        <f>VLOOKUP(B39,'人员清单-202603'!D:J,7,FALSE)</f>
        <v>对公应用组</v>
      </c>
      <c r="F39" t="s">
        <v>141</v>
      </c>
      <c r="K39">
        <v>4.25</v>
      </c>
      <c r="L39" t="s">
        <v>41</v>
      </c>
    </row>
    <row r="40" spans="1:12" x14ac:dyDescent="0.15">
      <c r="A40" s="34">
        <v>46104.607858796298</v>
      </c>
      <c r="B40" t="s">
        <v>224</v>
      </c>
      <c r="C40" t="s">
        <v>225</v>
      </c>
      <c r="D40" t="s">
        <v>16</v>
      </c>
      <c r="E40" t="str">
        <f>VLOOKUP(B40,'人员清单-202603'!D:J,7,FALSE)</f>
        <v>对公应用组</v>
      </c>
      <c r="F40" t="s">
        <v>228</v>
      </c>
      <c r="K40">
        <v>4.25</v>
      </c>
      <c r="L40" t="s">
        <v>34</v>
      </c>
    </row>
    <row r="41" spans="1:12" x14ac:dyDescent="0.15">
      <c r="A41" s="34">
        <v>46104.580972222197</v>
      </c>
      <c r="B41" t="s">
        <v>79</v>
      </c>
      <c r="C41" t="s">
        <v>80</v>
      </c>
      <c r="D41" t="s">
        <v>16</v>
      </c>
      <c r="E41" t="str">
        <f>VLOOKUP(B41,'人员清单-202603'!D:J,7,FALSE)</f>
        <v>零售应用组</v>
      </c>
      <c r="F41" t="s">
        <v>250</v>
      </c>
      <c r="K41">
        <v>8.5</v>
      </c>
      <c r="L41" t="s">
        <v>41</v>
      </c>
    </row>
    <row r="42" spans="1:12" x14ac:dyDescent="0.15">
      <c r="A42" s="34">
        <v>46104.568842592598</v>
      </c>
      <c r="B42" t="s">
        <v>201</v>
      </c>
      <c r="C42" t="s">
        <v>202</v>
      </c>
      <c r="D42" t="s">
        <v>16</v>
      </c>
      <c r="E42" t="str">
        <f>VLOOKUP(B42,'人员清单-202603'!D:J,7,FALSE)</f>
        <v>零售应用组</v>
      </c>
      <c r="F42" t="s">
        <v>203</v>
      </c>
      <c r="K42">
        <v>8.5</v>
      </c>
      <c r="L42" t="s">
        <v>40</v>
      </c>
    </row>
    <row r="43" spans="1:12" x14ac:dyDescent="0.15">
      <c r="A43" s="34">
        <v>46104.566689814797</v>
      </c>
      <c r="B43" t="s">
        <v>138</v>
      </c>
      <c r="C43" t="s">
        <v>139</v>
      </c>
      <c r="D43" t="s">
        <v>16</v>
      </c>
      <c r="E43" t="str">
        <f>VLOOKUP(B43,'人员清单-202603'!D:J,7,FALSE)</f>
        <v>对公应用组</v>
      </c>
      <c r="F43" t="s">
        <v>260</v>
      </c>
      <c r="K43">
        <v>2.1166999999999998</v>
      </c>
      <c r="L43" t="s">
        <v>34</v>
      </c>
    </row>
    <row r="44" spans="1:12" x14ac:dyDescent="0.15">
      <c r="A44" s="34">
        <v>46104.566620370402</v>
      </c>
      <c r="B44" t="s">
        <v>138</v>
      </c>
      <c r="C44" t="s">
        <v>139</v>
      </c>
      <c r="D44" t="s">
        <v>16</v>
      </c>
      <c r="E44" t="str">
        <f>VLOOKUP(B44,'人员清单-202603'!D:J,7,FALSE)</f>
        <v>对公应用组</v>
      </c>
      <c r="F44" t="s">
        <v>261</v>
      </c>
      <c r="K44">
        <v>2.1166999999999998</v>
      </c>
      <c r="L44" t="s">
        <v>29</v>
      </c>
    </row>
    <row r="45" spans="1:12" x14ac:dyDescent="0.15">
      <c r="A45" s="34">
        <v>46104.566504629598</v>
      </c>
      <c r="B45" t="s">
        <v>138</v>
      </c>
      <c r="C45" t="s">
        <v>139</v>
      </c>
      <c r="D45" t="s">
        <v>16</v>
      </c>
      <c r="E45" t="str">
        <f>VLOOKUP(B45,'人员清单-202603'!D:J,7,FALSE)</f>
        <v>对公应用组</v>
      </c>
      <c r="F45" t="s">
        <v>262</v>
      </c>
      <c r="K45">
        <v>2.1166999999999998</v>
      </c>
      <c r="L45" t="s">
        <v>29</v>
      </c>
    </row>
    <row r="46" spans="1:12" x14ac:dyDescent="0.15">
      <c r="A46" s="34">
        <v>46104.566412036998</v>
      </c>
      <c r="B46" t="s">
        <v>138</v>
      </c>
      <c r="C46" t="s">
        <v>139</v>
      </c>
      <c r="D46" t="s">
        <v>16</v>
      </c>
      <c r="E46" t="str">
        <f>VLOOKUP(B46,'人员清单-202603'!D:J,7,FALSE)</f>
        <v>对公应用组</v>
      </c>
      <c r="F46" t="s">
        <v>141</v>
      </c>
      <c r="K46">
        <v>2.15</v>
      </c>
      <c r="L46" t="s">
        <v>41</v>
      </c>
    </row>
    <row r="47" spans="1:12" x14ac:dyDescent="0.15">
      <c r="A47" s="34">
        <v>46104.423460648097</v>
      </c>
      <c r="B47" t="s">
        <v>76</v>
      </c>
      <c r="C47" t="s">
        <v>77</v>
      </c>
      <c r="D47" t="s">
        <v>16</v>
      </c>
      <c r="E47" t="str">
        <f>VLOOKUP(B47,'人员清单-202603'!D:J,7,FALSE)</f>
        <v>对公应用组</v>
      </c>
      <c r="F47" t="s">
        <v>78</v>
      </c>
      <c r="K47">
        <v>8.5</v>
      </c>
      <c r="L47" t="s">
        <v>29</v>
      </c>
    </row>
    <row r="48" spans="1:12" x14ac:dyDescent="0.15">
      <c r="A48" s="34">
        <v>46104.395011574103</v>
      </c>
      <c r="B48" t="s">
        <v>57</v>
      </c>
      <c r="C48" t="s">
        <v>58</v>
      </c>
      <c r="D48" t="s">
        <v>16</v>
      </c>
      <c r="E48" t="str">
        <f>VLOOKUP(B48,'人员清单-202603'!D:J,7,FALSE)</f>
        <v>对公应用组</v>
      </c>
      <c r="F48" t="s">
        <v>59</v>
      </c>
      <c r="K48">
        <v>8.5</v>
      </c>
      <c r="L48" t="s">
        <v>34</v>
      </c>
    </row>
    <row r="49" spans="1:12" x14ac:dyDescent="0.15">
      <c r="A49" s="34">
        <v>46104.393587963001</v>
      </c>
      <c r="B49" t="s">
        <v>156</v>
      </c>
      <c r="C49" t="s">
        <v>157</v>
      </c>
      <c r="D49" t="s">
        <v>16</v>
      </c>
      <c r="E49" t="str">
        <f>VLOOKUP(B49,'人员清单-202603'!D:J,7,FALSE)</f>
        <v>对公应用组</v>
      </c>
      <c r="F49" t="s">
        <v>59</v>
      </c>
      <c r="K49">
        <v>8.5</v>
      </c>
      <c r="L49" t="s">
        <v>34</v>
      </c>
    </row>
    <row r="50" spans="1:12" x14ac:dyDescent="0.15">
      <c r="A50" s="34">
        <v>46104.393541666701</v>
      </c>
      <c r="B50" t="s">
        <v>176</v>
      </c>
      <c r="C50" t="s">
        <v>177</v>
      </c>
      <c r="D50" t="s">
        <v>16</v>
      </c>
      <c r="E50" t="str">
        <f>VLOOKUP(B50,'人员清单-202603'!D:J,7,FALSE)</f>
        <v>对公应用组</v>
      </c>
      <c r="F50" t="s">
        <v>59</v>
      </c>
      <c r="K50">
        <v>8.5</v>
      </c>
      <c r="L50" t="s">
        <v>34</v>
      </c>
    </row>
    <row r="51" spans="1:12" x14ac:dyDescent="0.15">
      <c r="A51" s="34">
        <v>46104.379004629598</v>
      </c>
      <c r="B51" t="s">
        <v>148</v>
      </c>
      <c r="C51" t="s">
        <v>149</v>
      </c>
      <c r="D51" t="s">
        <v>16</v>
      </c>
      <c r="E51" t="str">
        <f>VLOOKUP(B51,'人员清单-202603'!D:J,7,FALSE)</f>
        <v>零售应用组</v>
      </c>
      <c r="F51" t="s">
        <v>150</v>
      </c>
      <c r="K51">
        <v>8.5</v>
      </c>
      <c r="L51" t="s">
        <v>41</v>
      </c>
    </row>
    <row r="52" spans="1:12" x14ac:dyDescent="0.15">
      <c r="A52" s="34">
        <v>46104.373356481497</v>
      </c>
      <c r="B52" t="s">
        <v>263</v>
      </c>
      <c r="C52" t="s">
        <v>264</v>
      </c>
      <c r="D52" t="s">
        <v>16</v>
      </c>
      <c r="E52" t="str">
        <f>VLOOKUP(B52,'人员清单-202603'!D:J,7,FALSE)</f>
        <v>零售应用组</v>
      </c>
      <c r="F52" t="s">
        <v>150</v>
      </c>
      <c r="K52">
        <v>4.25</v>
      </c>
      <c r="L52" t="s">
        <v>41</v>
      </c>
    </row>
    <row r="53" spans="1:12" x14ac:dyDescent="0.15">
      <c r="A53" s="34">
        <v>46104.373136574097</v>
      </c>
      <c r="B53" t="s">
        <v>263</v>
      </c>
      <c r="C53" t="s">
        <v>264</v>
      </c>
      <c r="D53" t="s">
        <v>16</v>
      </c>
      <c r="E53" t="str">
        <f>VLOOKUP(B53,'人员清单-202603'!D:J,7,FALSE)</f>
        <v>零售应用组</v>
      </c>
      <c r="F53" t="s">
        <v>265</v>
      </c>
      <c r="K53">
        <v>4.25</v>
      </c>
      <c r="L53" t="s">
        <v>40</v>
      </c>
    </row>
    <row r="54" spans="1:12" x14ac:dyDescent="0.15">
      <c r="A54" s="34">
        <v>46104.361122685201</v>
      </c>
      <c r="B54" t="s">
        <v>245</v>
      </c>
      <c r="C54" t="s">
        <v>246</v>
      </c>
      <c r="D54" t="s">
        <v>16</v>
      </c>
      <c r="E54" t="str">
        <f>VLOOKUP(B54,'人员清单-202603'!D:J,7,FALSE)</f>
        <v>零售应用组</v>
      </c>
      <c r="F54" t="s">
        <v>150</v>
      </c>
      <c r="K54">
        <v>4.25</v>
      </c>
      <c r="L54" t="s">
        <v>41</v>
      </c>
    </row>
    <row r="55" spans="1:12" x14ac:dyDescent="0.15">
      <c r="A55" s="34">
        <v>46104.3609953704</v>
      </c>
      <c r="B55" t="s">
        <v>245</v>
      </c>
      <c r="C55" t="s">
        <v>246</v>
      </c>
      <c r="D55" t="s">
        <v>16</v>
      </c>
      <c r="E55" t="str">
        <f>VLOOKUP(B55,'人员清单-202603'!D:J,7,FALSE)</f>
        <v>零售应用组</v>
      </c>
      <c r="F55" t="s">
        <v>268</v>
      </c>
      <c r="K55">
        <v>4.25</v>
      </c>
      <c r="L55" t="s">
        <v>66</v>
      </c>
    </row>
    <row r="56" spans="1:12" x14ac:dyDescent="0.15">
      <c r="A56" s="34">
        <v>46104.359363425901</v>
      </c>
      <c r="B56" t="s">
        <v>107</v>
      </c>
      <c r="C56" t="s">
        <v>108</v>
      </c>
      <c r="D56" t="s">
        <v>16</v>
      </c>
      <c r="E56" t="str">
        <f>VLOOKUP(B56,'人员清单-202603'!D:J,7,FALSE)</f>
        <v>对公应用组</v>
      </c>
      <c r="F56" t="s">
        <v>109</v>
      </c>
      <c r="K56">
        <v>4.25</v>
      </c>
      <c r="L56" t="s">
        <v>42</v>
      </c>
    </row>
    <row r="57" spans="1:12" x14ac:dyDescent="0.15">
      <c r="A57" s="34">
        <v>46104.359224537002</v>
      </c>
      <c r="B57" t="s">
        <v>107</v>
      </c>
      <c r="C57" t="s">
        <v>108</v>
      </c>
      <c r="D57" t="s">
        <v>16</v>
      </c>
      <c r="E57" t="str">
        <f>VLOOKUP(B57,'人员清单-202603'!D:J,7,FALSE)</f>
        <v>对公应用组</v>
      </c>
      <c r="F57" t="s">
        <v>59</v>
      </c>
      <c r="K57">
        <v>4.25</v>
      </c>
      <c r="L57" t="s">
        <v>34</v>
      </c>
    </row>
    <row r="58" spans="1:12" x14ac:dyDescent="0.15">
      <c r="A58" s="34">
        <v>46104.349016203698</v>
      </c>
      <c r="B58" t="s">
        <v>216</v>
      </c>
      <c r="C58" t="s">
        <v>217</v>
      </c>
      <c r="D58" t="s">
        <v>16</v>
      </c>
      <c r="E58" t="str">
        <f>VLOOKUP(B58,'人员清单-202603'!D:J,7,FALSE)</f>
        <v>零售应用组</v>
      </c>
      <c r="F58" t="s">
        <v>257</v>
      </c>
      <c r="K58">
        <v>4.25</v>
      </c>
      <c r="L58" t="s">
        <v>34</v>
      </c>
    </row>
    <row r="59" spans="1:12" x14ac:dyDescent="0.15">
      <c r="A59" s="34">
        <v>46104.323287036997</v>
      </c>
      <c r="B59" t="s">
        <v>219</v>
      </c>
      <c r="C59" t="s">
        <v>220</v>
      </c>
      <c r="D59" t="s">
        <v>16</v>
      </c>
      <c r="E59" t="str">
        <f>VLOOKUP(B59,'人员清单-202603'!D:J,7,FALSE)</f>
        <v>对公应用组</v>
      </c>
      <c r="F59" t="s">
        <v>269</v>
      </c>
      <c r="K59">
        <v>8.5</v>
      </c>
      <c r="L59" t="s">
        <v>45</v>
      </c>
    </row>
    <row r="60" spans="1:12" x14ac:dyDescent="0.15">
      <c r="A60" s="34">
        <v>46101.642118055599</v>
      </c>
      <c r="B60" t="s">
        <v>76</v>
      </c>
      <c r="C60" t="s">
        <v>77</v>
      </c>
      <c r="D60" t="s">
        <v>16</v>
      </c>
      <c r="E60" t="str">
        <f>VLOOKUP(B60,'人员清单-202603'!D:J,7,FALSE)</f>
        <v>对公应用组</v>
      </c>
      <c r="F60" t="s">
        <v>260</v>
      </c>
      <c r="K60">
        <v>8.5</v>
      </c>
      <c r="L60" t="s">
        <v>34</v>
      </c>
    </row>
    <row r="61" spans="1:12" x14ac:dyDescent="0.15">
      <c r="A61" s="34">
        <v>46101.6413888889</v>
      </c>
      <c r="B61" t="s">
        <v>245</v>
      </c>
      <c r="C61" t="s">
        <v>246</v>
      </c>
      <c r="D61" t="s">
        <v>16</v>
      </c>
      <c r="E61" t="str">
        <f>VLOOKUP(B61,'人员清单-202603'!D:J,7,FALSE)</f>
        <v>零售应用组</v>
      </c>
      <c r="F61" t="s">
        <v>150</v>
      </c>
      <c r="K61">
        <v>4.25</v>
      </c>
      <c r="L61" t="s">
        <v>41</v>
      </c>
    </row>
    <row r="62" spans="1:12" x14ac:dyDescent="0.15">
      <c r="A62" s="34">
        <v>46101.641250000001</v>
      </c>
      <c r="B62" t="s">
        <v>245</v>
      </c>
      <c r="C62" t="s">
        <v>246</v>
      </c>
      <c r="D62" t="s">
        <v>16</v>
      </c>
      <c r="E62" t="str">
        <f>VLOOKUP(B62,'人员清单-202603'!D:J,7,FALSE)</f>
        <v>零售应用组</v>
      </c>
      <c r="F62" t="s">
        <v>265</v>
      </c>
      <c r="K62">
        <v>4.25</v>
      </c>
      <c r="L62" t="s">
        <v>40</v>
      </c>
    </row>
    <row r="63" spans="1:12" x14ac:dyDescent="0.15">
      <c r="A63" s="34">
        <v>46101.4456712963</v>
      </c>
      <c r="B63" t="s">
        <v>138</v>
      </c>
      <c r="C63" t="s">
        <v>139</v>
      </c>
      <c r="D63" t="s">
        <v>16</v>
      </c>
      <c r="E63" t="str">
        <f>VLOOKUP(B63,'人员清单-202603'!D:J,7,FALSE)</f>
        <v>对公应用组</v>
      </c>
      <c r="F63" t="s">
        <v>260</v>
      </c>
      <c r="K63">
        <v>2.8332999999999999</v>
      </c>
      <c r="L63" t="s">
        <v>34</v>
      </c>
    </row>
    <row r="64" spans="1:12" x14ac:dyDescent="0.15">
      <c r="A64" s="34">
        <v>46101.445555555503</v>
      </c>
      <c r="B64" t="s">
        <v>138</v>
      </c>
      <c r="C64" t="s">
        <v>139</v>
      </c>
      <c r="D64" t="s">
        <v>16</v>
      </c>
      <c r="E64" t="str">
        <f>VLOOKUP(B64,'人员清单-202603'!D:J,7,FALSE)</f>
        <v>对公应用组</v>
      </c>
      <c r="F64" t="s">
        <v>262</v>
      </c>
      <c r="K64">
        <v>2.8332999999999999</v>
      </c>
      <c r="L64" t="s">
        <v>29</v>
      </c>
    </row>
    <row r="65" spans="1:12" x14ac:dyDescent="0.15">
      <c r="A65" s="34">
        <v>46101.4454513889</v>
      </c>
      <c r="B65" t="s">
        <v>138</v>
      </c>
      <c r="C65" t="s">
        <v>139</v>
      </c>
      <c r="D65" t="s">
        <v>16</v>
      </c>
      <c r="E65" t="str">
        <f>VLOOKUP(B65,'人员清单-202603'!D:J,7,FALSE)</f>
        <v>对公应用组</v>
      </c>
      <c r="F65" t="s">
        <v>141</v>
      </c>
      <c r="K65">
        <v>2.8332999999999999</v>
      </c>
      <c r="L65" t="s">
        <v>41</v>
      </c>
    </row>
    <row r="66" spans="1:12" x14ac:dyDescent="0.15">
      <c r="A66" s="34">
        <v>46101.3842939815</v>
      </c>
      <c r="B66" t="s">
        <v>79</v>
      </c>
      <c r="C66" t="s">
        <v>80</v>
      </c>
      <c r="D66" t="s">
        <v>16</v>
      </c>
      <c r="E66" t="str">
        <f>VLOOKUP(B66,'人员清单-202603'!D:J,7,FALSE)</f>
        <v>零售应用组</v>
      </c>
      <c r="F66" t="s">
        <v>250</v>
      </c>
      <c r="K66">
        <v>4.25</v>
      </c>
      <c r="L66" t="s">
        <v>41</v>
      </c>
    </row>
    <row r="67" spans="1:12" x14ac:dyDescent="0.15">
      <c r="A67" s="34">
        <v>46101.384108796301</v>
      </c>
      <c r="B67" t="s">
        <v>79</v>
      </c>
      <c r="C67" t="s">
        <v>80</v>
      </c>
      <c r="D67" t="s">
        <v>16</v>
      </c>
      <c r="E67" t="str">
        <f>VLOOKUP(B67,'人员清单-202603'!D:J,7,FALSE)</f>
        <v>零售应用组</v>
      </c>
      <c r="F67" t="s">
        <v>265</v>
      </c>
      <c r="K67">
        <v>4.25</v>
      </c>
      <c r="L67" t="s">
        <v>40</v>
      </c>
    </row>
    <row r="68" spans="1:12" x14ac:dyDescent="0.15">
      <c r="A68" s="34">
        <v>46101.381458333301</v>
      </c>
      <c r="B68" t="s">
        <v>148</v>
      </c>
      <c r="C68" t="s">
        <v>149</v>
      </c>
      <c r="D68" t="s">
        <v>16</v>
      </c>
      <c r="E68" t="str">
        <f>VLOOKUP(B68,'人员清单-202603'!D:J,7,FALSE)</f>
        <v>零售应用组</v>
      </c>
      <c r="F68" t="s">
        <v>265</v>
      </c>
      <c r="K68">
        <v>4.25</v>
      </c>
      <c r="L68" t="s">
        <v>40</v>
      </c>
    </row>
    <row r="69" spans="1:12" x14ac:dyDescent="0.15">
      <c r="A69" s="34">
        <v>46101.381296296298</v>
      </c>
      <c r="B69" t="s">
        <v>148</v>
      </c>
      <c r="C69" t="s">
        <v>149</v>
      </c>
      <c r="D69" t="s">
        <v>16</v>
      </c>
      <c r="E69" t="str">
        <f>VLOOKUP(B69,'人员清单-202603'!D:J,7,FALSE)</f>
        <v>零售应用组</v>
      </c>
      <c r="F69" t="s">
        <v>150</v>
      </c>
      <c r="K69">
        <v>4.25</v>
      </c>
      <c r="L69" t="s">
        <v>41</v>
      </c>
    </row>
    <row r="70" spans="1:12" x14ac:dyDescent="0.15">
      <c r="A70" s="34">
        <v>46101.3805208333</v>
      </c>
      <c r="B70" t="s">
        <v>48</v>
      </c>
      <c r="C70" t="s">
        <v>49</v>
      </c>
      <c r="D70" t="s">
        <v>16</v>
      </c>
      <c r="E70" t="str">
        <f>VLOOKUP(B70,'人员清单-202603'!D:J,7,FALSE)</f>
        <v>对公应用组</v>
      </c>
      <c r="F70" t="s">
        <v>50</v>
      </c>
      <c r="I70" t="s">
        <v>51</v>
      </c>
      <c r="K70">
        <v>4.25</v>
      </c>
      <c r="L70" t="s">
        <v>29</v>
      </c>
    </row>
    <row r="71" spans="1:12" x14ac:dyDescent="0.15">
      <c r="A71" s="34">
        <v>46101.380474537</v>
      </c>
      <c r="B71" t="s">
        <v>48</v>
      </c>
      <c r="C71" t="s">
        <v>49</v>
      </c>
      <c r="D71" t="s">
        <v>16</v>
      </c>
      <c r="E71" t="str">
        <f>VLOOKUP(B71,'人员清单-202603'!D:J,7,FALSE)</f>
        <v>对公应用组</v>
      </c>
      <c r="F71" t="s">
        <v>239</v>
      </c>
      <c r="I71" t="s">
        <v>240</v>
      </c>
      <c r="K71">
        <v>4.25</v>
      </c>
      <c r="L71" t="s">
        <v>41</v>
      </c>
    </row>
    <row r="72" spans="1:12" x14ac:dyDescent="0.15">
      <c r="A72" s="34">
        <v>46101.376273148097</v>
      </c>
      <c r="B72" t="s">
        <v>263</v>
      </c>
      <c r="C72" t="s">
        <v>264</v>
      </c>
      <c r="D72" t="s">
        <v>16</v>
      </c>
      <c r="E72" t="str">
        <f>VLOOKUP(B72,'人员清单-202603'!D:J,7,FALSE)</f>
        <v>零售应用组</v>
      </c>
      <c r="F72" t="s">
        <v>281</v>
      </c>
      <c r="K72">
        <v>2.8332999999999999</v>
      </c>
      <c r="L72" t="s">
        <v>35</v>
      </c>
    </row>
    <row r="73" spans="1:12" x14ac:dyDescent="0.15">
      <c r="A73" s="34">
        <v>46101.375925925902</v>
      </c>
      <c r="B73" t="s">
        <v>263</v>
      </c>
      <c r="C73" t="s">
        <v>264</v>
      </c>
      <c r="D73" t="s">
        <v>16</v>
      </c>
      <c r="E73" t="str">
        <f>VLOOKUP(B73,'人员清单-202603'!D:J,7,FALSE)</f>
        <v>零售应用组</v>
      </c>
      <c r="F73" t="s">
        <v>150</v>
      </c>
      <c r="K73">
        <v>2.8332999999999999</v>
      </c>
      <c r="L73" t="s">
        <v>41</v>
      </c>
    </row>
    <row r="74" spans="1:12" x14ac:dyDescent="0.15">
      <c r="A74" s="34">
        <v>46101.375636574099</v>
      </c>
      <c r="B74" t="s">
        <v>263</v>
      </c>
      <c r="C74" t="s">
        <v>264</v>
      </c>
      <c r="D74" t="s">
        <v>16</v>
      </c>
      <c r="E74" t="str">
        <f>VLOOKUP(B74,'人员清单-202603'!D:J,7,FALSE)</f>
        <v>零售应用组</v>
      </c>
      <c r="F74" t="s">
        <v>265</v>
      </c>
      <c r="K74">
        <v>2.8332999999999999</v>
      </c>
      <c r="L74" t="s">
        <v>40</v>
      </c>
    </row>
    <row r="75" spans="1:12" x14ac:dyDescent="0.15">
      <c r="A75" s="34">
        <v>46101.370138888902</v>
      </c>
      <c r="B75" t="s">
        <v>107</v>
      </c>
      <c r="C75" t="s">
        <v>108</v>
      </c>
      <c r="D75" t="s">
        <v>16</v>
      </c>
      <c r="E75" t="str">
        <f>VLOOKUP(B75,'人员清单-202603'!D:J,7,FALSE)</f>
        <v>对公应用组</v>
      </c>
      <c r="F75" t="s">
        <v>109</v>
      </c>
      <c r="K75">
        <v>4.25</v>
      </c>
      <c r="L75" t="s">
        <v>42</v>
      </c>
    </row>
    <row r="76" spans="1:12" x14ac:dyDescent="0.15">
      <c r="A76" s="34">
        <v>46101.369918981502</v>
      </c>
      <c r="B76" t="s">
        <v>107</v>
      </c>
      <c r="C76" t="s">
        <v>108</v>
      </c>
      <c r="D76" t="s">
        <v>16</v>
      </c>
      <c r="E76" t="str">
        <f>VLOOKUP(B76,'人员清单-202603'!D:J,7,FALSE)</f>
        <v>对公应用组</v>
      </c>
      <c r="F76" t="s">
        <v>59</v>
      </c>
      <c r="K76">
        <v>4.25</v>
      </c>
      <c r="L76" t="s">
        <v>34</v>
      </c>
    </row>
    <row r="77" spans="1:12" x14ac:dyDescent="0.15">
      <c r="A77" s="34">
        <v>46101.369212963</v>
      </c>
      <c r="B77" t="s">
        <v>156</v>
      </c>
      <c r="C77" t="s">
        <v>157</v>
      </c>
      <c r="D77" t="s">
        <v>16</v>
      </c>
      <c r="E77" t="str">
        <f>VLOOKUP(B77,'人员清单-202603'!D:J,7,FALSE)</f>
        <v>对公应用组</v>
      </c>
      <c r="F77" t="s">
        <v>59</v>
      </c>
      <c r="K77">
        <v>8.5</v>
      </c>
      <c r="L77" t="s">
        <v>34</v>
      </c>
    </row>
    <row r="78" spans="1:12" x14ac:dyDescent="0.15">
      <c r="A78" s="34">
        <v>46101.367442129602</v>
      </c>
      <c r="B78" t="s">
        <v>57</v>
      </c>
      <c r="C78" t="s">
        <v>58</v>
      </c>
      <c r="D78" t="s">
        <v>16</v>
      </c>
      <c r="E78" t="str">
        <f>VLOOKUP(B78,'人员清单-202603'!D:J,7,FALSE)</f>
        <v>对公应用组</v>
      </c>
      <c r="F78" t="s">
        <v>286</v>
      </c>
      <c r="K78">
        <v>8.5</v>
      </c>
      <c r="L78" t="s">
        <v>40</v>
      </c>
    </row>
    <row r="79" spans="1:12" x14ac:dyDescent="0.15">
      <c r="A79" s="34">
        <v>46101.367013888899</v>
      </c>
      <c r="B79" t="s">
        <v>201</v>
      </c>
      <c r="C79" t="s">
        <v>202</v>
      </c>
      <c r="D79" t="s">
        <v>16</v>
      </c>
      <c r="E79" t="str">
        <f>VLOOKUP(B79,'人员清单-202603'!D:J,7,FALSE)</f>
        <v>零售应用组</v>
      </c>
      <c r="F79" t="s">
        <v>287</v>
      </c>
      <c r="K79">
        <v>8.5</v>
      </c>
      <c r="L79" t="s">
        <v>34</v>
      </c>
    </row>
    <row r="80" spans="1:12" x14ac:dyDescent="0.15">
      <c r="A80" s="34">
        <v>46101.366412037001</v>
      </c>
      <c r="B80" t="s">
        <v>176</v>
      </c>
      <c r="C80" t="s">
        <v>177</v>
      </c>
      <c r="D80" t="s">
        <v>16</v>
      </c>
      <c r="E80" t="str">
        <f>VLOOKUP(B80,'人员清单-202603'!D:J,7,FALSE)</f>
        <v>对公应用组</v>
      </c>
      <c r="F80" t="s">
        <v>59</v>
      </c>
      <c r="K80">
        <v>8.5</v>
      </c>
      <c r="L80" t="s">
        <v>34</v>
      </c>
    </row>
    <row r="81" spans="1:12" x14ac:dyDescent="0.15">
      <c r="A81" s="34">
        <v>46101.355277777802</v>
      </c>
      <c r="B81" t="s">
        <v>216</v>
      </c>
      <c r="C81" t="s">
        <v>217</v>
      </c>
      <c r="D81" t="s">
        <v>16</v>
      </c>
      <c r="E81" t="str">
        <f>VLOOKUP(B81,'人员清单-202603'!D:J,7,FALSE)</f>
        <v>零售应用组</v>
      </c>
      <c r="F81" t="s">
        <v>257</v>
      </c>
      <c r="K81">
        <v>8.5</v>
      </c>
      <c r="L81" t="s">
        <v>34</v>
      </c>
    </row>
    <row r="82" spans="1:12" x14ac:dyDescent="0.15">
      <c r="A82" s="34">
        <v>46101.326041666704</v>
      </c>
      <c r="B82" t="s">
        <v>219</v>
      </c>
      <c r="C82" t="s">
        <v>220</v>
      </c>
      <c r="D82" t="s">
        <v>16</v>
      </c>
      <c r="E82" t="str">
        <f>VLOOKUP(B82,'人员清单-202603'!D:J,7,FALSE)</f>
        <v>对公应用组</v>
      </c>
      <c r="F82" t="s">
        <v>269</v>
      </c>
      <c r="K82">
        <v>4.25</v>
      </c>
      <c r="L82" t="s">
        <v>45</v>
      </c>
    </row>
    <row r="83" spans="1:12" x14ac:dyDescent="0.15">
      <c r="A83" s="34">
        <v>46101.325868055603</v>
      </c>
      <c r="B83" t="s">
        <v>219</v>
      </c>
      <c r="C83" t="s">
        <v>220</v>
      </c>
      <c r="D83" t="s">
        <v>16</v>
      </c>
      <c r="E83" t="str">
        <f>VLOOKUP(B83,'人员清单-202603'!D:J,7,FALSE)</f>
        <v>对公应用组</v>
      </c>
      <c r="F83" t="s">
        <v>289</v>
      </c>
      <c r="K83">
        <v>4.25</v>
      </c>
      <c r="L83" t="s">
        <v>34</v>
      </c>
    </row>
    <row r="84" spans="1:12" x14ac:dyDescent="0.15">
      <c r="A84" s="34">
        <v>46100.616990740702</v>
      </c>
      <c r="B84" t="s">
        <v>290</v>
      </c>
      <c r="C84" t="s">
        <v>291</v>
      </c>
      <c r="D84" t="s">
        <v>16</v>
      </c>
      <c r="E84" t="str">
        <f>VLOOKUP(B84,'人员清单-202603'!D:J,7,FALSE)</f>
        <v>零售应用组</v>
      </c>
      <c r="F84" t="s">
        <v>233</v>
      </c>
      <c r="K84">
        <v>1.7</v>
      </c>
      <c r="L84" t="s">
        <v>35</v>
      </c>
    </row>
    <row r="85" spans="1:12" x14ac:dyDescent="0.15">
      <c r="A85" s="34">
        <v>46100.616724537002</v>
      </c>
      <c r="B85" t="s">
        <v>290</v>
      </c>
      <c r="C85" t="s">
        <v>291</v>
      </c>
      <c r="D85" t="s">
        <v>16</v>
      </c>
      <c r="E85" t="str">
        <f>VLOOKUP(B85,'人员清单-202603'!D:J,7,FALSE)</f>
        <v>零售应用组</v>
      </c>
      <c r="F85" t="s">
        <v>292</v>
      </c>
      <c r="K85">
        <v>1.7</v>
      </c>
      <c r="L85" t="s">
        <v>41</v>
      </c>
    </row>
    <row r="86" spans="1:12" x14ac:dyDescent="0.15">
      <c r="A86" s="34">
        <v>46100.596111111103</v>
      </c>
      <c r="B86" t="s">
        <v>76</v>
      </c>
      <c r="C86" t="s">
        <v>77</v>
      </c>
      <c r="D86" t="s">
        <v>16</v>
      </c>
      <c r="E86" t="str">
        <f>VLOOKUP(B86,'人员清单-202603'!D:J,7,FALSE)</f>
        <v>对公应用组</v>
      </c>
      <c r="F86" t="s">
        <v>78</v>
      </c>
      <c r="K86">
        <v>8</v>
      </c>
      <c r="L86" t="s">
        <v>29</v>
      </c>
    </row>
    <row r="87" spans="1:12" x14ac:dyDescent="0.15">
      <c r="A87" s="34">
        <v>46100.583993055603</v>
      </c>
      <c r="B87" t="s">
        <v>290</v>
      </c>
      <c r="C87" t="s">
        <v>291</v>
      </c>
      <c r="D87" t="s">
        <v>16</v>
      </c>
      <c r="E87" t="str">
        <f>VLOOKUP(B87,'人员清单-202603'!D:J,7,FALSE)</f>
        <v>零售应用组</v>
      </c>
      <c r="F87" t="s">
        <v>265</v>
      </c>
      <c r="K87">
        <v>1.7</v>
      </c>
      <c r="L87" t="s">
        <v>40</v>
      </c>
    </row>
    <row r="88" spans="1:12" x14ac:dyDescent="0.15">
      <c r="A88" s="34">
        <v>46100.569942129601</v>
      </c>
      <c r="B88" t="s">
        <v>57</v>
      </c>
      <c r="C88" t="s">
        <v>58</v>
      </c>
      <c r="D88" t="s">
        <v>16</v>
      </c>
      <c r="E88" t="str">
        <f>VLOOKUP(B88,'人员清单-202603'!D:J,7,FALSE)</f>
        <v>对公应用组</v>
      </c>
      <c r="F88" t="s">
        <v>59</v>
      </c>
      <c r="K88">
        <v>4.25</v>
      </c>
      <c r="L88" t="s">
        <v>34</v>
      </c>
    </row>
    <row r="89" spans="1:12" x14ac:dyDescent="0.15">
      <c r="A89" s="34">
        <v>46100.5698611111</v>
      </c>
      <c r="B89" t="s">
        <v>57</v>
      </c>
      <c r="C89" t="s">
        <v>58</v>
      </c>
      <c r="D89" t="s">
        <v>16</v>
      </c>
      <c r="E89" t="str">
        <f>VLOOKUP(B89,'人员清单-202603'!D:J,7,FALSE)</f>
        <v>对公应用组</v>
      </c>
      <c r="F89" t="s">
        <v>286</v>
      </c>
      <c r="K89">
        <v>4.25</v>
      </c>
      <c r="L89" t="s">
        <v>40</v>
      </c>
    </row>
    <row r="90" spans="1:12" x14ac:dyDescent="0.15">
      <c r="A90" s="34">
        <v>46100.430486111101</v>
      </c>
      <c r="B90" t="s">
        <v>290</v>
      </c>
      <c r="C90" t="s">
        <v>291</v>
      </c>
      <c r="D90" t="s">
        <v>16</v>
      </c>
      <c r="E90" t="str">
        <f>VLOOKUP(B90,'人员清单-202603'!D:J,7,FALSE)</f>
        <v>零售应用组</v>
      </c>
      <c r="F90" t="s">
        <v>295</v>
      </c>
      <c r="K90">
        <v>1.7</v>
      </c>
      <c r="L90" t="s">
        <v>40</v>
      </c>
    </row>
    <row r="91" spans="1:12" x14ac:dyDescent="0.15">
      <c r="A91" s="34">
        <v>46100.422719907401</v>
      </c>
      <c r="B91" t="s">
        <v>138</v>
      </c>
      <c r="C91" t="s">
        <v>139</v>
      </c>
      <c r="D91" t="s">
        <v>16</v>
      </c>
      <c r="E91" t="str">
        <f>VLOOKUP(B91,'人员清单-202603'!D:J,7,FALSE)</f>
        <v>对公应用组</v>
      </c>
      <c r="F91" t="s">
        <v>141</v>
      </c>
      <c r="K91">
        <v>2.8332999999999999</v>
      </c>
      <c r="L91" t="s">
        <v>41</v>
      </c>
    </row>
    <row r="92" spans="1:12" x14ac:dyDescent="0.15">
      <c r="A92" s="34">
        <v>46100.421388888899</v>
      </c>
      <c r="B92" t="s">
        <v>138</v>
      </c>
      <c r="C92" t="s">
        <v>139</v>
      </c>
      <c r="D92" t="s">
        <v>16</v>
      </c>
      <c r="E92" t="str">
        <f>VLOOKUP(B92,'人员清单-202603'!D:J,7,FALSE)</f>
        <v>对公应用组</v>
      </c>
      <c r="F92" t="s">
        <v>262</v>
      </c>
      <c r="K92">
        <v>2.8332999999999999</v>
      </c>
      <c r="L92" t="s">
        <v>29</v>
      </c>
    </row>
    <row r="93" spans="1:12" x14ac:dyDescent="0.15">
      <c r="A93" s="34">
        <v>46100.419907407399</v>
      </c>
      <c r="B93" t="s">
        <v>138</v>
      </c>
      <c r="C93" t="s">
        <v>139</v>
      </c>
      <c r="D93" t="s">
        <v>16</v>
      </c>
      <c r="E93" t="str">
        <f>VLOOKUP(B93,'人员清单-202603'!D:J,7,FALSE)</f>
        <v>对公应用组</v>
      </c>
      <c r="F93" t="s">
        <v>260</v>
      </c>
      <c r="K93">
        <v>2.8332999999999999</v>
      </c>
      <c r="L93" t="s">
        <v>34</v>
      </c>
    </row>
    <row r="94" spans="1:12" x14ac:dyDescent="0.15">
      <c r="A94" s="34">
        <v>46100.417175925897</v>
      </c>
      <c r="B94" t="s">
        <v>201</v>
      </c>
      <c r="C94" t="s">
        <v>202</v>
      </c>
      <c r="D94" t="s">
        <v>16</v>
      </c>
      <c r="E94" t="str">
        <f>VLOOKUP(B94,'人员清单-202603'!D:J,7,FALSE)</f>
        <v>零售应用组</v>
      </c>
      <c r="F94" t="s">
        <v>287</v>
      </c>
      <c r="K94">
        <v>8.5</v>
      </c>
      <c r="L94" t="s">
        <v>34</v>
      </c>
    </row>
    <row r="95" spans="1:12" x14ac:dyDescent="0.15">
      <c r="A95" s="34">
        <v>46100.3840277778</v>
      </c>
      <c r="B95" t="s">
        <v>290</v>
      </c>
      <c r="C95" t="s">
        <v>291</v>
      </c>
      <c r="D95" t="s">
        <v>16</v>
      </c>
      <c r="E95" t="str">
        <f>VLOOKUP(B95,'人员清单-202603'!D:J,7,FALSE)</f>
        <v>零售应用组</v>
      </c>
      <c r="F95" t="s">
        <v>296</v>
      </c>
      <c r="K95">
        <v>1.7</v>
      </c>
      <c r="L95" t="s">
        <v>40</v>
      </c>
    </row>
    <row r="96" spans="1:12" x14ac:dyDescent="0.15">
      <c r="A96" s="34">
        <v>46100.380185185197</v>
      </c>
      <c r="B96" t="s">
        <v>224</v>
      </c>
      <c r="C96" t="s">
        <v>225</v>
      </c>
      <c r="D96" t="s">
        <v>16</v>
      </c>
      <c r="E96" t="str">
        <f>VLOOKUP(B96,'人员清单-202603'!D:J,7,FALSE)</f>
        <v>对公应用组</v>
      </c>
      <c r="F96" t="s">
        <v>286</v>
      </c>
      <c r="K96">
        <v>4.25</v>
      </c>
      <c r="L96" t="s">
        <v>40</v>
      </c>
    </row>
    <row r="97" spans="1:12" x14ac:dyDescent="0.15">
      <c r="A97" s="34">
        <v>46100.380092592597</v>
      </c>
      <c r="B97" t="s">
        <v>224</v>
      </c>
      <c r="C97" t="s">
        <v>225</v>
      </c>
      <c r="D97" t="s">
        <v>16</v>
      </c>
      <c r="E97" t="str">
        <f>VLOOKUP(B97,'人员清单-202603'!D:J,7,FALSE)</f>
        <v>对公应用组</v>
      </c>
      <c r="F97" t="s">
        <v>228</v>
      </c>
      <c r="K97">
        <v>4.25</v>
      </c>
      <c r="L97" t="s">
        <v>34</v>
      </c>
    </row>
    <row r="98" spans="1:12" x14ac:dyDescent="0.15">
      <c r="A98" s="34">
        <v>46100.377280092602</v>
      </c>
      <c r="B98" t="s">
        <v>148</v>
      </c>
      <c r="C98" t="s">
        <v>149</v>
      </c>
      <c r="D98" t="s">
        <v>16</v>
      </c>
      <c r="E98" t="str">
        <f>VLOOKUP(B98,'人员清单-202603'!D:J,7,FALSE)</f>
        <v>零售应用组</v>
      </c>
      <c r="F98" t="s">
        <v>150</v>
      </c>
      <c r="K98">
        <v>8.5</v>
      </c>
      <c r="L98" t="s">
        <v>41</v>
      </c>
    </row>
    <row r="99" spans="1:12" x14ac:dyDescent="0.15">
      <c r="A99" s="34">
        <v>46100.376145833303</v>
      </c>
      <c r="B99" t="s">
        <v>48</v>
      </c>
      <c r="C99" t="s">
        <v>49</v>
      </c>
      <c r="D99" t="s">
        <v>16</v>
      </c>
      <c r="E99" t="str">
        <f>VLOOKUP(B99,'人员清单-202603'!D:J,7,FALSE)</f>
        <v>对公应用组</v>
      </c>
      <c r="F99" t="s">
        <v>50</v>
      </c>
      <c r="I99" t="s">
        <v>51</v>
      </c>
      <c r="K99">
        <v>4.25</v>
      </c>
      <c r="L99" t="s">
        <v>29</v>
      </c>
    </row>
    <row r="100" spans="1:12" x14ac:dyDescent="0.15">
      <c r="A100" s="34">
        <v>46100.376087962999</v>
      </c>
      <c r="B100" t="s">
        <v>48</v>
      </c>
      <c r="C100" t="s">
        <v>49</v>
      </c>
      <c r="D100" t="s">
        <v>16</v>
      </c>
      <c r="E100" t="str">
        <f>VLOOKUP(B100,'人员清单-202603'!D:J,7,FALSE)</f>
        <v>对公应用组</v>
      </c>
      <c r="F100" t="s">
        <v>239</v>
      </c>
      <c r="I100" t="s">
        <v>240</v>
      </c>
      <c r="K100">
        <v>4.25</v>
      </c>
      <c r="L100" t="s">
        <v>41</v>
      </c>
    </row>
    <row r="101" spans="1:12" x14ac:dyDescent="0.15">
      <c r="A101" s="34">
        <v>46100.375972222202</v>
      </c>
      <c r="B101" t="s">
        <v>263</v>
      </c>
      <c r="C101" t="s">
        <v>264</v>
      </c>
      <c r="D101" t="s">
        <v>16</v>
      </c>
      <c r="E101" t="str">
        <f>VLOOKUP(B101,'人员清单-202603'!D:J,7,FALSE)</f>
        <v>零售应用组</v>
      </c>
      <c r="F101" t="s">
        <v>281</v>
      </c>
      <c r="K101">
        <v>4.25</v>
      </c>
      <c r="L101" t="s">
        <v>35</v>
      </c>
    </row>
    <row r="102" spans="1:12" x14ac:dyDescent="0.15">
      <c r="A102" s="34">
        <v>46100.375798611101</v>
      </c>
      <c r="B102" t="s">
        <v>263</v>
      </c>
      <c r="C102" t="s">
        <v>264</v>
      </c>
      <c r="D102" t="s">
        <v>16</v>
      </c>
      <c r="E102" t="str">
        <f>VLOOKUP(B102,'人员清单-202603'!D:J,7,FALSE)</f>
        <v>零售应用组</v>
      </c>
      <c r="F102" t="s">
        <v>150</v>
      </c>
      <c r="K102">
        <v>4.25</v>
      </c>
      <c r="L102" t="s">
        <v>41</v>
      </c>
    </row>
    <row r="103" spans="1:12" x14ac:dyDescent="0.15">
      <c r="A103" s="34">
        <v>46100.373703703699</v>
      </c>
      <c r="B103" t="s">
        <v>156</v>
      </c>
      <c r="C103" t="s">
        <v>157</v>
      </c>
      <c r="D103" t="s">
        <v>16</v>
      </c>
      <c r="E103" t="str">
        <f>VLOOKUP(B103,'人员清单-202603'!D:J,7,FALSE)</f>
        <v>对公应用组</v>
      </c>
      <c r="F103" t="s">
        <v>59</v>
      </c>
      <c r="K103">
        <v>8.5</v>
      </c>
      <c r="L103" t="s">
        <v>34</v>
      </c>
    </row>
    <row r="104" spans="1:12" x14ac:dyDescent="0.15">
      <c r="A104" s="34">
        <v>46100.373599537001</v>
      </c>
      <c r="B104" t="s">
        <v>107</v>
      </c>
      <c r="C104" t="s">
        <v>108</v>
      </c>
      <c r="D104" t="s">
        <v>16</v>
      </c>
      <c r="E104" t="str">
        <f>VLOOKUP(B104,'人员清单-202603'!D:J,7,FALSE)</f>
        <v>对公应用组</v>
      </c>
      <c r="F104" t="s">
        <v>109</v>
      </c>
      <c r="K104">
        <v>4.25</v>
      </c>
      <c r="L104" t="s">
        <v>42</v>
      </c>
    </row>
    <row r="105" spans="1:12" x14ac:dyDescent="0.15">
      <c r="A105" s="34">
        <v>46100.373449074097</v>
      </c>
      <c r="B105" t="s">
        <v>107</v>
      </c>
      <c r="C105" t="s">
        <v>108</v>
      </c>
      <c r="D105" t="s">
        <v>16</v>
      </c>
      <c r="E105" t="str">
        <f>VLOOKUP(B105,'人员清单-202603'!D:J,7,FALSE)</f>
        <v>对公应用组</v>
      </c>
      <c r="F105" t="s">
        <v>59</v>
      </c>
      <c r="K105">
        <v>4.25</v>
      </c>
      <c r="L105" t="s">
        <v>34</v>
      </c>
    </row>
    <row r="106" spans="1:12" x14ac:dyDescent="0.15">
      <c r="A106" s="34">
        <v>46100.373437499999</v>
      </c>
      <c r="B106" t="s">
        <v>176</v>
      </c>
      <c r="C106" t="s">
        <v>177</v>
      </c>
      <c r="D106" t="s">
        <v>16</v>
      </c>
      <c r="E106" t="str">
        <f>VLOOKUP(B106,'人员清单-202603'!D:J,7,FALSE)</f>
        <v>对公应用组</v>
      </c>
      <c r="F106" t="s">
        <v>59</v>
      </c>
      <c r="K106">
        <v>4.25</v>
      </c>
      <c r="L106" t="s">
        <v>34</v>
      </c>
    </row>
    <row r="107" spans="1:12" x14ac:dyDescent="0.15">
      <c r="A107" s="34">
        <v>46100.373391203699</v>
      </c>
      <c r="B107" t="s">
        <v>176</v>
      </c>
      <c r="C107" t="s">
        <v>177</v>
      </c>
      <c r="D107" t="s">
        <v>16</v>
      </c>
      <c r="E107" t="str">
        <f>VLOOKUP(B107,'人员清单-202603'!D:J,7,FALSE)</f>
        <v>对公应用组</v>
      </c>
      <c r="F107" t="s">
        <v>297</v>
      </c>
      <c r="K107">
        <v>4.25</v>
      </c>
      <c r="L107" t="s">
        <v>40</v>
      </c>
    </row>
    <row r="108" spans="1:12" x14ac:dyDescent="0.15">
      <c r="A108" s="34">
        <v>46100.366203703699</v>
      </c>
      <c r="B108" t="s">
        <v>79</v>
      </c>
      <c r="C108" t="s">
        <v>80</v>
      </c>
      <c r="D108" t="s">
        <v>16</v>
      </c>
      <c r="E108" t="str">
        <f>VLOOKUP(B108,'人员清单-202603'!D:J,7,FALSE)</f>
        <v>零售应用组</v>
      </c>
      <c r="F108" t="s">
        <v>250</v>
      </c>
      <c r="K108">
        <v>8.5</v>
      </c>
      <c r="L108" t="s">
        <v>41</v>
      </c>
    </row>
    <row r="109" spans="1:12" x14ac:dyDescent="0.15">
      <c r="A109" s="34">
        <v>46100.365671296298</v>
      </c>
      <c r="B109" t="s">
        <v>245</v>
      </c>
      <c r="C109" t="s">
        <v>246</v>
      </c>
      <c r="D109" t="s">
        <v>16</v>
      </c>
      <c r="E109" t="str">
        <f>VLOOKUP(B109,'人员清单-202603'!D:J,7,FALSE)</f>
        <v>零售应用组</v>
      </c>
      <c r="F109" t="s">
        <v>150</v>
      </c>
      <c r="K109">
        <v>4.25</v>
      </c>
      <c r="L109" t="s">
        <v>41</v>
      </c>
    </row>
    <row r="110" spans="1:12" x14ac:dyDescent="0.15">
      <c r="A110" s="34">
        <v>46100.365601851903</v>
      </c>
      <c r="B110" t="s">
        <v>245</v>
      </c>
      <c r="C110" t="s">
        <v>246</v>
      </c>
      <c r="D110" t="s">
        <v>16</v>
      </c>
      <c r="E110" t="str">
        <f>VLOOKUP(B110,'人员清单-202603'!D:J,7,FALSE)</f>
        <v>零售应用组</v>
      </c>
      <c r="F110" t="s">
        <v>281</v>
      </c>
      <c r="K110">
        <v>4.25</v>
      </c>
      <c r="L110" t="s">
        <v>35</v>
      </c>
    </row>
    <row r="111" spans="1:12" x14ac:dyDescent="0.15">
      <c r="A111" s="34">
        <v>46100.355925925898</v>
      </c>
      <c r="B111" t="s">
        <v>216</v>
      </c>
      <c r="C111" t="s">
        <v>217</v>
      </c>
      <c r="D111" t="s">
        <v>16</v>
      </c>
      <c r="E111" t="str">
        <f>VLOOKUP(B111,'人员清单-202603'!D:J,7,FALSE)</f>
        <v>零售应用组</v>
      </c>
      <c r="F111" t="s">
        <v>257</v>
      </c>
      <c r="K111">
        <v>8.5</v>
      </c>
      <c r="L111" t="s">
        <v>34</v>
      </c>
    </row>
    <row r="112" spans="1:12" x14ac:dyDescent="0.15">
      <c r="A112" s="34">
        <v>46100.325196759302</v>
      </c>
      <c r="B112" t="s">
        <v>219</v>
      </c>
      <c r="C112" t="s">
        <v>220</v>
      </c>
      <c r="D112" t="s">
        <v>16</v>
      </c>
      <c r="E112" t="str">
        <f>VLOOKUP(B112,'人员清单-202603'!D:J,7,FALSE)</f>
        <v>对公应用组</v>
      </c>
      <c r="F112" t="s">
        <v>289</v>
      </c>
      <c r="K112">
        <v>8.5</v>
      </c>
      <c r="L112" t="s">
        <v>34</v>
      </c>
    </row>
    <row r="113" spans="1:12" x14ac:dyDescent="0.15">
      <c r="A113" s="34">
        <v>46099.590509259302</v>
      </c>
      <c r="B113" t="s">
        <v>57</v>
      </c>
      <c r="C113" t="s">
        <v>58</v>
      </c>
      <c r="D113" t="s">
        <v>16</v>
      </c>
      <c r="E113" t="str">
        <f>VLOOKUP(B113,'人员清单-202603'!D:J,7,FALSE)</f>
        <v>对公应用组</v>
      </c>
      <c r="F113" t="s">
        <v>59</v>
      </c>
      <c r="K113">
        <v>8.5</v>
      </c>
      <c r="L113" t="s">
        <v>34</v>
      </c>
    </row>
    <row r="114" spans="1:12" x14ac:dyDescent="0.15">
      <c r="A114" s="34">
        <v>46099.4624189815</v>
      </c>
      <c r="B114" t="s">
        <v>263</v>
      </c>
      <c r="C114" t="s">
        <v>264</v>
      </c>
      <c r="D114" t="s">
        <v>16</v>
      </c>
      <c r="E114" t="str">
        <f>VLOOKUP(B114,'人员清单-202603'!D:J,7,FALSE)</f>
        <v>零售应用组</v>
      </c>
      <c r="F114" t="s">
        <v>150</v>
      </c>
      <c r="K114">
        <v>8.5</v>
      </c>
      <c r="L114" t="s">
        <v>41</v>
      </c>
    </row>
    <row r="115" spans="1:12" x14ac:dyDescent="0.15">
      <c r="A115" s="34">
        <v>46099.443842592598</v>
      </c>
      <c r="B115" t="s">
        <v>107</v>
      </c>
      <c r="C115" t="s">
        <v>108</v>
      </c>
      <c r="D115" t="s">
        <v>16</v>
      </c>
      <c r="E115" t="str">
        <f>VLOOKUP(B115,'人员清单-202603'!D:J,7,FALSE)</f>
        <v>对公应用组</v>
      </c>
      <c r="F115" t="s">
        <v>109</v>
      </c>
      <c r="K115">
        <v>4.25</v>
      </c>
      <c r="L115" t="s">
        <v>42</v>
      </c>
    </row>
    <row r="116" spans="1:12" x14ac:dyDescent="0.15">
      <c r="A116" s="34">
        <v>46099.443668981497</v>
      </c>
      <c r="B116" t="s">
        <v>107</v>
      </c>
      <c r="C116" t="s">
        <v>108</v>
      </c>
      <c r="D116" t="s">
        <v>16</v>
      </c>
      <c r="E116" t="str">
        <f>VLOOKUP(B116,'人员清单-202603'!D:J,7,FALSE)</f>
        <v>对公应用组</v>
      </c>
      <c r="F116" t="s">
        <v>59</v>
      </c>
      <c r="K116">
        <v>4.25</v>
      </c>
      <c r="L116" t="s">
        <v>34</v>
      </c>
    </row>
    <row r="117" spans="1:12" x14ac:dyDescent="0.15">
      <c r="A117" s="34">
        <v>46099.404652777797</v>
      </c>
      <c r="B117" t="s">
        <v>79</v>
      </c>
      <c r="C117" t="s">
        <v>80</v>
      </c>
      <c r="D117" t="s">
        <v>16</v>
      </c>
      <c r="E117" t="str">
        <f>VLOOKUP(B117,'人员清单-202603'!D:J,7,FALSE)</f>
        <v>零售应用组</v>
      </c>
      <c r="F117" t="s">
        <v>250</v>
      </c>
      <c r="K117">
        <v>8.5</v>
      </c>
      <c r="L117" t="s">
        <v>41</v>
      </c>
    </row>
    <row r="118" spans="1:12" x14ac:dyDescent="0.15">
      <c r="A118" s="34">
        <v>46099.395706018498</v>
      </c>
      <c r="B118" t="s">
        <v>156</v>
      </c>
      <c r="C118" t="s">
        <v>157</v>
      </c>
      <c r="D118" t="s">
        <v>16</v>
      </c>
      <c r="E118" t="str">
        <f>VLOOKUP(B118,'人员清单-202603'!D:J,7,FALSE)</f>
        <v>对公应用组</v>
      </c>
      <c r="F118" t="s">
        <v>59</v>
      </c>
      <c r="K118">
        <v>8.5</v>
      </c>
      <c r="L118" t="s">
        <v>34</v>
      </c>
    </row>
    <row r="119" spans="1:12" x14ac:dyDescent="0.15">
      <c r="A119" s="34">
        <v>46099.393136574101</v>
      </c>
      <c r="B119" t="s">
        <v>201</v>
      </c>
      <c r="C119" t="s">
        <v>202</v>
      </c>
      <c r="D119" t="s">
        <v>16</v>
      </c>
      <c r="E119" t="str">
        <f>VLOOKUP(B119,'人员清单-202603'!D:J,7,FALSE)</f>
        <v>零售应用组</v>
      </c>
      <c r="F119" t="s">
        <v>287</v>
      </c>
      <c r="K119">
        <v>8.5</v>
      </c>
      <c r="L119" t="s">
        <v>34</v>
      </c>
    </row>
    <row r="120" spans="1:12" x14ac:dyDescent="0.15">
      <c r="A120" s="34">
        <v>46099.382037037001</v>
      </c>
      <c r="B120" t="s">
        <v>290</v>
      </c>
      <c r="C120" t="s">
        <v>291</v>
      </c>
      <c r="D120" t="s">
        <v>16</v>
      </c>
      <c r="E120" t="str">
        <f>VLOOKUP(B120,'人员清单-202603'!D:J,7,FALSE)</f>
        <v>零售应用组</v>
      </c>
      <c r="F120" t="s">
        <v>300</v>
      </c>
      <c r="K120">
        <v>4</v>
      </c>
      <c r="L120" t="s">
        <v>40</v>
      </c>
    </row>
    <row r="121" spans="1:12" x14ac:dyDescent="0.15">
      <c r="A121" s="34">
        <v>46099.378761574102</v>
      </c>
      <c r="B121" t="s">
        <v>48</v>
      </c>
      <c r="C121" t="s">
        <v>49</v>
      </c>
      <c r="D121" t="s">
        <v>16</v>
      </c>
      <c r="E121" t="str">
        <f>VLOOKUP(B121,'人员清单-202603'!D:J,7,FALSE)</f>
        <v>对公应用组</v>
      </c>
      <c r="F121" t="s">
        <v>50</v>
      </c>
      <c r="I121" t="s">
        <v>51</v>
      </c>
      <c r="K121">
        <v>4.25</v>
      </c>
      <c r="L121" t="s">
        <v>29</v>
      </c>
    </row>
    <row r="122" spans="1:12" x14ac:dyDescent="0.15">
      <c r="A122" s="34">
        <v>46099.378715277802</v>
      </c>
      <c r="B122" t="s">
        <v>148</v>
      </c>
      <c r="C122" t="s">
        <v>149</v>
      </c>
      <c r="D122" t="s">
        <v>16</v>
      </c>
      <c r="E122" t="str">
        <f>VLOOKUP(B122,'人员清单-202603'!D:J,7,FALSE)</f>
        <v>零售应用组</v>
      </c>
      <c r="F122" t="s">
        <v>301</v>
      </c>
      <c r="K122">
        <v>8.5</v>
      </c>
      <c r="L122" t="s">
        <v>35</v>
      </c>
    </row>
    <row r="123" spans="1:12" x14ac:dyDescent="0.15">
      <c r="A123" s="34">
        <v>46099.378668981502</v>
      </c>
      <c r="B123" t="s">
        <v>48</v>
      </c>
      <c r="C123" t="s">
        <v>49</v>
      </c>
      <c r="D123" t="s">
        <v>16</v>
      </c>
      <c r="E123" t="str">
        <f>VLOOKUP(B123,'人员清单-202603'!D:J,7,FALSE)</f>
        <v>对公应用组</v>
      </c>
      <c r="F123" t="s">
        <v>239</v>
      </c>
      <c r="I123" t="s">
        <v>240</v>
      </c>
      <c r="K123">
        <v>4.25</v>
      </c>
      <c r="L123" t="s">
        <v>41</v>
      </c>
    </row>
    <row r="124" spans="1:12" x14ac:dyDescent="0.15">
      <c r="A124" s="34">
        <v>46099.378263888902</v>
      </c>
      <c r="B124" t="s">
        <v>76</v>
      </c>
      <c r="C124" t="s">
        <v>77</v>
      </c>
      <c r="D124" t="s">
        <v>16</v>
      </c>
      <c r="E124" t="str">
        <f>VLOOKUP(B124,'人员清单-202603'!D:J,7,FALSE)</f>
        <v>对公应用组</v>
      </c>
      <c r="F124" t="s">
        <v>260</v>
      </c>
      <c r="K124">
        <v>8.5</v>
      </c>
      <c r="L124" t="s">
        <v>34</v>
      </c>
    </row>
    <row r="125" spans="1:12" x14ac:dyDescent="0.15">
      <c r="A125" s="34">
        <v>46099.361192129603</v>
      </c>
      <c r="B125" t="s">
        <v>176</v>
      </c>
      <c r="C125" t="s">
        <v>177</v>
      </c>
      <c r="D125" t="s">
        <v>16</v>
      </c>
      <c r="E125" t="str">
        <f>VLOOKUP(B125,'人员清单-202603'!D:J,7,FALSE)</f>
        <v>对公应用组</v>
      </c>
      <c r="F125" t="s">
        <v>59</v>
      </c>
      <c r="K125">
        <v>4.25</v>
      </c>
      <c r="L125" t="s">
        <v>34</v>
      </c>
    </row>
    <row r="126" spans="1:12" x14ac:dyDescent="0.15">
      <c r="A126" s="34">
        <v>46099.361006944397</v>
      </c>
      <c r="B126" t="s">
        <v>176</v>
      </c>
      <c r="C126" t="s">
        <v>177</v>
      </c>
      <c r="D126" t="s">
        <v>16</v>
      </c>
      <c r="E126" t="str">
        <f>VLOOKUP(B126,'人员清单-202603'!D:J,7,FALSE)</f>
        <v>对公应用组</v>
      </c>
      <c r="F126" t="s">
        <v>297</v>
      </c>
      <c r="K126">
        <v>4.25</v>
      </c>
      <c r="L126" t="s">
        <v>40</v>
      </c>
    </row>
    <row r="127" spans="1:12" x14ac:dyDescent="0.15">
      <c r="A127" s="34">
        <v>46099.357881944401</v>
      </c>
      <c r="B127" t="s">
        <v>245</v>
      </c>
      <c r="C127" t="s">
        <v>246</v>
      </c>
      <c r="D127" t="s">
        <v>16</v>
      </c>
      <c r="E127" t="str">
        <f>VLOOKUP(B127,'人员清单-202603'!D:J,7,FALSE)</f>
        <v>零售应用组</v>
      </c>
      <c r="F127" t="s">
        <v>150</v>
      </c>
      <c r="K127">
        <v>2.8332999999999999</v>
      </c>
      <c r="L127" t="s">
        <v>41</v>
      </c>
    </row>
    <row r="128" spans="1:12" x14ac:dyDescent="0.15">
      <c r="A128" s="34">
        <v>46099.356932870403</v>
      </c>
      <c r="B128" t="s">
        <v>245</v>
      </c>
      <c r="C128" t="s">
        <v>246</v>
      </c>
      <c r="D128" t="s">
        <v>16</v>
      </c>
      <c r="E128" t="str">
        <f>VLOOKUP(B128,'人员清单-202603'!D:J,7,FALSE)</f>
        <v>零售应用组</v>
      </c>
      <c r="F128" t="s">
        <v>304</v>
      </c>
      <c r="K128">
        <v>2.8332999999999999</v>
      </c>
      <c r="L128" t="s">
        <v>35</v>
      </c>
    </row>
    <row r="129" spans="1:12" x14ac:dyDescent="0.15">
      <c r="A129" s="34">
        <v>46099.356828703698</v>
      </c>
      <c r="B129" t="s">
        <v>245</v>
      </c>
      <c r="C129" t="s">
        <v>246</v>
      </c>
      <c r="D129" t="s">
        <v>16</v>
      </c>
      <c r="E129" t="str">
        <f>VLOOKUP(B129,'人员清单-202603'!D:J,7,FALSE)</f>
        <v>零售应用组</v>
      </c>
      <c r="F129" t="s">
        <v>281</v>
      </c>
      <c r="K129">
        <v>2.8332999999999999</v>
      </c>
      <c r="L129" t="s">
        <v>35</v>
      </c>
    </row>
    <row r="130" spans="1:12" x14ac:dyDescent="0.15">
      <c r="A130" s="34">
        <v>46099.354386574101</v>
      </c>
      <c r="B130" t="s">
        <v>219</v>
      </c>
      <c r="C130" t="s">
        <v>220</v>
      </c>
      <c r="D130" t="s">
        <v>16</v>
      </c>
      <c r="E130" t="str">
        <f>VLOOKUP(B130,'人员清单-202603'!D:J,7,FALSE)</f>
        <v>对公应用组</v>
      </c>
      <c r="F130" t="s">
        <v>305</v>
      </c>
      <c r="K130">
        <v>4.25</v>
      </c>
      <c r="L130" t="s">
        <v>34</v>
      </c>
    </row>
    <row r="131" spans="1:12" x14ac:dyDescent="0.15">
      <c r="A131" s="34">
        <v>46099.348414351902</v>
      </c>
      <c r="B131" t="s">
        <v>216</v>
      </c>
      <c r="C131" t="s">
        <v>217</v>
      </c>
      <c r="D131" t="s">
        <v>16</v>
      </c>
      <c r="E131" t="str">
        <f>VLOOKUP(B131,'人员清单-202603'!D:J,7,FALSE)</f>
        <v>零售应用组</v>
      </c>
      <c r="F131" t="s">
        <v>257</v>
      </c>
      <c r="K131">
        <v>8.5</v>
      </c>
      <c r="L131" t="s">
        <v>34</v>
      </c>
    </row>
    <row r="132" spans="1:12" x14ac:dyDescent="0.15">
      <c r="A132" s="34">
        <v>46099.326168981497</v>
      </c>
      <c r="B132" t="s">
        <v>219</v>
      </c>
      <c r="C132" t="s">
        <v>220</v>
      </c>
      <c r="D132" t="s">
        <v>16</v>
      </c>
      <c r="E132" t="str">
        <f>VLOOKUP(B132,'人员清单-202603'!D:J,7,FALSE)</f>
        <v>对公应用组</v>
      </c>
      <c r="F132" t="s">
        <v>289</v>
      </c>
      <c r="K132">
        <v>4.25</v>
      </c>
      <c r="L132" t="s">
        <v>34</v>
      </c>
    </row>
    <row r="133" spans="1:12" x14ac:dyDescent="0.15">
      <c r="A133" s="34">
        <v>46098.581053240698</v>
      </c>
      <c r="B133" t="s">
        <v>245</v>
      </c>
      <c r="C133" t="s">
        <v>246</v>
      </c>
      <c r="D133" t="s">
        <v>16</v>
      </c>
      <c r="E133" t="str">
        <f>VLOOKUP(B133,'人员清单-202603'!D:J,7,FALSE)</f>
        <v>零售应用组</v>
      </c>
      <c r="F133" t="s">
        <v>304</v>
      </c>
      <c r="K133">
        <v>4.25</v>
      </c>
      <c r="L133" t="s">
        <v>35</v>
      </c>
    </row>
    <row r="134" spans="1:12" x14ac:dyDescent="0.15">
      <c r="A134" s="34">
        <v>46098.441944444399</v>
      </c>
      <c r="B134" t="s">
        <v>76</v>
      </c>
      <c r="C134" t="s">
        <v>77</v>
      </c>
      <c r="D134" t="s">
        <v>16</v>
      </c>
      <c r="E134" t="str">
        <f>VLOOKUP(B134,'人员清单-202603'!D:J,7,FALSE)</f>
        <v>对公应用组</v>
      </c>
      <c r="F134" t="s">
        <v>260</v>
      </c>
      <c r="K134">
        <v>4.25</v>
      </c>
      <c r="L134" t="s">
        <v>34</v>
      </c>
    </row>
    <row r="135" spans="1:12" x14ac:dyDescent="0.15">
      <c r="A135" s="34">
        <v>46098.441851851901</v>
      </c>
      <c r="B135" t="s">
        <v>76</v>
      </c>
      <c r="C135" t="s">
        <v>77</v>
      </c>
      <c r="D135" t="s">
        <v>16</v>
      </c>
      <c r="E135" t="str">
        <f>VLOOKUP(B135,'人员清单-202603'!D:J,7,FALSE)</f>
        <v>对公应用组</v>
      </c>
      <c r="F135" t="s">
        <v>308</v>
      </c>
      <c r="K135">
        <v>4.25</v>
      </c>
      <c r="L135" t="s">
        <v>42</v>
      </c>
    </row>
    <row r="136" spans="1:12" x14ac:dyDescent="0.15">
      <c r="A136" s="34">
        <v>46098.401932870402</v>
      </c>
      <c r="B136" t="s">
        <v>57</v>
      </c>
      <c r="C136" t="s">
        <v>58</v>
      </c>
      <c r="D136" t="s">
        <v>16</v>
      </c>
      <c r="E136" t="str">
        <f>VLOOKUP(B136,'人员清单-202603'!D:J,7,FALSE)</f>
        <v>对公应用组</v>
      </c>
      <c r="F136" t="s">
        <v>59</v>
      </c>
      <c r="K136">
        <v>8.5</v>
      </c>
      <c r="L136" t="s">
        <v>34</v>
      </c>
    </row>
    <row r="137" spans="1:12" x14ac:dyDescent="0.15">
      <c r="A137" s="34">
        <v>46098.399942129603</v>
      </c>
      <c r="B137" t="s">
        <v>148</v>
      </c>
      <c r="C137" t="s">
        <v>149</v>
      </c>
      <c r="D137" t="s">
        <v>16</v>
      </c>
      <c r="E137" t="str">
        <f>VLOOKUP(B137,'人员清单-202603'!D:J,7,FALSE)</f>
        <v>零售应用组</v>
      </c>
      <c r="F137" t="s">
        <v>301</v>
      </c>
      <c r="K137">
        <v>8.5</v>
      </c>
      <c r="L137" t="s">
        <v>35</v>
      </c>
    </row>
    <row r="138" spans="1:12" x14ac:dyDescent="0.15">
      <c r="A138" s="34">
        <v>46098.399791666699</v>
      </c>
      <c r="B138" t="s">
        <v>156</v>
      </c>
      <c r="C138" t="s">
        <v>157</v>
      </c>
      <c r="D138" t="s">
        <v>16</v>
      </c>
      <c r="E138" t="str">
        <f>VLOOKUP(B138,'人员清单-202603'!D:J,7,FALSE)</f>
        <v>对公应用组</v>
      </c>
      <c r="F138" t="s">
        <v>59</v>
      </c>
      <c r="K138">
        <v>8.5</v>
      </c>
      <c r="L138" t="s">
        <v>34</v>
      </c>
    </row>
    <row r="139" spans="1:12" x14ac:dyDescent="0.15">
      <c r="A139" s="34">
        <v>46098.397928240702</v>
      </c>
      <c r="B139" t="s">
        <v>79</v>
      </c>
      <c r="C139" t="s">
        <v>80</v>
      </c>
      <c r="D139" t="s">
        <v>16</v>
      </c>
      <c r="E139" t="str">
        <f>VLOOKUP(B139,'人员清单-202603'!D:J,7,FALSE)</f>
        <v>零售应用组</v>
      </c>
      <c r="F139" t="s">
        <v>309</v>
      </c>
      <c r="G139" t="s">
        <v>310</v>
      </c>
      <c r="K139">
        <v>8.5</v>
      </c>
      <c r="L139" t="s">
        <v>54</v>
      </c>
    </row>
    <row r="140" spans="1:12" x14ac:dyDescent="0.15">
      <c r="A140" s="34">
        <v>46098.380185185197</v>
      </c>
      <c r="B140" t="s">
        <v>48</v>
      </c>
      <c r="C140" t="s">
        <v>49</v>
      </c>
      <c r="D140" t="s">
        <v>16</v>
      </c>
      <c r="E140" t="str">
        <f>VLOOKUP(B140,'人员清单-202603'!D:J,7,FALSE)</f>
        <v>对公应用组</v>
      </c>
      <c r="F140" t="s">
        <v>50</v>
      </c>
      <c r="I140" t="s">
        <v>51</v>
      </c>
      <c r="K140">
        <v>4.25</v>
      </c>
      <c r="L140" t="s">
        <v>29</v>
      </c>
    </row>
    <row r="141" spans="1:12" x14ac:dyDescent="0.15">
      <c r="A141" s="34">
        <v>46098.380138888897</v>
      </c>
      <c r="B141" t="s">
        <v>48</v>
      </c>
      <c r="C141" t="s">
        <v>49</v>
      </c>
      <c r="D141" t="s">
        <v>16</v>
      </c>
      <c r="E141" t="str">
        <f>VLOOKUP(B141,'人员清单-202603'!D:J,7,FALSE)</f>
        <v>对公应用组</v>
      </c>
      <c r="F141" t="s">
        <v>239</v>
      </c>
      <c r="I141" t="s">
        <v>240</v>
      </c>
      <c r="K141">
        <v>4.25</v>
      </c>
      <c r="L141" t="s">
        <v>41</v>
      </c>
    </row>
    <row r="142" spans="1:12" x14ac:dyDescent="0.15">
      <c r="A142" s="34">
        <v>46098.368865740696</v>
      </c>
      <c r="B142" t="s">
        <v>290</v>
      </c>
      <c r="C142" t="s">
        <v>291</v>
      </c>
      <c r="D142" t="s">
        <v>16</v>
      </c>
      <c r="E142" t="str">
        <f>VLOOKUP(B142,'人员清单-202603'!D:J,7,FALSE)</f>
        <v>零售应用组</v>
      </c>
      <c r="F142" t="s">
        <v>311</v>
      </c>
      <c r="K142">
        <v>8.5</v>
      </c>
      <c r="L142" t="s">
        <v>34</v>
      </c>
    </row>
    <row r="143" spans="1:12" x14ac:dyDescent="0.15">
      <c r="A143" s="34">
        <v>46098.363842592596</v>
      </c>
      <c r="B143" t="s">
        <v>176</v>
      </c>
      <c r="C143" t="s">
        <v>177</v>
      </c>
      <c r="D143" t="s">
        <v>16</v>
      </c>
      <c r="E143" t="str">
        <f>VLOOKUP(B143,'人员清单-202603'!D:J,7,FALSE)</f>
        <v>对公应用组</v>
      </c>
      <c r="F143" t="s">
        <v>59</v>
      </c>
      <c r="K143">
        <v>4.25</v>
      </c>
      <c r="L143" t="s">
        <v>34</v>
      </c>
    </row>
    <row r="144" spans="1:12" x14ac:dyDescent="0.15">
      <c r="A144" s="34">
        <v>46098.363761574103</v>
      </c>
      <c r="B144" t="s">
        <v>176</v>
      </c>
      <c r="C144" t="s">
        <v>177</v>
      </c>
      <c r="D144" t="s">
        <v>16</v>
      </c>
      <c r="E144" t="str">
        <f>VLOOKUP(B144,'人员清单-202603'!D:J,7,FALSE)</f>
        <v>对公应用组</v>
      </c>
      <c r="F144" t="s">
        <v>297</v>
      </c>
      <c r="K144">
        <v>4.25</v>
      </c>
      <c r="L144" t="s">
        <v>40</v>
      </c>
    </row>
    <row r="145" spans="1:12" x14ac:dyDescent="0.15">
      <c r="A145" s="34">
        <v>46098.359652777799</v>
      </c>
      <c r="B145" t="s">
        <v>201</v>
      </c>
      <c r="C145" t="s">
        <v>202</v>
      </c>
      <c r="D145" t="s">
        <v>16</v>
      </c>
      <c r="E145" t="str">
        <f>VLOOKUP(B145,'人员清单-202603'!D:J,7,FALSE)</f>
        <v>零售应用组</v>
      </c>
      <c r="F145" t="s">
        <v>287</v>
      </c>
      <c r="K145">
        <v>8.5</v>
      </c>
      <c r="L145" t="s">
        <v>34</v>
      </c>
    </row>
    <row r="146" spans="1:12" x14ac:dyDescent="0.15">
      <c r="A146" s="34">
        <v>46098.354097222204</v>
      </c>
      <c r="B146" t="s">
        <v>216</v>
      </c>
      <c r="C146" t="s">
        <v>217</v>
      </c>
      <c r="D146" t="s">
        <v>16</v>
      </c>
      <c r="E146" t="str">
        <f>VLOOKUP(B146,'人员清单-202603'!D:J,7,FALSE)</f>
        <v>零售应用组</v>
      </c>
      <c r="F146" t="s">
        <v>257</v>
      </c>
      <c r="K146">
        <v>8.5</v>
      </c>
      <c r="L146" t="s">
        <v>34</v>
      </c>
    </row>
    <row r="147" spans="1:12" x14ac:dyDescent="0.15">
      <c r="A147" s="34">
        <v>46098.352442129602</v>
      </c>
      <c r="B147" t="s">
        <v>245</v>
      </c>
      <c r="C147" t="s">
        <v>246</v>
      </c>
      <c r="D147" t="s">
        <v>16</v>
      </c>
      <c r="E147" t="str">
        <f>VLOOKUP(B147,'人员清单-202603'!D:J,7,FALSE)</f>
        <v>零售应用组</v>
      </c>
      <c r="F147" t="s">
        <v>281</v>
      </c>
      <c r="K147">
        <v>4.25</v>
      </c>
      <c r="L147" t="s">
        <v>35</v>
      </c>
    </row>
    <row r="148" spans="1:12" x14ac:dyDescent="0.15">
      <c r="A148" s="34">
        <v>46098.350937499999</v>
      </c>
      <c r="B148" t="s">
        <v>107</v>
      </c>
      <c r="C148" t="s">
        <v>108</v>
      </c>
      <c r="D148" t="s">
        <v>16</v>
      </c>
      <c r="E148" t="str">
        <f>VLOOKUP(B148,'人员清单-202603'!D:J,7,FALSE)</f>
        <v>对公应用组</v>
      </c>
      <c r="F148" t="s">
        <v>109</v>
      </c>
      <c r="K148">
        <v>4.25</v>
      </c>
      <c r="L148" t="s">
        <v>42</v>
      </c>
    </row>
    <row r="149" spans="1:12" x14ac:dyDescent="0.15">
      <c r="A149" s="34">
        <v>46098.350717592599</v>
      </c>
      <c r="B149" t="s">
        <v>219</v>
      </c>
      <c r="C149" t="s">
        <v>220</v>
      </c>
      <c r="D149" t="s">
        <v>16</v>
      </c>
      <c r="E149" t="str">
        <f>VLOOKUP(B149,'人员清单-202603'!D:J,7,FALSE)</f>
        <v>对公应用组</v>
      </c>
      <c r="F149" t="s">
        <v>289</v>
      </c>
      <c r="K149">
        <v>8.5</v>
      </c>
      <c r="L149" t="s">
        <v>34</v>
      </c>
    </row>
    <row r="150" spans="1:12" x14ac:dyDescent="0.15">
      <c r="A150" s="34">
        <v>46098.350624999999</v>
      </c>
      <c r="B150" t="s">
        <v>107</v>
      </c>
      <c r="C150" t="s">
        <v>108</v>
      </c>
      <c r="D150" t="s">
        <v>16</v>
      </c>
      <c r="E150" t="str">
        <f>VLOOKUP(B150,'人员清单-202603'!D:J,7,FALSE)</f>
        <v>对公应用组</v>
      </c>
      <c r="F150" t="s">
        <v>59</v>
      </c>
      <c r="K150">
        <v>4.25</v>
      </c>
      <c r="L150" t="s">
        <v>34</v>
      </c>
    </row>
    <row r="151" spans="1:12" x14ac:dyDescent="0.15">
      <c r="A151" s="34">
        <v>46097.661747685197</v>
      </c>
      <c r="B151" t="s">
        <v>224</v>
      </c>
      <c r="C151" t="s">
        <v>225</v>
      </c>
      <c r="D151" t="s">
        <v>16</v>
      </c>
      <c r="E151" t="str">
        <f>VLOOKUP(B151,'人员清单-202603'!D:J,7,FALSE)</f>
        <v>对公应用组</v>
      </c>
      <c r="F151" t="s">
        <v>228</v>
      </c>
      <c r="K151">
        <v>4.25</v>
      </c>
      <c r="L151" t="s">
        <v>34</v>
      </c>
    </row>
    <row r="152" spans="1:12" x14ac:dyDescent="0.15">
      <c r="A152" s="34">
        <v>46097.657268518502</v>
      </c>
      <c r="B152" t="s">
        <v>224</v>
      </c>
      <c r="C152" t="s">
        <v>225</v>
      </c>
      <c r="D152" t="s">
        <v>16</v>
      </c>
      <c r="E152" t="str">
        <f>VLOOKUP(B152,'人员清单-202603'!D:J,7,FALSE)</f>
        <v>对公应用组</v>
      </c>
      <c r="F152" t="s">
        <v>226</v>
      </c>
      <c r="G152" t="s">
        <v>227</v>
      </c>
      <c r="I152" t="s">
        <v>191</v>
      </c>
      <c r="K152">
        <v>4.25</v>
      </c>
      <c r="L152" t="s">
        <v>42</v>
      </c>
    </row>
    <row r="153" spans="1:12" x14ac:dyDescent="0.15">
      <c r="A153" s="34">
        <v>46097.6162847222</v>
      </c>
      <c r="B153" t="s">
        <v>156</v>
      </c>
      <c r="C153" t="s">
        <v>157</v>
      </c>
      <c r="D153" t="s">
        <v>16</v>
      </c>
      <c r="E153" t="str">
        <f>VLOOKUP(B153,'人员清单-202603'!D:J,7,FALSE)</f>
        <v>对公应用组</v>
      </c>
      <c r="F153" t="s">
        <v>59</v>
      </c>
      <c r="K153">
        <v>8.5</v>
      </c>
      <c r="L153" t="s">
        <v>34</v>
      </c>
    </row>
    <row r="154" spans="1:12" x14ac:dyDescent="0.15">
      <c r="A154" s="34">
        <v>46097.602754629603</v>
      </c>
      <c r="B154" t="s">
        <v>290</v>
      </c>
      <c r="C154" t="s">
        <v>291</v>
      </c>
      <c r="D154" t="s">
        <v>16</v>
      </c>
      <c r="E154" t="str">
        <f>VLOOKUP(B154,'人员清单-202603'!D:J,7,FALSE)</f>
        <v>零售应用组</v>
      </c>
      <c r="F154" t="s">
        <v>292</v>
      </c>
      <c r="K154">
        <v>4.25</v>
      </c>
      <c r="L154" t="s">
        <v>41</v>
      </c>
    </row>
    <row r="155" spans="1:12" x14ac:dyDescent="0.15">
      <c r="A155" s="34">
        <v>46097.602025462998</v>
      </c>
      <c r="B155" t="s">
        <v>290</v>
      </c>
      <c r="C155" t="s">
        <v>291</v>
      </c>
      <c r="D155" t="s">
        <v>16</v>
      </c>
      <c r="E155" t="str">
        <f>VLOOKUP(B155,'人员清单-202603'!D:J,7,FALSE)</f>
        <v>零售应用组</v>
      </c>
      <c r="F155" t="s">
        <v>257</v>
      </c>
      <c r="K155">
        <v>4.25</v>
      </c>
      <c r="L155" t="s">
        <v>34</v>
      </c>
    </row>
    <row r="156" spans="1:12" x14ac:dyDescent="0.15">
      <c r="A156" s="34">
        <v>46097.5733680556</v>
      </c>
      <c r="B156" t="s">
        <v>76</v>
      </c>
      <c r="C156" t="s">
        <v>77</v>
      </c>
      <c r="D156" t="s">
        <v>16</v>
      </c>
      <c r="E156" t="str">
        <f>VLOOKUP(B156,'人员清单-202603'!D:J,7,FALSE)</f>
        <v>对公应用组</v>
      </c>
      <c r="F156" t="s">
        <v>260</v>
      </c>
      <c r="K156">
        <v>4.25</v>
      </c>
      <c r="L156" t="s">
        <v>34</v>
      </c>
    </row>
    <row r="157" spans="1:12" x14ac:dyDescent="0.15">
      <c r="A157" s="34">
        <v>46097.573287036997</v>
      </c>
      <c r="B157" t="s">
        <v>76</v>
      </c>
      <c r="C157" t="s">
        <v>77</v>
      </c>
      <c r="D157" t="s">
        <v>16</v>
      </c>
      <c r="E157" t="str">
        <f>VLOOKUP(B157,'人员清单-202603'!D:J,7,FALSE)</f>
        <v>对公应用组</v>
      </c>
      <c r="F157" t="s">
        <v>308</v>
      </c>
      <c r="K157">
        <v>4.25</v>
      </c>
      <c r="L157" t="s">
        <v>42</v>
      </c>
    </row>
    <row r="158" spans="1:12" x14ac:dyDescent="0.15">
      <c r="A158" s="34">
        <v>46097.571770833303</v>
      </c>
      <c r="B158" t="s">
        <v>176</v>
      </c>
      <c r="C158" t="s">
        <v>177</v>
      </c>
      <c r="D158" t="s">
        <v>16</v>
      </c>
      <c r="E158" t="str">
        <f>VLOOKUP(B158,'人员清单-202603'!D:J,7,FALSE)</f>
        <v>对公应用组</v>
      </c>
      <c r="F158" t="s">
        <v>297</v>
      </c>
      <c r="K158">
        <v>4.25</v>
      </c>
      <c r="L158" t="s">
        <v>40</v>
      </c>
    </row>
    <row r="159" spans="1:12" x14ac:dyDescent="0.15">
      <c r="A159" s="34">
        <v>46097.453969907401</v>
      </c>
      <c r="B159" t="s">
        <v>312</v>
      </c>
      <c r="C159" t="s">
        <v>313</v>
      </c>
      <c r="D159" t="s">
        <v>16</v>
      </c>
      <c r="E159" t="str">
        <f>VLOOKUP(B159,'人员清单-202603'!D:J,7,FALSE)</f>
        <v>零售应用组</v>
      </c>
      <c r="F159" t="s">
        <v>314</v>
      </c>
      <c r="K159">
        <v>8.5</v>
      </c>
      <c r="L159" t="s">
        <v>34</v>
      </c>
    </row>
    <row r="160" spans="1:12" x14ac:dyDescent="0.15">
      <c r="A160" s="34">
        <v>46097.432881944398</v>
      </c>
      <c r="B160" t="s">
        <v>216</v>
      </c>
      <c r="C160" t="s">
        <v>217</v>
      </c>
      <c r="D160" t="s">
        <v>16</v>
      </c>
      <c r="E160" t="str">
        <f>VLOOKUP(B160,'人员清单-202603'!D:J,7,FALSE)</f>
        <v>零售应用组</v>
      </c>
      <c r="F160" t="s">
        <v>257</v>
      </c>
      <c r="K160">
        <v>8.5</v>
      </c>
      <c r="L160" t="s">
        <v>34</v>
      </c>
    </row>
    <row r="161" spans="1:12" x14ac:dyDescent="0.15">
      <c r="A161" s="34">
        <v>46097.382164351897</v>
      </c>
      <c r="B161" t="s">
        <v>48</v>
      </c>
      <c r="C161" t="s">
        <v>49</v>
      </c>
      <c r="D161" t="s">
        <v>16</v>
      </c>
      <c r="E161" t="str">
        <f>VLOOKUP(B161,'人员清单-202603'!D:J,7,FALSE)</f>
        <v>对公应用组</v>
      </c>
      <c r="F161" t="s">
        <v>50</v>
      </c>
      <c r="I161" t="s">
        <v>51</v>
      </c>
      <c r="K161">
        <v>4.25</v>
      </c>
      <c r="L161" t="s">
        <v>29</v>
      </c>
    </row>
    <row r="162" spans="1:12" x14ac:dyDescent="0.15">
      <c r="A162" s="34">
        <v>46097.382129629601</v>
      </c>
      <c r="B162" t="s">
        <v>48</v>
      </c>
      <c r="C162" t="s">
        <v>49</v>
      </c>
      <c r="D162" t="s">
        <v>16</v>
      </c>
      <c r="E162" t="str">
        <f>VLOOKUP(B162,'人员清单-202603'!D:J,7,FALSE)</f>
        <v>对公应用组</v>
      </c>
      <c r="F162" t="s">
        <v>239</v>
      </c>
      <c r="I162" t="s">
        <v>240</v>
      </c>
      <c r="K162">
        <v>4.25</v>
      </c>
      <c r="L162" t="s">
        <v>41</v>
      </c>
    </row>
    <row r="163" spans="1:12" x14ac:dyDescent="0.15">
      <c r="A163" s="34">
        <v>46097.376423611102</v>
      </c>
      <c r="B163" t="s">
        <v>148</v>
      </c>
      <c r="C163" t="s">
        <v>149</v>
      </c>
      <c r="D163" t="s">
        <v>16</v>
      </c>
      <c r="E163" t="str">
        <f>VLOOKUP(B163,'人员清单-202603'!D:J,7,FALSE)</f>
        <v>零售应用组</v>
      </c>
      <c r="F163" t="s">
        <v>301</v>
      </c>
      <c r="K163">
        <v>8.5</v>
      </c>
      <c r="L163" t="s">
        <v>35</v>
      </c>
    </row>
    <row r="164" spans="1:12" x14ac:dyDescent="0.15">
      <c r="A164" s="34">
        <v>46097.376041666699</v>
      </c>
      <c r="B164" t="s">
        <v>79</v>
      </c>
      <c r="C164" t="s">
        <v>80</v>
      </c>
      <c r="D164" t="s">
        <v>16</v>
      </c>
      <c r="E164" t="str">
        <f>VLOOKUP(B164,'人员清单-202603'!D:J,7,FALSE)</f>
        <v>零售应用组</v>
      </c>
      <c r="F164" t="s">
        <v>309</v>
      </c>
      <c r="G164" t="s">
        <v>310</v>
      </c>
      <c r="K164">
        <v>8.5</v>
      </c>
      <c r="L164" t="s">
        <v>54</v>
      </c>
    </row>
    <row r="165" spans="1:12" x14ac:dyDescent="0.15">
      <c r="A165" s="34">
        <v>46097.374155092599</v>
      </c>
      <c r="B165" t="s">
        <v>107</v>
      </c>
      <c r="C165" t="s">
        <v>108</v>
      </c>
      <c r="D165" t="s">
        <v>16</v>
      </c>
      <c r="E165" t="str">
        <f>VLOOKUP(B165,'人员清单-202603'!D:J,7,FALSE)</f>
        <v>对公应用组</v>
      </c>
      <c r="F165" t="s">
        <v>109</v>
      </c>
      <c r="K165">
        <v>4.25</v>
      </c>
      <c r="L165" t="s">
        <v>42</v>
      </c>
    </row>
    <row r="166" spans="1:12" x14ac:dyDescent="0.15">
      <c r="A166" s="34">
        <v>46097.373865740701</v>
      </c>
      <c r="B166" t="s">
        <v>107</v>
      </c>
      <c r="C166" t="s">
        <v>108</v>
      </c>
      <c r="D166" t="s">
        <v>16</v>
      </c>
      <c r="E166" t="str">
        <f>VLOOKUP(B166,'人员清单-202603'!D:J,7,FALSE)</f>
        <v>对公应用组</v>
      </c>
      <c r="F166" t="s">
        <v>59</v>
      </c>
      <c r="K166">
        <v>4.25</v>
      </c>
      <c r="L166" t="s">
        <v>34</v>
      </c>
    </row>
    <row r="167" spans="1:12" x14ac:dyDescent="0.15">
      <c r="A167" s="34">
        <v>46097.371620370403</v>
      </c>
      <c r="B167" t="s">
        <v>57</v>
      </c>
      <c r="C167" t="s">
        <v>58</v>
      </c>
      <c r="D167" t="s">
        <v>16</v>
      </c>
      <c r="E167" t="str">
        <f>VLOOKUP(B167,'人员清单-202603'!D:J,7,FALSE)</f>
        <v>对公应用组</v>
      </c>
      <c r="F167" t="s">
        <v>59</v>
      </c>
      <c r="K167">
        <v>4.25</v>
      </c>
      <c r="L167" t="s">
        <v>34</v>
      </c>
    </row>
    <row r="168" spans="1:12" x14ac:dyDescent="0.15">
      <c r="A168" s="34">
        <v>46097.371539351901</v>
      </c>
      <c r="B168" t="s">
        <v>57</v>
      </c>
      <c r="C168" t="s">
        <v>58</v>
      </c>
      <c r="D168" t="s">
        <v>16</v>
      </c>
      <c r="E168" t="str">
        <f>VLOOKUP(B168,'人员清单-202603'!D:J,7,FALSE)</f>
        <v>对公应用组</v>
      </c>
      <c r="F168" t="s">
        <v>318</v>
      </c>
      <c r="K168">
        <v>4.25</v>
      </c>
      <c r="L168" t="s">
        <v>54</v>
      </c>
    </row>
    <row r="169" spans="1:12" x14ac:dyDescent="0.15">
      <c r="A169" s="34">
        <v>46097.366875</v>
      </c>
      <c r="B169" t="s">
        <v>176</v>
      </c>
      <c r="C169" t="s">
        <v>177</v>
      </c>
      <c r="D169" t="s">
        <v>16</v>
      </c>
      <c r="E169" t="str">
        <f>VLOOKUP(B169,'人员清单-202603'!D:J,7,FALSE)</f>
        <v>对公应用组</v>
      </c>
      <c r="F169" t="s">
        <v>59</v>
      </c>
      <c r="K169">
        <v>4.25</v>
      </c>
      <c r="L169" t="s">
        <v>34</v>
      </c>
    </row>
    <row r="170" spans="1:12" x14ac:dyDescent="0.15">
      <c r="A170" s="34">
        <v>46097.365266203698</v>
      </c>
      <c r="B170" t="s">
        <v>219</v>
      </c>
      <c r="C170" t="s">
        <v>220</v>
      </c>
      <c r="D170" t="s">
        <v>16</v>
      </c>
      <c r="E170" t="str">
        <f>VLOOKUP(B170,'人员清单-202603'!D:J,7,FALSE)</f>
        <v>对公应用组</v>
      </c>
      <c r="F170" t="s">
        <v>289</v>
      </c>
      <c r="K170">
        <v>8.5</v>
      </c>
      <c r="L170" t="s">
        <v>34</v>
      </c>
    </row>
    <row r="171" spans="1:12" x14ac:dyDescent="0.15">
      <c r="A171" s="34">
        <v>46097.362384259301</v>
      </c>
      <c r="B171" t="s">
        <v>201</v>
      </c>
      <c r="C171" t="s">
        <v>202</v>
      </c>
      <c r="D171" t="s">
        <v>16</v>
      </c>
      <c r="E171" t="str">
        <f>VLOOKUP(B171,'人员清单-202603'!D:J,7,FALSE)</f>
        <v>零售应用组</v>
      </c>
      <c r="F171" t="s">
        <v>287</v>
      </c>
      <c r="K171">
        <v>8.5</v>
      </c>
      <c r="L171" t="s">
        <v>34</v>
      </c>
    </row>
    <row r="172" spans="1:12" x14ac:dyDescent="0.15">
      <c r="A172" s="34">
        <v>46097.359050925901</v>
      </c>
      <c r="B172" t="s">
        <v>245</v>
      </c>
      <c r="C172" t="s">
        <v>246</v>
      </c>
      <c r="D172" t="s">
        <v>16</v>
      </c>
      <c r="E172" t="str">
        <f>VLOOKUP(B172,'人员清单-202603'!D:J,7,FALSE)</f>
        <v>零售应用组</v>
      </c>
      <c r="F172" t="s">
        <v>319</v>
      </c>
      <c r="K172">
        <v>4.25</v>
      </c>
      <c r="L172" t="s">
        <v>29</v>
      </c>
    </row>
    <row r="173" spans="1:12" x14ac:dyDescent="0.15">
      <c r="A173" s="34">
        <v>46097.358981481499</v>
      </c>
      <c r="B173" t="s">
        <v>245</v>
      </c>
      <c r="C173" t="s">
        <v>246</v>
      </c>
      <c r="D173" t="s">
        <v>16</v>
      </c>
      <c r="E173" t="str">
        <f>VLOOKUP(B173,'人员清单-202603'!D:J,7,FALSE)</f>
        <v>零售应用组</v>
      </c>
      <c r="F173" t="s">
        <v>304</v>
      </c>
      <c r="K173">
        <v>4.25</v>
      </c>
      <c r="L173" t="s">
        <v>35</v>
      </c>
    </row>
    <row r="174" spans="1:12" x14ac:dyDescent="0.15">
      <c r="A174" s="34">
        <v>46094.657905092601</v>
      </c>
      <c r="B174" t="s">
        <v>76</v>
      </c>
      <c r="C174" t="s">
        <v>77</v>
      </c>
      <c r="D174" t="s">
        <v>16</v>
      </c>
      <c r="E174" t="str">
        <f>VLOOKUP(B174,'人员清单-202603'!D:J,7,FALSE)</f>
        <v>对公应用组</v>
      </c>
      <c r="F174" t="s">
        <v>260</v>
      </c>
      <c r="K174">
        <v>4.25</v>
      </c>
      <c r="L174" t="s">
        <v>34</v>
      </c>
    </row>
    <row r="175" spans="1:12" x14ac:dyDescent="0.15">
      <c r="A175" s="34">
        <v>46094.656597222202</v>
      </c>
      <c r="B175" t="s">
        <v>76</v>
      </c>
      <c r="C175" t="s">
        <v>77</v>
      </c>
      <c r="D175" t="s">
        <v>16</v>
      </c>
      <c r="E175" t="str">
        <f>VLOOKUP(B175,'人员清单-202603'!D:J,7,FALSE)</f>
        <v>对公应用组</v>
      </c>
      <c r="F175" t="s">
        <v>308</v>
      </c>
      <c r="K175">
        <v>4.25</v>
      </c>
      <c r="L175" t="s">
        <v>42</v>
      </c>
    </row>
    <row r="176" spans="1:12" x14ac:dyDescent="0.15">
      <c r="A176" s="34">
        <v>46094.655729166698</v>
      </c>
      <c r="B176" t="s">
        <v>312</v>
      </c>
      <c r="C176" t="s">
        <v>313</v>
      </c>
      <c r="D176" t="s">
        <v>16</v>
      </c>
      <c r="E176" t="str">
        <f>VLOOKUP(B176,'人员清单-202603'!D:J,7,FALSE)</f>
        <v>零售应用组</v>
      </c>
      <c r="F176" t="s">
        <v>314</v>
      </c>
      <c r="K176">
        <v>8.5</v>
      </c>
      <c r="L176" t="s">
        <v>34</v>
      </c>
    </row>
    <row r="177" spans="1:12" x14ac:dyDescent="0.15">
      <c r="A177" s="34">
        <v>46094.651724536998</v>
      </c>
      <c r="B177" t="s">
        <v>201</v>
      </c>
      <c r="C177" t="s">
        <v>202</v>
      </c>
      <c r="D177" t="s">
        <v>16</v>
      </c>
      <c r="E177" t="str">
        <f>VLOOKUP(B177,'人员清单-202603'!D:J,7,FALSE)</f>
        <v>零售应用组</v>
      </c>
      <c r="F177" t="s">
        <v>287</v>
      </c>
      <c r="K177">
        <v>8.5</v>
      </c>
      <c r="L177" t="s">
        <v>34</v>
      </c>
    </row>
    <row r="178" spans="1:12" x14ac:dyDescent="0.15">
      <c r="A178" s="34">
        <v>46094.651724536998</v>
      </c>
      <c r="B178" t="s">
        <v>290</v>
      </c>
      <c r="C178" t="s">
        <v>291</v>
      </c>
      <c r="D178" t="s">
        <v>16</v>
      </c>
      <c r="E178" t="str">
        <f>VLOOKUP(B178,'人员清单-202603'!D:J,7,FALSE)</f>
        <v>零售应用组</v>
      </c>
      <c r="F178" t="s">
        <v>309</v>
      </c>
      <c r="G178" t="s">
        <v>310</v>
      </c>
      <c r="K178">
        <v>0</v>
      </c>
      <c r="L178" t="s">
        <v>54</v>
      </c>
    </row>
    <row r="179" spans="1:12" x14ac:dyDescent="0.15">
      <c r="A179" s="34">
        <v>46094.632164351897</v>
      </c>
      <c r="B179" t="s">
        <v>57</v>
      </c>
      <c r="C179" t="s">
        <v>58</v>
      </c>
      <c r="D179" t="s">
        <v>16</v>
      </c>
      <c r="E179" t="str">
        <f>VLOOKUP(B179,'人员清单-202603'!D:J,7,FALSE)</f>
        <v>对公应用组</v>
      </c>
      <c r="F179" t="s">
        <v>318</v>
      </c>
      <c r="K179">
        <v>4.25</v>
      </c>
      <c r="L179" t="s">
        <v>54</v>
      </c>
    </row>
    <row r="180" spans="1:12" x14ac:dyDescent="0.15">
      <c r="A180" s="34">
        <v>46094.6031365741</v>
      </c>
      <c r="B180" t="s">
        <v>290</v>
      </c>
      <c r="C180" t="s">
        <v>291</v>
      </c>
      <c r="D180" t="s">
        <v>16</v>
      </c>
      <c r="E180" t="str">
        <f>VLOOKUP(B180,'人员清单-202603'!D:J,7,FALSE)</f>
        <v>零售应用组</v>
      </c>
      <c r="F180" t="s">
        <v>257</v>
      </c>
      <c r="K180">
        <v>2</v>
      </c>
      <c r="L180" t="s">
        <v>34</v>
      </c>
    </row>
    <row r="181" spans="1:12" x14ac:dyDescent="0.15">
      <c r="A181" s="34">
        <v>46094.601446759298</v>
      </c>
      <c r="B181" t="s">
        <v>290</v>
      </c>
      <c r="C181" t="s">
        <v>291</v>
      </c>
      <c r="D181" t="s">
        <v>16</v>
      </c>
      <c r="E181" t="str">
        <f>VLOOKUP(B181,'人员清单-202603'!D:J,7,FALSE)</f>
        <v>零售应用组</v>
      </c>
      <c r="F181" t="s">
        <v>31</v>
      </c>
      <c r="K181">
        <v>0</v>
      </c>
      <c r="L181" t="s">
        <v>29</v>
      </c>
    </row>
    <row r="182" spans="1:12" x14ac:dyDescent="0.15">
      <c r="A182" s="34">
        <v>46094.456273148098</v>
      </c>
      <c r="B182" t="s">
        <v>48</v>
      </c>
      <c r="C182" t="s">
        <v>49</v>
      </c>
      <c r="D182" t="s">
        <v>16</v>
      </c>
      <c r="E182" t="str">
        <f>VLOOKUP(B182,'人员清单-202603'!D:J,7,FALSE)</f>
        <v>对公应用组</v>
      </c>
      <c r="F182" t="s">
        <v>239</v>
      </c>
      <c r="I182" t="s">
        <v>240</v>
      </c>
      <c r="K182">
        <v>4.25</v>
      </c>
      <c r="L182" t="s">
        <v>41</v>
      </c>
    </row>
    <row r="183" spans="1:12" x14ac:dyDescent="0.15">
      <c r="A183" s="34">
        <v>46094.448344907403</v>
      </c>
      <c r="B183" t="s">
        <v>48</v>
      </c>
      <c r="C183" t="s">
        <v>49</v>
      </c>
      <c r="D183" t="s">
        <v>16</v>
      </c>
      <c r="E183" t="str">
        <f>VLOOKUP(B183,'人员清单-202603'!D:J,7,FALSE)</f>
        <v>对公应用组</v>
      </c>
      <c r="F183" t="s">
        <v>50</v>
      </c>
      <c r="I183" t="s">
        <v>51</v>
      </c>
      <c r="K183">
        <v>4.25</v>
      </c>
      <c r="L183" t="s">
        <v>29</v>
      </c>
    </row>
    <row r="184" spans="1:12" x14ac:dyDescent="0.15">
      <c r="A184" s="34">
        <v>46094.433240740698</v>
      </c>
      <c r="B184" t="s">
        <v>224</v>
      </c>
      <c r="C184" t="s">
        <v>225</v>
      </c>
      <c r="D184" t="s">
        <v>16</v>
      </c>
      <c r="E184" t="str">
        <f>VLOOKUP(B184,'人员清单-202603'!D:J,7,FALSE)</f>
        <v>对公应用组</v>
      </c>
      <c r="F184" t="s">
        <v>226</v>
      </c>
      <c r="G184" t="s">
        <v>227</v>
      </c>
      <c r="I184" t="s">
        <v>191</v>
      </c>
      <c r="K184">
        <v>8.5</v>
      </c>
      <c r="L184" t="s">
        <v>42</v>
      </c>
    </row>
    <row r="185" spans="1:12" x14ac:dyDescent="0.15">
      <c r="A185" s="34">
        <v>46094.392465277801</v>
      </c>
      <c r="B185" t="s">
        <v>219</v>
      </c>
      <c r="C185" t="s">
        <v>220</v>
      </c>
      <c r="D185" t="s">
        <v>16</v>
      </c>
      <c r="E185" t="str">
        <f>VLOOKUP(B185,'人员清单-202603'!D:J,7,FALSE)</f>
        <v>对公应用组</v>
      </c>
      <c r="F185" t="s">
        <v>260</v>
      </c>
      <c r="K185">
        <v>4.25</v>
      </c>
      <c r="L185" t="s">
        <v>34</v>
      </c>
    </row>
    <row r="186" spans="1:12" x14ac:dyDescent="0.15">
      <c r="A186" s="34">
        <v>46094.387384259302</v>
      </c>
      <c r="B186" t="s">
        <v>263</v>
      </c>
      <c r="C186" t="s">
        <v>264</v>
      </c>
      <c r="D186" t="s">
        <v>16</v>
      </c>
      <c r="E186" t="str">
        <f>VLOOKUP(B186,'人员清单-202603'!D:J,7,FALSE)</f>
        <v>零售应用组</v>
      </c>
      <c r="F186" t="s">
        <v>326</v>
      </c>
      <c r="K186">
        <v>4.25</v>
      </c>
      <c r="L186" t="s">
        <v>35</v>
      </c>
    </row>
    <row r="187" spans="1:12" x14ac:dyDescent="0.15">
      <c r="A187" s="34">
        <v>46094.386979166702</v>
      </c>
      <c r="B187" t="s">
        <v>263</v>
      </c>
      <c r="C187" t="s">
        <v>264</v>
      </c>
      <c r="D187" t="s">
        <v>16</v>
      </c>
      <c r="E187" t="str">
        <f>VLOOKUP(B187,'人员清单-202603'!D:J,7,FALSE)</f>
        <v>零售应用组</v>
      </c>
      <c r="F187" t="s">
        <v>327</v>
      </c>
      <c r="K187">
        <v>4.25</v>
      </c>
      <c r="L187" t="s">
        <v>34</v>
      </c>
    </row>
    <row r="188" spans="1:12" x14ac:dyDescent="0.15">
      <c r="A188" s="34">
        <v>46094.377303240697</v>
      </c>
      <c r="B188" t="s">
        <v>148</v>
      </c>
      <c r="C188" t="s">
        <v>149</v>
      </c>
      <c r="D188" t="s">
        <v>16</v>
      </c>
      <c r="E188" t="str">
        <f>VLOOKUP(B188,'人员清单-202603'!D:J,7,FALSE)</f>
        <v>零售应用组</v>
      </c>
      <c r="F188" t="s">
        <v>301</v>
      </c>
      <c r="K188">
        <v>8.5</v>
      </c>
      <c r="L188" t="s">
        <v>35</v>
      </c>
    </row>
    <row r="189" spans="1:12" x14ac:dyDescent="0.15">
      <c r="A189" s="34">
        <v>46094.371493055602</v>
      </c>
      <c r="B189" t="s">
        <v>156</v>
      </c>
      <c r="C189" t="s">
        <v>157</v>
      </c>
      <c r="D189" t="s">
        <v>16</v>
      </c>
      <c r="E189" t="str">
        <f>VLOOKUP(B189,'人员清单-202603'!D:J,7,FALSE)</f>
        <v>对公应用组</v>
      </c>
      <c r="F189" t="s">
        <v>59</v>
      </c>
      <c r="K189">
        <v>8.5</v>
      </c>
      <c r="L189" t="s">
        <v>34</v>
      </c>
    </row>
    <row r="190" spans="1:12" x14ac:dyDescent="0.15">
      <c r="A190" s="34">
        <v>46094.370104166701</v>
      </c>
      <c r="B190" t="s">
        <v>79</v>
      </c>
      <c r="C190" t="s">
        <v>80</v>
      </c>
      <c r="D190" t="s">
        <v>16</v>
      </c>
      <c r="E190" t="str">
        <f>VLOOKUP(B190,'人员清单-202603'!D:J,7,FALSE)</f>
        <v>零售应用组</v>
      </c>
      <c r="F190" t="s">
        <v>309</v>
      </c>
      <c r="G190" t="s">
        <v>310</v>
      </c>
      <c r="K190">
        <v>8.5</v>
      </c>
      <c r="L190" t="s">
        <v>54</v>
      </c>
    </row>
    <row r="191" spans="1:12" x14ac:dyDescent="0.15">
      <c r="A191" s="34">
        <v>46094.367881944403</v>
      </c>
      <c r="B191" t="s">
        <v>216</v>
      </c>
      <c r="C191" t="s">
        <v>217</v>
      </c>
      <c r="D191" t="s">
        <v>16</v>
      </c>
      <c r="E191" t="str">
        <f>VLOOKUP(B191,'人员清单-202603'!D:J,7,FALSE)</f>
        <v>零售应用组</v>
      </c>
      <c r="F191" t="s">
        <v>257</v>
      </c>
      <c r="K191">
        <v>8.5</v>
      </c>
      <c r="L191" t="s">
        <v>34</v>
      </c>
    </row>
    <row r="192" spans="1:12" x14ac:dyDescent="0.15">
      <c r="A192" s="34">
        <v>46094.364363425899</v>
      </c>
      <c r="B192" t="s">
        <v>57</v>
      </c>
      <c r="C192" t="s">
        <v>58</v>
      </c>
      <c r="D192" t="s">
        <v>16</v>
      </c>
      <c r="E192" t="str">
        <f>VLOOKUP(B192,'人员清单-202603'!D:J,7,FALSE)</f>
        <v>对公应用组</v>
      </c>
      <c r="F192" t="s">
        <v>59</v>
      </c>
      <c r="K192">
        <v>4.25</v>
      </c>
      <c r="L192" t="s">
        <v>34</v>
      </c>
    </row>
    <row r="193" spans="1:12" x14ac:dyDescent="0.15">
      <c r="A193" s="34">
        <v>46094.362511574102</v>
      </c>
      <c r="B193" t="s">
        <v>176</v>
      </c>
      <c r="C193" t="s">
        <v>177</v>
      </c>
      <c r="D193" t="s">
        <v>16</v>
      </c>
      <c r="E193" t="str">
        <f>VLOOKUP(B193,'人员清单-202603'!D:J,7,FALSE)</f>
        <v>对公应用组</v>
      </c>
      <c r="F193" t="s">
        <v>59</v>
      </c>
      <c r="K193">
        <v>8.5</v>
      </c>
      <c r="L193" t="s">
        <v>34</v>
      </c>
    </row>
    <row r="194" spans="1:12" x14ac:dyDescent="0.15">
      <c r="A194" s="34">
        <v>46094.353171296301</v>
      </c>
      <c r="B194" t="s">
        <v>107</v>
      </c>
      <c r="C194" t="s">
        <v>108</v>
      </c>
      <c r="D194" t="s">
        <v>16</v>
      </c>
      <c r="E194" t="str">
        <f>VLOOKUP(B194,'人员清单-202603'!D:J,7,FALSE)</f>
        <v>对公应用组</v>
      </c>
      <c r="F194" t="s">
        <v>59</v>
      </c>
      <c r="K194">
        <v>4.25</v>
      </c>
      <c r="L194" t="s">
        <v>34</v>
      </c>
    </row>
    <row r="195" spans="1:12" x14ac:dyDescent="0.15">
      <c r="A195" s="34">
        <v>46094.3530902778</v>
      </c>
      <c r="B195" t="s">
        <v>107</v>
      </c>
      <c r="C195" t="s">
        <v>108</v>
      </c>
      <c r="D195" t="s">
        <v>16</v>
      </c>
      <c r="E195" t="str">
        <f>VLOOKUP(B195,'人员清单-202603'!D:J,7,FALSE)</f>
        <v>对公应用组</v>
      </c>
      <c r="F195" t="s">
        <v>109</v>
      </c>
      <c r="K195">
        <v>4.25</v>
      </c>
      <c r="L195" t="s">
        <v>42</v>
      </c>
    </row>
    <row r="196" spans="1:12" x14ac:dyDescent="0.15">
      <c r="A196" s="34">
        <v>46094.352453703701</v>
      </c>
      <c r="B196" t="s">
        <v>245</v>
      </c>
      <c r="C196" t="s">
        <v>246</v>
      </c>
      <c r="D196" t="s">
        <v>16</v>
      </c>
      <c r="E196" t="str">
        <f>VLOOKUP(B196,'人员清单-202603'!D:J,7,FALSE)</f>
        <v>零售应用组</v>
      </c>
      <c r="F196" t="s">
        <v>319</v>
      </c>
      <c r="K196">
        <v>4.25</v>
      </c>
      <c r="L196" t="s">
        <v>29</v>
      </c>
    </row>
    <row r="197" spans="1:12" x14ac:dyDescent="0.15">
      <c r="A197" s="34">
        <v>46094.352337962999</v>
      </c>
      <c r="B197" t="s">
        <v>245</v>
      </c>
      <c r="C197" t="s">
        <v>246</v>
      </c>
      <c r="D197" t="s">
        <v>16</v>
      </c>
      <c r="E197" t="str">
        <f>VLOOKUP(B197,'人员清单-202603'!D:J,7,FALSE)</f>
        <v>零售应用组</v>
      </c>
      <c r="F197" t="s">
        <v>304</v>
      </c>
      <c r="K197">
        <v>4.25</v>
      </c>
      <c r="L197" t="s">
        <v>35</v>
      </c>
    </row>
    <row r="198" spans="1:12" x14ac:dyDescent="0.15">
      <c r="A198" s="34">
        <v>46094.3516550926</v>
      </c>
      <c r="B198" t="s">
        <v>219</v>
      </c>
      <c r="C198" t="s">
        <v>220</v>
      </c>
      <c r="D198" t="s">
        <v>16</v>
      </c>
      <c r="E198" t="str">
        <f>VLOOKUP(B198,'人员清单-202603'!D:J,7,FALSE)</f>
        <v>对公应用组</v>
      </c>
      <c r="F198" t="s">
        <v>289</v>
      </c>
      <c r="K198">
        <v>4.25</v>
      </c>
      <c r="L198" t="s">
        <v>34</v>
      </c>
    </row>
    <row r="199" spans="1:12" x14ac:dyDescent="0.15">
      <c r="A199" s="34">
        <v>46093.712592592601</v>
      </c>
      <c r="B199" t="s">
        <v>76</v>
      </c>
      <c r="C199" t="s">
        <v>77</v>
      </c>
      <c r="D199" t="s">
        <v>16</v>
      </c>
      <c r="E199" t="str">
        <f>VLOOKUP(B199,'人员清单-202603'!D:J,7,FALSE)</f>
        <v>对公应用组</v>
      </c>
      <c r="F199" t="s">
        <v>328</v>
      </c>
      <c r="K199">
        <v>8.5</v>
      </c>
      <c r="L199" t="s">
        <v>34</v>
      </c>
    </row>
    <row r="200" spans="1:12" x14ac:dyDescent="0.15">
      <c r="A200" s="34">
        <v>46093.709872685198</v>
      </c>
      <c r="B200" t="s">
        <v>219</v>
      </c>
      <c r="C200" t="s">
        <v>220</v>
      </c>
      <c r="D200" t="s">
        <v>16</v>
      </c>
      <c r="E200" t="str">
        <f>VLOOKUP(B200,'人员清单-202603'!D:J,7,FALSE)</f>
        <v>对公应用组</v>
      </c>
      <c r="F200" t="s">
        <v>328</v>
      </c>
      <c r="K200">
        <v>4.25</v>
      </c>
      <c r="L200" t="s">
        <v>34</v>
      </c>
    </row>
    <row r="201" spans="1:12" x14ac:dyDescent="0.15">
      <c r="A201" s="34">
        <v>46093.703252314801</v>
      </c>
      <c r="B201" t="s">
        <v>224</v>
      </c>
      <c r="C201" t="s">
        <v>225</v>
      </c>
      <c r="D201" t="s">
        <v>16</v>
      </c>
      <c r="E201" t="str">
        <f>VLOOKUP(B201,'人员清单-202603'!D:J,7,FALSE)</f>
        <v>对公应用组</v>
      </c>
      <c r="F201" t="s">
        <v>226</v>
      </c>
      <c r="G201" t="s">
        <v>227</v>
      </c>
      <c r="I201" t="s">
        <v>191</v>
      </c>
      <c r="K201">
        <v>4.25</v>
      </c>
      <c r="L201" t="s">
        <v>42</v>
      </c>
    </row>
    <row r="202" spans="1:12" x14ac:dyDescent="0.15">
      <c r="A202" s="34">
        <v>46093.701099537</v>
      </c>
      <c r="B202" t="s">
        <v>224</v>
      </c>
      <c r="C202" t="s">
        <v>225</v>
      </c>
      <c r="D202" t="s">
        <v>16</v>
      </c>
      <c r="E202" t="str">
        <f>VLOOKUP(B202,'人员清单-202603'!D:J,7,FALSE)</f>
        <v>对公应用组</v>
      </c>
      <c r="F202" t="s">
        <v>329</v>
      </c>
      <c r="G202" t="s">
        <v>68</v>
      </c>
      <c r="K202">
        <v>4.25</v>
      </c>
      <c r="L202" t="s">
        <v>35</v>
      </c>
    </row>
    <row r="203" spans="1:12" x14ac:dyDescent="0.15">
      <c r="A203" s="34">
        <v>46093.691284722197</v>
      </c>
      <c r="B203" t="s">
        <v>107</v>
      </c>
      <c r="C203" t="s">
        <v>108</v>
      </c>
      <c r="D203" t="s">
        <v>16</v>
      </c>
      <c r="E203" t="str">
        <f>VLOOKUP(B203,'人员清单-202603'!D:J,7,FALSE)</f>
        <v>对公应用组</v>
      </c>
      <c r="F203" t="s">
        <v>59</v>
      </c>
      <c r="K203">
        <v>4.25</v>
      </c>
      <c r="L203" t="s">
        <v>34</v>
      </c>
    </row>
    <row r="204" spans="1:12" x14ac:dyDescent="0.15">
      <c r="A204" s="34">
        <v>46093.691064814797</v>
      </c>
      <c r="B204" t="s">
        <v>57</v>
      </c>
      <c r="C204" t="s">
        <v>58</v>
      </c>
      <c r="D204" t="s">
        <v>16</v>
      </c>
      <c r="E204" t="str">
        <f>VLOOKUP(B204,'人员清单-202603'!D:J,7,FALSE)</f>
        <v>对公应用组</v>
      </c>
      <c r="F204" t="s">
        <v>59</v>
      </c>
      <c r="K204">
        <v>8.5</v>
      </c>
      <c r="L204" t="s">
        <v>34</v>
      </c>
    </row>
    <row r="205" spans="1:12" x14ac:dyDescent="0.15">
      <c r="A205" s="34">
        <v>46093.6902430556</v>
      </c>
      <c r="B205" t="s">
        <v>176</v>
      </c>
      <c r="C205" t="s">
        <v>177</v>
      </c>
      <c r="D205" t="s">
        <v>16</v>
      </c>
      <c r="E205" t="str">
        <f>VLOOKUP(B205,'人员清单-202603'!D:J,7,FALSE)</f>
        <v>对公应用组</v>
      </c>
      <c r="F205" t="s">
        <v>59</v>
      </c>
      <c r="K205">
        <v>8.5</v>
      </c>
      <c r="L205" t="s">
        <v>34</v>
      </c>
    </row>
    <row r="206" spans="1:12" x14ac:dyDescent="0.15">
      <c r="A206" s="34">
        <v>46093.688796296301</v>
      </c>
      <c r="B206" t="s">
        <v>107</v>
      </c>
      <c r="C206" t="s">
        <v>108</v>
      </c>
      <c r="D206" t="s">
        <v>16</v>
      </c>
      <c r="E206" t="str">
        <f>VLOOKUP(B206,'人员清单-202603'!D:J,7,FALSE)</f>
        <v>对公应用组</v>
      </c>
      <c r="F206" t="s">
        <v>109</v>
      </c>
      <c r="K206">
        <v>4.25</v>
      </c>
      <c r="L206" t="s">
        <v>42</v>
      </c>
    </row>
    <row r="207" spans="1:12" x14ac:dyDescent="0.15">
      <c r="A207" s="34">
        <v>46093.674502314803</v>
      </c>
      <c r="B207" t="s">
        <v>79</v>
      </c>
      <c r="C207" t="s">
        <v>80</v>
      </c>
      <c r="D207" t="s">
        <v>16</v>
      </c>
      <c r="E207" t="str">
        <f>VLOOKUP(B207,'人员清单-202603'!D:J,7,FALSE)</f>
        <v>零售应用组</v>
      </c>
      <c r="F207" t="s">
        <v>309</v>
      </c>
      <c r="G207" t="s">
        <v>310</v>
      </c>
      <c r="K207">
        <v>8</v>
      </c>
      <c r="L207" t="s">
        <v>54</v>
      </c>
    </row>
    <row r="208" spans="1:12" x14ac:dyDescent="0.15">
      <c r="A208" s="34">
        <v>46093.6583217593</v>
      </c>
      <c r="B208" t="s">
        <v>76</v>
      </c>
      <c r="C208" t="s">
        <v>77</v>
      </c>
      <c r="D208" t="s">
        <v>16</v>
      </c>
      <c r="E208" t="str">
        <f>VLOOKUP(B208,'人员清单-202603'!D:J,7,FALSE)</f>
        <v>对公应用组</v>
      </c>
      <c r="F208" t="s">
        <v>308</v>
      </c>
      <c r="K208">
        <v>8</v>
      </c>
      <c r="L208" t="s">
        <v>42</v>
      </c>
    </row>
    <row r="209" spans="1:12" x14ac:dyDescent="0.15">
      <c r="A209" s="34">
        <v>46093.608842592599</v>
      </c>
      <c r="B209" t="s">
        <v>156</v>
      </c>
      <c r="C209" t="s">
        <v>157</v>
      </c>
      <c r="D209" t="s">
        <v>16</v>
      </c>
      <c r="E209" t="str">
        <f>VLOOKUP(B209,'人员清单-202603'!D:J,7,FALSE)</f>
        <v>对公应用组</v>
      </c>
      <c r="F209" t="s">
        <v>59</v>
      </c>
      <c r="K209">
        <v>8.5</v>
      </c>
      <c r="L209" t="s">
        <v>34</v>
      </c>
    </row>
    <row r="210" spans="1:12" x14ac:dyDescent="0.15">
      <c r="A210" s="34">
        <v>46093.468587962998</v>
      </c>
      <c r="B210" t="s">
        <v>148</v>
      </c>
      <c r="C210" t="s">
        <v>149</v>
      </c>
      <c r="D210" t="s">
        <v>16</v>
      </c>
      <c r="E210" t="str">
        <f>VLOOKUP(B210,'人员清单-202603'!D:J,7,FALSE)</f>
        <v>零售应用组</v>
      </c>
      <c r="F210" t="s">
        <v>301</v>
      </c>
      <c r="K210">
        <v>8.5</v>
      </c>
      <c r="L210" t="s">
        <v>35</v>
      </c>
    </row>
    <row r="211" spans="1:12" x14ac:dyDescent="0.15">
      <c r="A211" s="34">
        <v>46093.416828703703</v>
      </c>
      <c r="B211" t="s">
        <v>245</v>
      </c>
      <c r="C211" t="s">
        <v>246</v>
      </c>
      <c r="D211" t="s">
        <v>16</v>
      </c>
      <c r="E211" t="str">
        <f>VLOOKUP(B211,'人员清单-202603'!D:J,7,FALSE)</f>
        <v>零售应用组</v>
      </c>
      <c r="F211" t="s">
        <v>319</v>
      </c>
      <c r="K211">
        <v>4.25</v>
      </c>
      <c r="L211" t="s">
        <v>29</v>
      </c>
    </row>
    <row r="212" spans="1:12" x14ac:dyDescent="0.15">
      <c r="A212" s="34">
        <v>46093.416192129604</v>
      </c>
      <c r="B212" t="s">
        <v>245</v>
      </c>
      <c r="C212" t="s">
        <v>246</v>
      </c>
      <c r="D212" t="s">
        <v>16</v>
      </c>
      <c r="E212" t="str">
        <f>VLOOKUP(B212,'人员清单-202603'!D:J,7,FALSE)</f>
        <v>零售应用组</v>
      </c>
      <c r="F212" t="s">
        <v>304</v>
      </c>
      <c r="K212">
        <v>4.25</v>
      </c>
      <c r="L212" t="s">
        <v>35</v>
      </c>
    </row>
    <row r="213" spans="1:12" x14ac:dyDescent="0.15">
      <c r="A213" s="34">
        <v>46093.415717592601</v>
      </c>
      <c r="B213" t="s">
        <v>263</v>
      </c>
      <c r="C213" t="s">
        <v>264</v>
      </c>
      <c r="D213" t="s">
        <v>16</v>
      </c>
      <c r="E213" t="str">
        <f>VLOOKUP(B213,'人员清单-202603'!D:J,7,FALSE)</f>
        <v>零售应用组</v>
      </c>
      <c r="F213" t="s">
        <v>326</v>
      </c>
      <c r="K213">
        <v>8.5</v>
      </c>
      <c r="L213" t="s">
        <v>35</v>
      </c>
    </row>
    <row r="214" spans="1:12" x14ac:dyDescent="0.15">
      <c r="A214" s="34">
        <v>46093.400243055599</v>
      </c>
      <c r="B214" t="s">
        <v>216</v>
      </c>
      <c r="C214" t="s">
        <v>217</v>
      </c>
      <c r="D214" t="s">
        <v>16</v>
      </c>
      <c r="E214" t="str">
        <f>VLOOKUP(B214,'人员清单-202603'!D:J,7,FALSE)</f>
        <v>零售应用组</v>
      </c>
      <c r="F214" t="s">
        <v>257</v>
      </c>
      <c r="K214">
        <v>8.5</v>
      </c>
      <c r="L214" t="s">
        <v>34</v>
      </c>
    </row>
    <row r="215" spans="1:12" x14ac:dyDescent="0.15">
      <c r="A215" s="34">
        <v>46093.385405092602</v>
      </c>
      <c r="B215" t="s">
        <v>290</v>
      </c>
      <c r="C215" t="s">
        <v>291</v>
      </c>
      <c r="D215" t="s">
        <v>16</v>
      </c>
      <c r="E215" t="str">
        <f>VLOOKUP(B215,'人员清单-202603'!D:J,7,FALSE)</f>
        <v>零售应用组</v>
      </c>
      <c r="F215" t="s">
        <v>331</v>
      </c>
      <c r="K215">
        <v>2.8332999999999999</v>
      </c>
      <c r="L215" t="s">
        <v>34</v>
      </c>
    </row>
    <row r="216" spans="1:12" x14ac:dyDescent="0.15">
      <c r="A216" s="34">
        <v>46093.3847916667</v>
      </c>
      <c r="B216" t="s">
        <v>290</v>
      </c>
      <c r="C216" t="s">
        <v>291</v>
      </c>
      <c r="D216" t="s">
        <v>16</v>
      </c>
      <c r="E216" t="str">
        <f>VLOOKUP(B216,'人员清单-202603'!D:J,7,FALSE)</f>
        <v>零售应用组</v>
      </c>
      <c r="F216" t="s">
        <v>31</v>
      </c>
      <c r="K216">
        <v>2.8332999999999999</v>
      </c>
      <c r="L216" t="s">
        <v>29</v>
      </c>
    </row>
    <row r="217" spans="1:12" x14ac:dyDescent="0.15">
      <c r="A217" s="34">
        <v>46093.3839814815</v>
      </c>
      <c r="B217" t="s">
        <v>290</v>
      </c>
      <c r="C217" t="s">
        <v>291</v>
      </c>
      <c r="D217" t="s">
        <v>16</v>
      </c>
      <c r="E217" t="str">
        <f>VLOOKUP(B217,'人员清单-202603'!D:J,7,FALSE)</f>
        <v>零售应用组</v>
      </c>
      <c r="F217" t="s">
        <v>233</v>
      </c>
      <c r="K217">
        <v>2.8332999999999999</v>
      </c>
      <c r="L217" t="s">
        <v>35</v>
      </c>
    </row>
    <row r="218" spans="1:12" x14ac:dyDescent="0.15">
      <c r="A218" s="34">
        <v>46093.382222222201</v>
      </c>
      <c r="B218" t="s">
        <v>219</v>
      </c>
      <c r="C218" t="s">
        <v>220</v>
      </c>
      <c r="D218" t="s">
        <v>16</v>
      </c>
      <c r="E218" t="str">
        <f>VLOOKUP(B218,'人员清单-202603'!D:J,7,FALSE)</f>
        <v>对公应用组</v>
      </c>
      <c r="F218" t="s">
        <v>332</v>
      </c>
      <c r="G218" t="s">
        <v>333</v>
      </c>
      <c r="H218" t="s">
        <v>334</v>
      </c>
      <c r="I218" t="s">
        <v>317</v>
      </c>
      <c r="K218">
        <v>4.25</v>
      </c>
      <c r="L218" t="s">
        <v>40</v>
      </c>
    </row>
    <row r="219" spans="1:12" x14ac:dyDescent="0.15">
      <c r="A219" s="34">
        <v>46137.3517013889</v>
      </c>
      <c r="B219" t="s">
        <v>216</v>
      </c>
      <c r="C219" t="s">
        <v>217</v>
      </c>
      <c r="D219" t="s">
        <v>16</v>
      </c>
      <c r="E219" t="s">
        <v>550</v>
      </c>
      <c r="F219" t="s">
        <v>576</v>
      </c>
      <c r="G219" t="s">
        <v>621</v>
      </c>
      <c r="H219" t="s">
        <v>621</v>
      </c>
      <c r="I219" t="s">
        <v>621</v>
      </c>
      <c r="J219" t="s">
        <v>621</v>
      </c>
      <c r="K219">
        <v>9</v>
      </c>
      <c r="L219" t="s">
        <v>40</v>
      </c>
    </row>
    <row r="220" spans="1:12" x14ac:dyDescent="0.15">
      <c r="A220" s="34">
        <v>46136.694120370397</v>
      </c>
      <c r="B220" t="s">
        <v>290</v>
      </c>
      <c r="C220" t="s">
        <v>291</v>
      </c>
      <c r="D220" t="s">
        <v>16</v>
      </c>
      <c r="E220" t="s">
        <v>550</v>
      </c>
      <c r="F220" t="s">
        <v>577</v>
      </c>
      <c r="G220" t="s">
        <v>621</v>
      </c>
      <c r="H220" t="s">
        <v>621</v>
      </c>
      <c r="I220" t="s">
        <v>621</v>
      </c>
      <c r="J220" t="s">
        <v>621</v>
      </c>
      <c r="K220">
        <v>5.5</v>
      </c>
      <c r="L220" t="s">
        <v>35</v>
      </c>
    </row>
    <row r="221" spans="1:12" x14ac:dyDescent="0.15">
      <c r="A221" s="34">
        <v>46136.648472222201</v>
      </c>
      <c r="B221" t="s">
        <v>290</v>
      </c>
      <c r="C221" t="s">
        <v>291</v>
      </c>
      <c r="D221" t="s">
        <v>16</v>
      </c>
      <c r="E221" t="s">
        <v>550</v>
      </c>
      <c r="F221" t="s">
        <v>578</v>
      </c>
      <c r="G221" t="s">
        <v>621</v>
      </c>
      <c r="H221" t="s">
        <v>621</v>
      </c>
      <c r="I221" t="s">
        <v>621</v>
      </c>
      <c r="J221" t="s">
        <v>621</v>
      </c>
      <c r="K221">
        <v>3</v>
      </c>
      <c r="L221" t="s">
        <v>29</v>
      </c>
    </row>
    <row r="222" spans="1:12" x14ac:dyDescent="0.15">
      <c r="A222" s="34">
        <v>46136.583703703698</v>
      </c>
      <c r="B222" t="s">
        <v>76</v>
      </c>
      <c r="C222" t="s">
        <v>77</v>
      </c>
      <c r="D222" t="s">
        <v>16</v>
      </c>
      <c r="E222" t="s">
        <v>549</v>
      </c>
      <c r="F222" t="s">
        <v>579</v>
      </c>
      <c r="G222" t="s">
        <v>621</v>
      </c>
      <c r="H222" t="s">
        <v>621</v>
      </c>
      <c r="I222" t="s">
        <v>621</v>
      </c>
      <c r="J222" t="s">
        <v>621</v>
      </c>
      <c r="K222">
        <v>8.5</v>
      </c>
      <c r="L222" t="s">
        <v>29</v>
      </c>
    </row>
    <row r="223" spans="1:12" x14ac:dyDescent="0.15">
      <c r="A223" s="34">
        <v>46136.470509259299</v>
      </c>
      <c r="B223" t="s">
        <v>219</v>
      </c>
      <c r="C223" t="s">
        <v>220</v>
      </c>
      <c r="D223" t="s">
        <v>16</v>
      </c>
      <c r="E223" t="s">
        <v>549</v>
      </c>
      <c r="F223" t="s">
        <v>579</v>
      </c>
      <c r="G223" t="s">
        <v>621</v>
      </c>
      <c r="H223" t="s">
        <v>621</v>
      </c>
      <c r="I223" t="s">
        <v>621</v>
      </c>
      <c r="J223" t="s">
        <v>621</v>
      </c>
      <c r="K223">
        <v>4.25</v>
      </c>
      <c r="L223" t="s">
        <v>41</v>
      </c>
    </row>
    <row r="224" spans="1:12" x14ac:dyDescent="0.15">
      <c r="A224" s="34">
        <v>46136.470439814802</v>
      </c>
      <c r="B224" t="s">
        <v>219</v>
      </c>
      <c r="C224" t="s">
        <v>220</v>
      </c>
      <c r="D224" t="s">
        <v>16</v>
      </c>
      <c r="E224" t="s">
        <v>549</v>
      </c>
      <c r="F224" t="s">
        <v>580</v>
      </c>
      <c r="G224" t="s">
        <v>621</v>
      </c>
      <c r="H224" t="s">
        <v>621</v>
      </c>
      <c r="I224" t="s">
        <v>621</v>
      </c>
      <c r="J224" t="s">
        <v>621</v>
      </c>
      <c r="K224">
        <v>4.25</v>
      </c>
      <c r="L224" t="s">
        <v>66</v>
      </c>
    </row>
    <row r="225" spans="1:12" x14ac:dyDescent="0.15">
      <c r="A225" s="34">
        <v>46136.425914351901</v>
      </c>
      <c r="B225" t="s">
        <v>201</v>
      </c>
      <c r="C225" t="s">
        <v>202</v>
      </c>
      <c r="D225" t="s">
        <v>16</v>
      </c>
      <c r="E225" t="s">
        <v>550</v>
      </c>
      <c r="F225" t="s">
        <v>581</v>
      </c>
      <c r="G225" t="s">
        <v>621</v>
      </c>
      <c r="H225" t="s">
        <v>621</v>
      </c>
      <c r="I225" t="s">
        <v>621</v>
      </c>
      <c r="J225" t="s">
        <v>621</v>
      </c>
      <c r="K225">
        <v>8.5</v>
      </c>
      <c r="L225" t="s">
        <v>29</v>
      </c>
    </row>
    <row r="226" spans="1:12" x14ac:dyDescent="0.15">
      <c r="A226" s="34">
        <v>46136.408414351798</v>
      </c>
      <c r="B226" t="s">
        <v>138</v>
      </c>
      <c r="C226" t="s">
        <v>139</v>
      </c>
      <c r="D226" t="s">
        <v>16</v>
      </c>
      <c r="E226" t="s">
        <v>549</v>
      </c>
      <c r="F226" t="s">
        <v>579</v>
      </c>
      <c r="G226" t="s">
        <v>621</v>
      </c>
      <c r="H226" t="s">
        <v>621</v>
      </c>
      <c r="I226" t="s">
        <v>621</v>
      </c>
      <c r="J226" t="s">
        <v>621</v>
      </c>
      <c r="K226">
        <v>8.5</v>
      </c>
      <c r="L226" t="s">
        <v>29</v>
      </c>
    </row>
    <row r="227" spans="1:12" x14ac:dyDescent="0.15">
      <c r="A227" s="34">
        <v>46136.384224537003</v>
      </c>
      <c r="B227" t="s">
        <v>156</v>
      </c>
      <c r="C227" t="s">
        <v>157</v>
      </c>
      <c r="D227" t="s">
        <v>16</v>
      </c>
      <c r="E227" t="s">
        <v>549</v>
      </c>
      <c r="F227" t="s">
        <v>582</v>
      </c>
      <c r="G227" t="s">
        <v>621</v>
      </c>
      <c r="H227" t="s">
        <v>621</v>
      </c>
      <c r="I227" t="s">
        <v>621</v>
      </c>
      <c r="J227" t="s">
        <v>621</v>
      </c>
      <c r="K227">
        <v>4.25</v>
      </c>
      <c r="L227" t="s">
        <v>623</v>
      </c>
    </row>
    <row r="228" spans="1:12" x14ac:dyDescent="0.15">
      <c r="A228" s="34">
        <v>46136.384097222202</v>
      </c>
      <c r="B228" t="s">
        <v>156</v>
      </c>
      <c r="C228" t="s">
        <v>157</v>
      </c>
      <c r="D228" t="s">
        <v>16</v>
      </c>
      <c r="E228" t="s">
        <v>549</v>
      </c>
      <c r="F228" t="s">
        <v>583</v>
      </c>
      <c r="G228" t="s">
        <v>621</v>
      </c>
      <c r="H228" t="s">
        <v>621</v>
      </c>
      <c r="I228" t="s">
        <v>621</v>
      </c>
      <c r="J228" t="s">
        <v>621</v>
      </c>
      <c r="K228">
        <v>4.25</v>
      </c>
      <c r="L228" t="s">
        <v>45</v>
      </c>
    </row>
    <row r="229" spans="1:12" x14ac:dyDescent="0.15">
      <c r="A229" s="34">
        <v>46136.378553240698</v>
      </c>
      <c r="B229" t="s">
        <v>263</v>
      </c>
      <c r="C229" t="s">
        <v>264</v>
      </c>
      <c r="D229" t="s">
        <v>16</v>
      </c>
      <c r="E229" t="s">
        <v>550</v>
      </c>
      <c r="F229" t="s">
        <v>584</v>
      </c>
      <c r="G229" t="s">
        <v>621</v>
      </c>
      <c r="H229" t="s">
        <v>621</v>
      </c>
      <c r="I229" t="s">
        <v>621</v>
      </c>
      <c r="J229" t="s">
        <v>621</v>
      </c>
      <c r="K229">
        <v>8.5</v>
      </c>
      <c r="L229" t="s">
        <v>40</v>
      </c>
    </row>
    <row r="230" spans="1:12" x14ac:dyDescent="0.15">
      <c r="A230" s="34">
        <v>46136.375254629602</v>
      </c>
      <c r="B230" t="s">
        <v>148</v>
      </c>
      <c r="C230" t="s">
        <v>149</v>
      </c>
      <c r="D230" t="s">
        <v>16</v>
      </c>
      <c r="E230" t="s">
        <v>550</v>
      </c>
      <c r="F230" t="s">
        <v>585</v>
      </c>
      <c r="G230" t="s">
        <v>621</v>
      </c>
      <c r="H230" t="s">
        <v>621</v>
      </c>
      <c r="I230" t="s">
        <v>621</v>
      </c>
      <c r="J230" t="s">
        <v>621</v>
      </c>
      <c r="K230">
        <v>8.5</v>
      </c>
      <c r="L230" t="s">
        <v>29</v>
      </c>
    </row>
    <row r="231" spans="1:12" x14ac:dyDescent="0.15">
      <c r="A231" s="34">
        <v>46136.373946759297</v>
      </c>
      <c r="B231" t="s">
        <v>224</v>
      </c>
      <c r="C231" t="s">
        <v>225</v>
      </c>
      <c r="D231" t="s">
        <v>16</v>
      </c>
      <c r="E231" t="s">
        <v>549</v>
      </c>
      <c r="F231" t="s">
        <v>228</v>
      </c>
      <c r="G231" t="s">
        <v>621</v>
      </c>
      <c r="H231" t="s">
        <v>621</v>
      </c>
      <c r="I231" t="s">
        <v>621</v>
      </c>
      <c r="J231" t="s">
        <v>621</v>
      </c>
      <c r="K231">
        <v>6.75</v>
      </c>
      <c r="L231" t="s">
        <v>29</v>
      </c>
    </row>
    <row r="232" spans="1:12" x14ac:dyDescent="0.15">
      <c r="A232" s="34">
        <v>46136.373298611099</v>
      </c>
      <c r="B232" t="s">
        <v>224</v>
      </c>
      <c r="C232" t="s">
        <v>225</v>
      </c>
      <c r="D232" t="s">
        <v>16</v>
      </c>
      <c r="E232" t="s">
        <v>549</v>
      </c>
      <c r="F232" t="s">
        <v>586</v>
      </c>
      <c r="G232" t="s">
        <v>622</v>
      </c>
      <c r="H232" t="s">
        <v>621</v>
      </c>
      <c r="I232" t="s">
        <v>238</v>
      </c>
      <c r="J232" t="s">
        <v>621</v>
      </c>
      <c r="K232">
        <v>4.25</v>
      </c>
      <c r="L232" t="s">
        <v>35</v>
      </c>
    </row>
    <row r="233" spans="1:12" x14ac:dyDescent="0.15">
      <c r="A233" s="34">
        <v>46136.373159722199</v>
      </c>
      <c r="B233" t="s">
        <v>224</v>
      </c>
      <c r="C233" t="s">
        <v>225</v>
      </c>
      <c r="D233" t="s">
        <v>16</v>
      </c>
      <c r="E233" t="s">
        <v>549</v>
      </c>
      <c r="F233" t="s">
        <v>587</v>
      </c>
      <c r="G233" t="s">
        <v>622</v>
      </c>
      <c r="H233" t="s">
        <v>621</v>
      </c>
      <c r="I233" t="s">
        <v>162</v>
      </c>
      <c r="J233" t="s">
        <v>621</v>
      </c>
      <c r="K233">
        <v>4.25</v>
      </c>
      <c r="L233" t="s">
        <v>40</v>
      </c>
    </row>
    <row r="234" spans="1:12" x14ac:dyDescent="0.15">
      <c r="A234" s="34">
        <v>46136.369895833297</v>
      </c>
      <c r="B234" t="s">
        <v>48</v>
      </c>
      <c r="C234" t="s">
        <v>49</v>
      </c>
      <c r="D234" t="s">
        <v>16</v>
      </c>
      <c r="E234" t="s">
        <v>549</v>
      </c>
      <c r="F234" t="s">
        <v>588</v>
      </c>
      <c r="G234" t="s">
        <v>621</v>
      </c>
      <c r="H234" t="s">
        <v>621</v>
      </c>
      <c r="I234" t="s">
        <v>621</v>
      </c>
      <c r="J234" t="s">
        <v>621</v>
      </c>
      <c r="K234">
        <v>8.5</v>
      </c>
      <c r="L234" t="s">
        <v>66</v>
      </c>
    </row>
    <row r="235" spans="1:12" x14ac:dyDescent="0.15">
      <c r="A235" s="34">
        <v>46136.362453703703</v>
      </c>
      <c r="B235" t="s">
        <v>57</v>
      </c>
      <c r="C235" t="s">
        <v>58</v>
      </c>
      <c r="D235" t="s">
        <v>16</v>
      </c>
      <c r="E235" t="s">
        <v>549</v>
      </c>
      <c r="F235" t="s">
        <v>589</v>
      </c>
      <c r="G235" t="s">
        <v>621</v>
      </c>
      <c r="H235" t="s">
        <v>621</v>
      </c>
      <c r="I235" t="s">
        <v>621</v>
      </c>
      <c r="J235" t="s">
        <v>621</v>
      </c>
      <c r="K235">
        <v>8.5</v>
      </c>
      <c r="L235" t="s">
        <v>66</v>
      </c>
    </row>
    <row r="236" spans="1:12" x14ac:dyDescent="0.15">
      <c r="A236" s="34">
        <v>46136.358425925901</v>
      </c>
      <c r="B236" t="s">
        <v>176</v>
      </c>
      <c r="C236" t="s">
        <v>177</v>
      </c>
      <c r="D236" t="s">
        <v>16</v>
      </c>
      <c r="E236" t="s">
        <v>549</v>
      </c>
      <c r="F236" t="s">
        <v>589</v>
      </c>
      <c r="G236" t="s">
        <v>621</v>
      </c>
      <c r="H236" t="s">
        <v>621</v>
      </c>
      <c r="I236" t="s">
        <v>621</v>
      </c>
      <c r="J236" t="s">
        <v>621</v>
      </c>
      <c r="K236">
        <v>8.5</v>
      </c>
      <c r="L236" t="s">
        <v>35</v>
      </c>
    </row>
    <row r="237" spans="1:12" x14ac:dyDescent="0.15">
      <c r="A237" s="34">
        <v>46136.356597222199</v>
      </c>
      <c r="B237" t="s">
        <v>79</v>
      </c>
      <c r="C237" t="s">
        <v>80</v>
      </c>
      <c r="D237" t="s">
        <v>16</v>
      </c>
      <c r="E237" t="s">
        <v>550</v>
      </c>
      <c r="F237" t="s">
        <v>578</v>
      </c>
      <c r="G237" t="s">
        <v>621</v>
      </c>
      <c r="H237" t="s">
        <v>621</v>
      </c>
      <c r="I237" t="s">
        <v>621</v>
      </c>
      <c r="J237" t="s">
        <v>621</v>
      </c>
      <c r="K237">
        <v>4.25</v>
      </c>
      <c r="L237" t="s">
        <v>40</v>
      </c>
    </row>
    <row r="238" spans="1:12" x14ac:dyDescent="0.15">
      <c r="A238" s="34">
        <v>46136.355590277803</v>
      </c>
      <c r="B238" t="s">
        <v>79</v>
      </c>
      <c r="C238" t="s">
        <v>80</v>
      </c>
      <c r="D238" t="s">
        <v>16</v>
      </c>
      <c r="E238" t="s">
        <v>550</v>
      </c>
      <c r="F238" t="s">
        <v>585</v>
      </c>
      <c r="G238" t="s">
        <v>621</v>
      </c>
      <c r="H238" t="s">
        <v>621</v>
      </c>
      <c r="I238" t="s">
        <v>621</v>
      </c>
      <c r="J238" t="s">
        <v>621</v>
      </c>
      <c r="K238">
        <v>4.25</v>
      </c>
      <c r="L238" t="s">
        <v>40</v>
      </c>
    </row>
    <row r="239" spans="1:12" x14ac:dyDescent="0.15">
      <c r="A239" s="34">
        <v>46136.351666666698</v>
      </c>
      <c r="B239" t="s">
        <v>216</v>
      </c>
      <c r="C239" t="s">
        <v>217</v>
      </c>
      <c r="D239" t="s">
        <v>16</v>
      </c>
      <c r="E239" t="s">
        <v>550</v>
      </c>
      <c r="F239" t="s">
        <v>576</v>
      </c>
      <c r="G239" t="s">
        <v>621</v>
      </c>
      <c r="H239" t="s">
        <v>621</v>
      </c>
      <c r="I239" t="s">
        <v>621</v>
      </c>
      <c r="J239" t="s">
        <v>621</v>
      </c>
      <c r="K239">
        <v>9</v>
      </c>
      <c r="L239" t="s">
        <v>40</v>
      </c>
    </row>
    <row r="240" spans="1:12" x14ac:dyDescent="0.15">
      <c r="A240" s="34">
        <v>46136.345949074101</v>
      </c>
      <c r="B240" t="s">
        <v>245</v>
      </c>
      <c r="C240" t="s">
        <v>246</v>
      </c>
      <c r="D240" t="s">
        <v>16</v>
      </c>
      <c r="E240" t="s">
        <v>550</v>
      </c>
      <c r="F240" t="s">
        <v>585</v>
      </c>
      <c r="G240" t="s">
        <v>621</v>
      </c>
      <c r="H240" t="s">
        <v>621</v>
      </c>
      <c r="I240" t="s">
        <v>621</v>
      </c>
      <c r="J240" t="s">
        <v>621</v>
      </c>
      <c r="K240">
        <v>8.5</v>
      </c>
      <c r="L240" t="s">
        <v>29</v>
      </c>
    </row>
    <row r="241" spans="1:12" x14ac:dyDescent="0.15">
      <c r="A241" s="34">
        <v>46136.301331018498</v>
      </c>
      <c r="B241" t="s">
        <v>107</v>
      </c>
      <c r="C241" t="s">
        <v>108</v>
      </c>
      <c r="D241" t="s">
        <v>16</v>
      </c>
      <c r="E241" t="s">
        <v>549</v>
      </c>
      <c r="F241" t="s">
        <v>590</v>
      </c>
      <c r="G241" t="s">
        <v>621</v>
      </c>
      <c r="H241" t="s">
        <v>621</v>
      </c>
      <c r="I241" t="s">
        <v>621</v>
      </c>
      <c r="J241" t="s">
        <v>621</v>
      </c>
      <c r="K241">
        <v>8.5</v>
      </c>
      <c r="L241" t="s">
        <v>40</v>
      </c>
    </row>
    <row r="242" spans="1:12" x14ac:dyDescent="0.15">
      <c r="A242" s="34">
        <v>46135.648472222201</v>
      </c>
      <c r="B242" t="s">
        <v>290</v>
      </c>
      <c r="C242" t="s">
        <v>291</v>
      </c>
      <c r="D242" t="s">
        <v>16</v>
      </c>
      <c r="E242" t="s">
        <v>550</v>
      </c>
      <c r="F242" t="s">
        <v>295</v>
      </c>
      <c r="G242" t="s">
        <v>621</v>
      </c>
      <c r="H242" t="s">
        <v>621</v>
      </c>
      <c r="I242" t="s">
        <v>621</v>
      </c>
      <c r="J242" t="s">
        <v>621</v>
      </c>
      <c r="K242">
        <v>2</v>
      </c>
      <c r="L242" t="s">
        <v>40</v>
      </c>
    </row>
    <row r="243" spans="1:12" x14ac:dyDescent="0.15">
      <c r="A243" s="34">
        <v>46135.648472222201</v>
      </c>
      <c r="B243" t="s">
        <v>290</v>
      </c>
      <c r="C243" t="s">
        <v>291</v>
      </c>
      <c r="D243" t="s">
        <v>16</v>
      </c>
      <c r="E243" t="s">
        <v>550</v>
      </c>
      <c r="F243" t="s">
        <v>300</v>
      </c>
      <c r="G243" t="s">
        <v>621</v>
      </c>
      <c r="H243" t="s">
        <v>621</v>
      </c>
      <c r="I243" t="s">
        <v>621</v>
      </c>
      <c r="J243" t="s">
        <v>621</v>
      </c>
      <c r="K243">
        <v>4</v>
      </c>
      <c r="L243" t="s">
        <v>45</v>
      </c>
    </row>
    <row r="244" spans="1:12" x14ac:dyDescent="0.15">
      <c r="A244" s="34">
        <v>46135.638472222199</v>
      </c>
      <c r="B244" t="s">
        <v>263</v>
      </c>
      <c r="C244" t="s">
        <v>264</v>
      </c>
      <c r="D244" t="s">
        <v>16</v>
      </c>
      <c r="E244" t="s">
        <v>550</v>
      </c>
      <c r="F244" t="s">
        <v>591</v>
      </c>
      <c r="G244" t="s">
        <v>621</v>
      </c>
      <c r="H244" t="s">
        <v>621</v>
      </c>
      <c r="I244" t="s">
        <v>621</v>
      </c>
      <c r="J244" t="s">
        <v>621</v>
      </c>
      <c r="K244">
        <v>8</v>
      </c>
      <c r="L244" t="s">
        <v>623</v>
      </c>
    </row>
    <row r="245" spans="1:12" x14ac:dyDescent="0.15">
      <c r="A245" s="34">
        <v>46135.583437499998</v>
      </c>
      <c r="B245" t="s">
        <v>156</v>
      </c>
      <c r="C245" t="s">
        <v>157</v>
      </c>
      <c r="D245" t="s">
        <v>16</v>
      </c>
      <c r="E245" t="s">
        <v>549</v>
      </c>
      <c r="F245" t="s">
        <v>583</v>
      </c>
      <c r="G245" t="s">
        <v>621</v>
      </c>
      <c r="H245" t="s">
        <v>621</v>
      </c>
      <c r="I245" t="s">
        <v>621</v>
      </c>
      <c r="J245" t="s">
        <v>621</v>
      </c>
      <c r="K245">
        <v>4.25</v>
      </c>
      <c r="L245" t="s">
        <v>29</v>
      </c>
    </row>
    <row r="246" spans="1:12" x14ac:dyDescent="0.15">
      <c r="A246" s="34">
        <v>46135.583032407398</v>
      </c>
      <c r="B246" t="s">
        <v>76</v>
      </c>
      <c r="C246" t="s">
        <v>77</v>
      </c>
      <c r="D246" t="s">
        <v>16</v>
      </c>
      <c r="E246" t="s">
        <v>549</v>
      </c>
      <c r="F246" t="s">
        <v>592</v>
      </c>
      <c r="G246" t="s">
        <v>621</v>
      </c>
      <c r="H246" t="s">
        <v>621</v>
      </c>
      <c r="I246" t="s">
        <v>621</v>
      </c>
      <c r="J246" t="s">
        <v>621</v>
      </c>
      <c r="K246">
        <v>8</v>
      </c>
      <c r="L246" t="s">
        <v>29</v>
      </c>
    </row>
    <row r="247" spans="1:12" x14ac:dyDescent="0.15">
      <c r="A247" s="34">
        <v>46135.581979166702</v>
      </c>
      <c r="B247" t="s">
        <v>156</v>
      </c>
      <c r="C247" t="s">
        <v>157</v>
      </c>
      <c r="D247" t="s">
        <v>16</v>
      </c>
      <c r="E247" t="s">
        <v>549</v>
      </c>
      <c r="F247" t="s">
        <v>582</v>
      </c>
      <c r="G247" t="s">
        <v>621</v>
      </c>
      <c r="H247" t="s">
        <v>621</v>
      </c>
      <c r="I247" t="s">
        <v>621</v>
      </c>
      <c r="J247" t="s">
        <v>621</v>
      </c>
      <c r="K247">
        <v>4.25</v>
      </c>
      <c r="L247" t="s">
        <v>66</v>
      </c>
    </row>
    <row r="248" spans="1:12" x14ac:dyDescent="0.15">
      <c r="A248" s="34">
        <v>46135.471423611103</v>
      </c>
      <c r="B248" t="s">
        <v>176</v>
      </c>
      <c r="C248" t="s">
        <v>177</v>
      </c>
      <c r="D248" t="s">
        <v>16</v>
      </c>
      <c r="E248" t="s">
        <v>549</v>
      </c>
      <c r="F248" t="s">
        <v>589</v>
      </c>
      <c r="G248" t="s">
        <v>621</v>
      </c>
      <c r="H248" t="s">
        <v>621</v>
      </c>
      <c r="I248" t="s">
        <v>621</v>
      </c>
      <c r="J248" t="s">
        <v>621</v>
      </c>
      <c r="K248">
        <v>8.5</v>
      </c>
      <c r="L248" t="s">
        <v>29</v>
      </c>
    </row>
    <row r="249" spans="1:12" x14ac:dyDescent="0.15">
      <c r="A249" s="34">
        <v>46135.467812499999</v>
      </c>
      <c r="B249" t="s">
        <v>107</v>
      </c>
      <c r="C249" t="s">
        <v>108</v>
      </c>
      <c r="D249" t="s">
        <v>16</v>
      </c>
      <c r="E249" t="s">
        <v>549</v>
      </c>
      <c r="F249" t="s">
        <v>590</v>
      </c>
      <c r="G249" t="s">
        <v>621</v>
      </c>
      <c r="H249" t="s">
        <v>621</v>
      </c>
      <c r="I249" t="s">
        <v>621</v>
      </c>
      <c r="J249" t="s">
        <v>621</v>
      </c>
      <c r="K249">
        <v>8.5</v>
      </c>
      <c r="L249" t="s">
        <v>40</v>
      </c>
    </row>
    <row r="250" spans="1:12" x14ac:dyDescent="0.15">
      <c r="A250" s="34">
        <v>46135.418055555601</v>
      </c>
      <c r="B250" t="s">
        <v>79</v>
      </c>
      <c r="C250" t="s">
        <v>80</v>
      </c>
      <c r="D250" t="s">
        <v>16</v>
      </c>
      <c r="E250" t="s">
        <v>550</v>
      </c>
      <c r="F250" t="s">
        <v>585</v>
      </c>
      <c r="G250" t="s">
        <v>621</v>
      </c>
      <c r="H250" t="s">
        <v>621</v>
      </c>
      <c r="I250" t="s">
        <v>621</v>
      </c>
      <c r="J250" t="s">
        <v>621</v>
      </c>
      <c r="K250">
        <v>8.5</v>
      </c>
      <c r="L250" t="s">
        <v>40</v>
      </c>
    </row>
    <row r="251" spans="1:12" x14ac:dyDescent="0.15">
      <c r="A251" s="34">
        <v>46135.414282407401</v>
      </c>
      <c r="B251" t="s">
        <v>48</v>
      </c>
      <c r="C251" t="s">
        <v>49</v>
      </c>
      <c r="D251" t="s">
        <v>16</v>
      </c>
      <c r="E251" t="s">
        <v>549</v>
      </c>
      <c r="F251" t="s">
        <v>588</v>
      </c>
      <c r="G251" t="s">
        <v>621</v>
      </c>
      <c r="H251" t="s">
        <v>621</v>
      </c>
      <c r="I251" t="s">
        <v>621</v>
      </c>
      <c r="J251" t="s">
        <v>621</v>
      </c>
      <c r="K251">
        <v>4.25</v>
      </c>
      <c r="L251" t="s">
        <v>29</v>
      </c>
    </row>
    <row r="252" spans="1:12" x14ac:dyDescent="0.15">
      <c r="A252" s="34">
        <v>46135.414224537002</v>
      </c>
      <c r="B252" t="s">
        <v>48</v>
      </c>
      <c r="C252" t="s">
        <v>49</v>
      </c>
      <c r="D252" t="s">
        <v>16</v>
      </c>
      <c r="E252" t="s">
        <v>549</v>
      </c>
      <c r="F252" t="s">
        <v>593</v>
      </c>
      <c r="G252" t="s">
        <v>621</v>
      </c>
      <c r="H252" t="s">
        <v>621</v>
      </c>
      <c r="I252" t="s">
        <v>621</v>
      </c>
      <c r="J252" t="s">
        <v>621</v>
      </c>
      <c r="K252">
        <v>4.25</v>
      </c>
      <c r="L252" t="s">
        <v>35</v>
      </c>
    </row>
    <row r="253" spans="1:12" x14ac:dyDescent="0.15">
      <c r="A253" s="34">
        <v>46135.378495370402</v>
      </c>
      <c r="B253" t="s">
        <v>224</v>
      </c>
      <c r="C253" t="s">
        <v>225</v>
      </c>
      <c r="D253" t="s">
        <v>16</v>
      </c>
      <c r="E253" t="s">
        <v>549</v>
      </c>
      <c r="F253" t="s">
        <v>587</v>
      </c>
      <c r="G253" t="s">
        <v>622</v>
      </c>
      <c r="H253" t="s">
        <v>621</v>
      </c>
      <c r="I253" t="s">
        <v>162</v>
      </c>
      <c r="J253" t="s">
        <v>621</v>
      </c>
      <c r="K253">
        <v>4.25</v>
      </c>
      <c r="L253" t="s">
        <v>40</v>
      </c>
    </row>
    <row r="254" spans="1:12" x14ac:dyDescent="0.15">
      <c r="A254" s="34">
        <v>46135.3760763889</v>
      </c>
      <c r="B254" t="s">
        <v>148</v>
      </c>
      <c r="C254" t="s">
        <v>149</v>
      </c>
      <c r="D254" t="s">
        <v>16</v>
      </c>
      <c r="E254" t="s">
        <v>550</v>
      </c>
      <c r="F254" t="s">
        <v>585</v>
      </c>
      <c r="G254" t="s">
        <v>621</v>
      </c>
      <c r="H254" t="s">
        <v>621</v>
      </c>
      <c r="I254" t="s">
        <v>621</v>
      </c>
      <c r="J254" t="s">
        <v>621</v>
      </c>
      <c r="K254">
        <v>8.5</v>
      </c>
      <c r="L254" t="s">
        <v>29</v>
      </c>
    </row>
    <row r="255" spans="1:12" x14ac:dyDescent="0.15">
      <c r="A255" s="34">
        <v>46135.375937500001</v>
      </c>
      <c r="B255" t="s">
        <v>224</v>
      </c>
      <c r="C255" t="s">
        <v>225</v>
      </c>
      <c r="D255" t="s">
        <v>16</v>
      </c>
      <c r="E255" t="s">
        <v>549</v>
      </c>
      <c r="F255" t="s">
        <v>586</v>
      </c>
      <c r="G255" t="s">
        <v>622</v>
      </c>
      <c r="H255" t="s">
        <v>621</v>
      </c>
      <c r="I255" t="s">
        <v>238</v>
      </c>
      <c r="J255" t="s">
        <v>621</v>
      </c>
      <c r="K255">
        <v>7.3833000000000002</v>
      </c>
      <c r="L255" t="s">
        <v>29</v>
      </c>
    </row>
    <row r="256" spans="1:12" x14ac:dyDescent="0.15">
      <c r="A256" s="34">
        <v>46135.372476851902</v>
      </c>
      <c r="B256" t="s">
        <v>138</v>
      </c>
      <c r="C256" t="s">
        <v>139</v>
      </c>
      <c r="D256" t="s">
        <v>16</v>
      </c>
      <c r="E256" t="s">
        <v>549</v>
      </c>
      <c r="F256" t="s">
        <v>262</v>
      </c>
      <c r="G256" t="s">
        <v>621</v>
      </c>
      <c r="H256" t="s">
        <v>621</v>
      </c>
      <c r="I256" t="s">
        <v>621</v>
      </c>
      <c r="J256" t="s">
        <v>621</v>
      </c>
      <c r="K256">
        <v>4.25</v>
      </c>
      <c r="L256" t="s">
        <v>29</v>
      </c>
    </row>
    <row r="257" spans="1:12" x14ac:dyDescent="0.15">
      <c r="A257" s="34">
        <v>46135.372384259303</v>
      </c>
      <c r="B257" t="s">
        <v>138</v>
      </c>
      <c r="C257" t="s">
        <v>139</v>
      </c>
      <c r="D257" t="s">
        <v>16</v>
      </c>
      <c r="E257" t="s">
        <v>549</v>
      </c>
      <c r="F257" t="s">
        <v>579</v>
      </c>
      <c r="G257" t="s">
        <v>621</v>
      </c>
      <c r="H257" t="s">
        <v>621</v>
      </c>
      <c r="I257" t="s">
        <v>621</v>
      </c>
      <c r="J257" t="s">
        <v>621</v>
      </c>
      <c r="K257">
        <v>4.25</v>
      </c>
      <c r="L257" t="s">
        <v>40</v>
      </c>
    </row>
    <row r="258" spans="1:12" x14ac:dyDescent="0.15">
      <c r="A258" s="34">
        <v>46135.362685185202</v>
      </c>
      <c r="B258" t="s">
        <v>245</v>
      </c>
      <c r="C258" t="s">
        <v>246</v>
      </c>
      <c r="D258" t="s">
        <v>16</v>
      </c>
      <c r="E258" t="s">
        <v>550</v>
      </c>
      <c r="F258" t="s">
        <v>585</v>
      </c>
      <c r="G258" t="s">
        <v>621</v>
      </c>
      <c r="H258" t="s">
        <v>621</v>
      </c>
      <c r="I258" t="s">
        <v>621</v>
      </c>
      <c r="J258" t="s">
        <v>621</v>
      </c>
      <c r="K258">
        <v>8.5</v>
      </c>
      <c r="L258" t="s">
        <v>66</v>
      </c>
    </row>
    <row r="259" spans="1:12" x14ac:dyDescent="0.15">
      <c r="A259" s="34">
        <v>46135.362245370401</v>
      </c>
      <c r="B259" t="s">
        <v>201</v>
      </c>
      <c r="C259" t="s">
        <v>202</v>
      </c>
      <c r="D259" t="s">
        <v>16</v>
      </c>
      <c r="E259" t="s">
        <v>550</v>
      </c>
      <c r="F259" t="s">
        <v>581</v>
      </c>
      <c r="G259" t="s">
        <v>621</v>
      </c>
      <c r="H259" t="s">
        <v>621</v>
      </c>
      <c r="I259" t="s">
        <v>621</v>
      </c>
      <c r="J259" t="s">
        <v>621</v>
      </c>
      <c r="K259">
        <v>8.5</v>
      </c>
      <c r="L259" t="s">
        <v>66</v>
      </c>
    </row>
    <row r="260" spans="1:12" x14ac:dyDescent="0.15">
      <c r="A260" s="34">
        <v>46135.3591087963</v>
      </c>
      <c r="B260" t="s">
        <v>57</v>
      </c>
      <c r="C260" t="s">
        <v>58</v>
      </c>
      <c r="D260" t="s">
        <v>16</v>
      </c>
      <c r="E260" t="s">
        <v>549</v>
      </c>
      <c r="F260" t="s">
        <v>589</v>
      </c>
      <c r="G260" t="s">
        <v>621</v>
      </c>
      <c r="H260" t="s">
        <v>621</v>
      </c>
      <c r="I260" t="s">
        <v>621</v>
      </c>
      <c r="J260" t="s">
        <v>621</v>
      </c>
      <c r="K260">
        <v>8.5</v>
      </c>
      <c r="L260" t="s">
        <v>29</v>
      </c>
    </row>
    <row r="261" spans="1:12" x14ac:dyDescent="0.15">
      <c r="A261" s="34">
        <v>46135.355138888903</v>
      </c>
      <c r="B261" t="s">
        <v>219</v>
      </c>
      <c r="C261" t="s">
        <v>220</v>
      </c>
      <c r="D261" t="s">
        <v>16</v>
      </c>
      <c r="E261" t="s">
        <v>549</v>
      </c>
      <c r="F261" t="s">
        <v>579</v>
      </c>
      <c r="G261" t="s">
        <v>621</v>
      </c>
      <c r="H261" t="s">
        <v>621</v>
      </c>
      <c r="I261" t="s">
        <v>621</v>
      </c>
      <c r="J261" t="s">
        <v>621</v>
      </c>
      <c r="K261">
        <v>8.5</v>
      </c>
      <c r="L261" t="s">
        <v>624</v>
      </c>
    </row>
    <row r="262" spans="1:12" x14ac:dyDescent="0.15">
      <c r="A262" s="34">
        <v>46135.345405092601</v>
      </c>
      <c r="B262" t="s">
        <v>216</v>
      </c>
      <c r="C262" t="s">
        <v>217</v>
      </c>
      <c r="D262" t="s">
        <v>16</v>
      </c>
      <c r="E262" t="s">
        <v>550</v>
      </c>
      <c r="F262" t="s">
        <v>257</v>
      </c>
      <c r="G262" t="s">
        <v>621</v>
      </c>
      <c r="H262" t="s">
        <v>621</v>
      </c>
      <c r="I262" t="s">
        <v>621</v>
      </c>
      <c r="J262" t="s">
        <v>621</v>
      </c>
      <c r="K262">
        <v>4.25</v>
      </c>
      <c r="L262" t="s">
        <v>66</v>
      </c>
    </row>
    <row r="263" spans="1:12" x14ac:dyDescent="0.15">
      <c r="A263" s="34">
        <v>46135.345347222203</v>
      </c>
      <c r="B263" t="s">
        <v>216</v>
      </c>
      <c r="C263" t="s">
        <v>217</v>
      </c>
      <c r="D263" t="s">
        <v>16</v>
      </c>
      <c r="E263" t="s">
        <v>550</v>
      </c>
      <c r="F263" t="s">
        <v>218</v>
      </c>
      <c r="G263" t="s">
        <v>621</v>
      </c>
      <c r="H263" t="s">
        <v>621</v>
      </c>
      <c r="I263" t="s">
        <v>621</v>
      </c>
      <c r="J263" t="s">
        <v>621</v>
      </c>
      <c r="K263">
        <v>4.25</v>
      </c>
      <c r="L263" t="s">
        <v>45</v>
      </c>
    </row>
    <row r="264" spans="1:12" x14ac:dyDescent="0.15">
      <c r="A264" s="34">
        <v>46134.638472222199</v>
      </c>
      <c r="B264" t="s">
        <v>263</v>
      </c>
      <c r="C264" t="s">
        <v>264</v>
      </c>
      <c r="D264" t="s">
        <v>16</v>
      </c>
      <c r="E264" t="s">
        <v>550</v>
      </c>
      <c r="F264" t="s">
        <v>591</v>
      </c>
      <c r="G264" t="s">
        <v>621</v>
      </c>
      <c r="H264" t="s">
        <v>621</v>
      </c>
      <c r="I264" t="s">
        <v>621</v>
      </c>
      <c r="J264" t="s">
        <v>621</v>
      </c>
      <c r="K264">
        <v>8</v>
      </c>
      <c r="L264" t="s">
        <v>41</v>
      </c>
    </row>
    <row r="265" spans="1:12" x14ac:dyDescent="0.15">
      <c r="A265" s="34">
        <v>46134.588483796302</v>
      </c>
      <c r="B265" t="s">
        <v>138</v>
      </c>
      <c r="C265" t="s">
        <v>139</v>
      </c>
      <c r="D265" t="s">
        <v>16</v>
      </c>
      <c r="E265" t="s">
        <v>549</v>
      </c>
      <c r="F265" t="s">
        <v>141</v>
      </c>
      <c r="G265" t="s">
        <v>621</v>
      </c>
      <c r="H265" t="s">
        <v>621</v>
      </c>
      <c r="I265" t="s">
        <v>621</v>
      </c>
      <c r="J265" t="s">
        <v>621</v>
      </c>
      <c r="K265">
        <v>4.25</v>
      </c>
      <c r="L265" t="s">
        <v>29</v>
      </c>
    </row>
    <row r="266" spans="1:12" x14ac:dyDescent="0.15">
      <c r="A266" s="34">
        <v>46134.588414351798</v>
      </c>
      <c r="B266" t="s">
        <v>138</v>
      </c>
      <c r="C266" t="s">
        <v>139</v>
      </c>
      <c r="D266" t="s">
        <v>16</v>
      </c>
      <c r="E266" t="s">
        <v>549</v>
      </c>
      <c r="F266" t="s">
        <v>579</v>
      </c>
      <c r="G266" t="s">
        <v>621</v>
      </c>
      <c r="H266" t="s">
        <v>621</v>
      </c>
      <c r="I266" t="s">
        <v>621</v>
      </c>
      <c r="J266" t="s">
        <v>621</v>
      </c>
      <c r="K266">
        <v>4.25</v>
      </c>
      <c r="L266" t="s">
        <v>29</v>
      </c>
    </row>
    <row r="267" spans="1:12" x14ac:dyDescent="0.15">
      <c r="A267" s="34">
        <v>46134.5835069444</v>
      </c>
      <c r="B267" t="s">
        <v>76</v>
      </c>
      <c r="C267" t="s">
        <v>77</v>
      </c>
      <c r="D267" t="s">
        <v>16</v>
      </c>
      <c r="E267" t="s">
        <v>549</v>
      </c>
      <c r="F267" t="s">
        <v>592</v>
      </c>
      <c r="G267" t="s">
        <v>621</v>
      </c>
      <c r="H267" t="s">
        <v>621</v>
      </c>
      <c r="I267" t="s">
        <v>621</v>
      </c>
      <c r="J267" t="s">
        <v>621</v>
      </c>
      <c r="K267">
        <v>8.5</v>
      </c>
      <c r="L267" t="s">
        <v>29</v>
      </c>
    </row>
    <row r="268" spans="1:12" x14ac:dyDescent="0.15">
      <c r="A268" s="34">
        <v>46134.422615740703</v>
      </c>
      <c r="B268" t="s">
        <v>107</v>
      </c>
      <c r="C268" t="s">
        <v>108</v>
      </c>
      <c r="D268" t="s">
        <v>16</v>
      </c>
      <c r="E268" t="s">
        <v>549</v>
      </c>
      <c r="F268" t="s">
        <v>590</v>
      </c>
      <c r="G268" t="s">
        <v>621</v>
      </c>
      <c r="H268" t="s">
        <v>621</v>
      </c>
      <c r="I268" t="s">
        <v>621</v>
      </c>
      <c r="J268" t="s">
        <v>621</v>
      </c>
      <c r="K268">
        <v>8.5</v>
      </c>
      <c r="L268" t="s">
        <v>29</v>
      </c>
    </row>
    <row r="269" spans="1:12" x14ac:dyDescent="0.15">
      <c r="A269" s="34">
        <v>46134.414583333302</v>
      </c>
      <c r="B269" t="s">
        <v>156</v>
      </c>
      <c r="C269" t="s">
        <v>157</v>
      </c>
      <c r="D269" t="s">
        <v>16</v>
      </c>
      <c r="E269" t="s">
        <v>549</v>
      </c>
      <c r="F269" t="s">
        <v>582</v>
      </c>
      <c r="G269" t="s">
        <v>621</v>
      </c>
      <c r="H269" t="s">
        <v>621</v>
      </c>
      <c r="I269" t="s">
        <v>621</v>
      </c>
      <c r="J269" t="s">
        <v>621</v>
      </c>
      <c r="K269">
        <v>8.5</v>
      </c>
      <c r="L269" t="s">
        <v>66</v>
      </c>
    </row>
    <row r="270" spans="1:12" x14ac:dyDescent="0.15">
      <c r="A270" s="34">
        <v>46134.3910300926</v>
      </c>
      <c r="B270" t="s">
        <v>57</v>
      </c>
      <c r="C270" t="s">
        <v>58</v>
      </c>
      <c r="D270" t="s">
        <v>16</v>
      </c>
      <c r="E270" t="s">
        <v>549</v>
      </c>
      <c r="F270" t="s">
        <v>589</v>
      </c>
      <c r="G270" t="s">
        <v>621</v>
      </c>
      <c r="H270" t="s">
        <v>621</v>
      </c>
      <c r="I270" t="s">
        <v>621</v>
      </c>
      <c r="J270" t="s">
        <v>621</v>
      </c>
      <c r="K270">
        <v>8.5</v>
      </c>
      <c r="L270" t="s">
        <v>40</v>
      </c>
    </row>
    <row r="271" spans="1:12" x14ac:dyDescent="0.15">
      <c r="A271" s="34">
        <v>46134.384317129603</v>
      </c>
      <c r="B271" t="s">
        <v>79</v>
      </c>
      <c r="C271" t="s">
        <v>80</v>
      </c>
      <c r="D271" t="s">
        <v>16</v>
      </c>
      <c r="E271" t="s">
        <v>550</v>
      </c>
      <c r="F271" t="s">
        <v>585</v>
      </c>
      <c r="G271" t="s">
        <v>621</v>
      </c>
      <c r="H271" t="s">
        <v>621</v>
      </c>
      <c r="I271" t="s">
        <v>621</v>
      </c>
      <c r="J271" t="s">
        <v>621</v>
      </c>
      <c r="K271">
        <v>4.25</v>
      </c>
      <c r="L271" t="s">
        <v>40</v>
      </c>
    </row>
    <row r="272" spans="1:12" x14ac:dyDescent="0.15">
      <c r="A272" s="34">
        <v>46134.384189814802</v>
      </c>
      <c r="B272" t="s">
        <v>79</v>
      </c>
      <c r="C272" t="s">
        <v>80</v>
      </c>
      <c r="D272" t="s">
        <v>16</v>
      </c>
      <c r="E272" t="s">
        <v>550</v>
      </c>
      <c r="F272" t="s">
        <v>265</v>
      </c>
      <c r="G272" t="s">
        <v>621</v>
      </c>
      <c r="H272" t="s">
        <v>621</v>
      </c>
      <c r="I272" t="s">
        <v>621</v>
      </c>
      <c r="J272" t="s">
        <v>621</v>
      </c>
      <c r="K272">
        <v>4.25</v>
      </c>
      <c r="L272" t="s">
        <v>29</v>
      </c>
    </row>
    <row r="273" spans="1:12" x14ac:dyDescent="0.15">
      <c r="A273" s="34">
        <v>46134.3821412037</v>
      </c>
      <c r="B273" t="s">
        <v>224</v>
      </c>
      <c r="C273" t="s">
        <v>225</v>
      </c>
      <c r="D273" t="s">
        <v>16</v>
      </c>
      <c r="E273" t="s">
        <v>549</v>
      </c>
      <c r="F273" t="s">
        <v>586</v>
      </c>
      <c r="G273" t="s">
        <v>622</v>
      </c>
      <c r="H273" t="s">
        <v>621</v>
      </c>
      <c r="I273" t="s">
        <v>238</v>
      </c>
      <c r="J273" t="s">
        <v>621</v>
      </c>
      <c r="K273">
        <v>6.25</v>
      </c>
      <c r="L273" t="s">
        <v>45</v>
      </c>
    </row>
    <row r="274" spans="1:12" x14ac:dyDescent="0.15">
      <c r="A274" s="34">
        <v>46134.3820486111</v>
      </c>
      <c r="B274" t="s">
        <v>224</v>
      </c>
      <c r="C274" t="s">
        <v>225</v>
      </c>
      <c r="D274" t="s">
        <v>16</v>
      </c>
      <c r="E274" t="s">
        <v>549</v>
      </c>
      <c r="F274" t="s">
        <v>594</v>
      </c>
      <c r="G274" t="s">
        <v>622</v>
      </c>
      <c r="H274" t="s">
        <v>621</v>
      </c>
      <c r="I274" t="s">
        <v>238</v>
      </c>
      <c r="J274" t="s">
        <v>621</v>
      </c>
      <c r="K274">
        <v>4.25</v>
      </c>
      <c r="L274" t="s">
        <v>40</v>
      </c>
    </row>
    <row r="275" spans="1:12" x14ac:dyDescent="0.15">
      <c r="A275" s="34">
        <v>46134.379432870403</v>
      </c>
      <c r="B275" t="s">
        <v>48</v>
      </c>
      <c r="C275" t="s">
        <v>49</v>
      </c>
      <c r="D275" t="s">
        <v>16</v>
      </c>
      <c r="E275" t="s">
        <v>549</v>
      </c>
      <c r="F275" t="s">
        <v>588</v>
      </c>
      <c r="G275" t="s">
        <v>621</v>
      </c>
      <c r="H275" t="s">
        <v>621</v>
      </c>
      <c r="I275" t="s">
        <v>621</v>
      </c>
      <c r="J275" t="s">
        <v>621</v>
      </c>
      <c r="K275">
        <v>8.5</v>
      </c>
      <c r="L275" t="s">
        <v>40</v>
      </c>
    </row>
    <row r="276" spans="1:12" x14ac:dyDescent="0.15">
      <c r="A276" s="34">
        <v>46134.376192129603</v>
      </c>
      <c r="B276" t="s">
        <v>148</v>
      </c>
      <c r="C276" t="s">
        <v>149</v>
      </c>
      <c r="D276" t="s">
        <v>16</v>
      </c>
      <c r="E276" t="s">
        <v>550</v>
      </c>
      <c r="F276" t="s">
        <v>585</v>
      </c>
      <c r="G276" t="s">
        <v>621</v>
      </c>
      <c r="H276" t="s">
        <v>621</v>
      </c>
      <c r="I276" t="s">
        <v>621</v>
      </c>
      <c r="J276" t="s">
        <v>621</v>
      </c>
      <c r="K276">
        <v>8.5</v>
      </c>
      <c r="L276" t="s">
        <v>66</v>
      </c>
    </row>
    <row r="277" spans="1:12" x14ac:dyDescent="0.15">
      <c r="A277" s="34">
        <v>46134.371932870403</v>
      </c>
      <c r="B277" t="s">
        <v>201</v>
      </c>
      <c r="C277" t="s">
        <v>202</v>
      </c>
      <c r="D277" t="s">
        <v>16</v>
      </c>
      <c r="E277" t="s">
        <v>550</v>
      </c>
      <c r="F277" t="s">
        <v>581</v>
      </c>
      <c r="G277" t="s">
        <v>621</v>
      </c>
      <c r="H277" t="s">
        <v>621</v>
      </c>
      <c r="I277" t="s">
        <v>621</v>
      </c>
      <c r="J277" t="s">
        <v>621</v>
      </c>
      <c r="K277">
        <v>8.5</v>
      </c>
      <c r="L277" t="s">
        <v>66</v>
      </c>
    </row>
    <row r="278" spans="1:12" x14ac:dyDescent="0.15">
      <c r="A278" s="34">
        <v>46134.364722222199</v>
      </c>
      <c r="B278" t="s">
        <v>176</v>
      </c>
      <c r="C278" t="s">
        <v>177</v>
      </c>
      <c r="D278" t="s">
        <v>16</v>
      </c>
      <c r="E278" t="s">
        <v>549</v>
      </c>
      <c r="F278" t="s">
        <v>589</v>
      </c>
      <c r="G278" t="s">
        <v>621</v>
      </c>
      <c r="H278" t="s">
        <v>621</v>
      </c>
      <c r="I278" t="s">
        <v>621</v>
      </c>
      <c r="J278" t="s">
        <v>621</v>
      </c>
      <c r="K278">
        <v>8.5</v>
      </c>
      <c r="L278" t="s">
        <v>29</v>
      </c>
    </row>
    <row r="279" spans="1:12" x14ac:dyDescent="0.15">
      <c r="A279" s="34">
        <v>46134.361840277801</v>
      </c>
      <c r="B279" t="s">
        <v>219</v>
      </c>
      <c r="C279" t="s">
        <v>220</v>
      </c>
      <c r="D279" t="s">
        <v>16</v>
      </c>
      <c r="E279" t="s">
        <v>549</v>
      </c>
      <c r="F279" t="s">
        <v>579</v>
      </c>
      <c r="G279" t="s">
        <v>621</v>
      </c>
      <c r="H279" t="s">
        <v>621</v>
      </c>
      <c r="I279" t="s">
        <v>621</v>
      </c>
      <c r="J279" t="s">
        <v>621</v>
      </c>
      <c r="K279">
        <v>8.5</v>
      </c>
      <c r="L279" t="s">
        <v>40</v>
      </c>
    </row>
    <row r="280" spans="1:12" x14ac:dyDescent="0.15">
      <c r="A280" s="34">
        <v>46134.355324074102</v>
      </c>
      <c r="B280" t="s">
        <v>245</v>
      </c>
      <c r="C280" t="s">
        <v>246</v>
      </c>
      <c r="D280" t="s">
        <v>16</v>
      </c>
      <c r="E280" t="s">
        <v>550</v>
      </c>
      <c r="F280" t="s">
        <v>585</v>
      </c>
      <c r="G280" t="s">
        <v>621</v>
      </c>
      <c r="H280" t="s">
        <v>621</v>
      </c>
      <c r="I280" t="s">
        <v>621</v>
      </c>
      <c r="J280" t="s">
        <v>621</v>
      </c>
      <c r="K280">
        <v>8.5</v>
      </c>
      <c r="L280" t="s">
        <v>624</v>
      </c>
    </row>
    <row r="281" spans="1:12" x14ac:dyDescent="0.15">
      <c r="A281" s="34">
        <v>46134.344328703701</v>
      </c>
      <c r="B281" t="s">
        <v>216</v>
      </c>
      <c r="C281" t="s">
        <v>217</v>
      </c>
      <c r="D281" t="s">
        <v>16</v>
      </c>
      <c r="E281" t="s">
        <v>550</v>
      </c>
      <c r="F281" t="s">
        <v>257</v>
      </c>
      <c r="G281" t="s">
        <v>621</v>
      </c>
      <c r="H281" t="s">
        <v>621</v>
      </c>
      <c r="I281" t="s">
        <v>621</v>
      </c>
      <c r="J281" t="s">
        <v>621</v>
      </c>
      <c r="K281">
        <v>4.25</v>
      </c>
      <c r="L281" t="s">
        <v>66</v>
      </c>
    </row>
    <row r="282" spans="1:12" x14ac:dyDescent="0.15">
      <c r="A282" s="34">
        <v>46134.344085648103</v>
      </c>
      <c r="B282" t="s">
        <v>216</v>
      </c>
      <c r="C282" t="s">
        <v>217</v>
      </c>
      <c r="D282" t="s">
        <v>16</v>
      </c>
      <c r="E282" t="s">
        <v>550</v>
      </c>
      <c r="F282" t="s">
        <v>218</v>
      </c>
      <c r="G282" t="s">
        <v>621</v>
      </c>
      <c r="H282" t="s">
        <v>621</v>
      </c>
      <c r="I282" t="s">
        <v>621</v>
      </c>
      <c r="J282" t="s">
        <v>621</v>
      </c>
      <c r="K282">
        <v>4.25</v>
      </c>
      <c r="L282" t="s">
        <v>40</v>
      </c>
    </row>
    <row r="283" spans="1:12" x14ac:dyDescent="0.15">
      <c r="A283" s="34">
        <v>46133.999988425901</v>
      </c>
      <c r="B283" t="s">
        <v>79</v>
      </c>
      <c r="C283" t="s">
        <v>80</v>
      </c>
      <c r="D283" t="s">
        <v>16</v>
      </c>
      <c r="E283" t="s">
        <v>550</v>
      </c>
      <c r="F283" t="s">
        <v>585</v>
      </c>
      <c r="G283" t="s">
        <v>621</v>
      </c>
      <c r="H283" t="s">
        <v>621</v>
      </c>
      <c r="I283" t="s">
        <v>621</v>
      </c>
      <c r="J283" t="s">
        <v>621</v>
      </c>
      <c r="K283">
        <v>8.5</v>
      </c>
      <c r="L283" t="s">
        <v>71</v>
      </c>
    </row>
    <row r="284" spans="1:12" x14ac:dyDescent="0.15">
      <c r="A284" s="34">
        <v>46133.648472222201</v>
      </c>
      <c r="B284" t="s">
        <v>290</v>
      </c>
      <c r="C284" t="s">
        <v>291</v>
      </c>
      <c r="D284" t="s">
        <v>16</v>
      </c>
      <c r="E284" t="s">
        <v>550</v>
      </c>
      <c r="F284" t="s">
        <v>233</v>
      </c>
      <c r="G284" t="s">
        <v>621</v>
      </c>
      <c r="H284" t="s">
        <v>621</v>
      </c>
      <c r="I284" t="s">
        <v>621</v>
      </c>
      <c r="J284" t="s">
        <v>621</v>
      </c>
      <c r="K284">
        <v>5.5</v>
      </c>
      <c r="L284" t="s">
        <v>35</v>
      </c>
    </row>
    <row r="285" spans="1:12" x14ac:dyDescent="0.15">
      <c r="A285" s="34">
        <v>46133.648472222201</v>
      </c>
      <c r="B285" t="s">
        <v>290</v>
      </c>
      <c r="C285" t="s">
        <v>291</v>
      </c>
      <c r="D285" t="s">
        <v>16</v>
      </c>
      <c r="E285" t="s">
        <v>550</v>
      </c>
      <c r="F285" t="s">
        <v>578</v>
      </c>
      <c r="G285" t="s">
        <v>621</v>
      </c>
      <c r="H285" t="s">
        <v>621</v>
      </c>
      <c r="I285" t="s">
        <v>621</v>
      </c>
      <c r="J285" t="s">
        <v>621</v>
      </c>
      <c r="K285">
        <v>3</v>
      </c>
      <c r="L285" t="s">
        <v>29</v>
      </c>
    </row>
    <row r="286" spans="1:12" x14ac:dyDescent="0.15">
      <c r="A286" s="34">
        <v>46133.577442129601</v>
      </c>
      <c r="B286" t="s">
        <v>76</v>
      </c>
      <c r="C286" t="s">
        <v>77</v>
      </c>
      <c r="D286" t="s">
        <v>16</v>
      </c>
      <c r="E286" t="s">
        <v>549</v>
      </c>
      <c r="F286" t="s">
        <v>579</v>
      </c>
      <c r="G286" t="s">
        <v>621</v>
      </c>
      <c r="H286" t="s">
        <v>621</v>
      </c>
      <c r="I286" t="s">
        <v>621</v>
      </c>
      <c r="J286" t="s">
        <v>621</v>
      </c>
      <c r="K286">
        <v>8.5</v>
      </c>
      <c r="L286" t="s">
        <v>29</v>
      </c>
    </row>
    <row r="287" spans="1:12" x14ac:dyDescent="0.15">
      <c r="A287" s="34">
        <v>46133.414930555497</v>
      </c>
      <c r="B287" t="s">
        <v>138</v>
      </c>
      <c r="C287" t="s">
        <v>139</v>
      </c>
      <c r="D287" t="s">
        <v>16</v>
      </c>
      <c r="E287" t="s">
        <v>549</v>
      </c>
      <c r="F287" t="s">
        <v>579</v>
      </c>
      <c r="G287" t="s">
        <v>621</v>
      </c>
      <c r="H287" t="s">
        <v>621</v>
      </c>
      <c r="I287" t="s">
        <v>621</v>
      </c>
      <c r="J287" t="s">
        <v>621</v>
      </c>
      <c r="K287">
        <v>8.5</v>
      </c>
      <c r="L287" t="s">
        <v>29</v>
      </c>
    </row>
    <row r="288" spans="1:12" x14ac:dyDescent="0.15">
      <c r="A288" s="34">
        <v>46133.401400463001</v>
      </c>
      <c r="B288" t="s">
        <v>48</v>
      </c>
      <c r="C288" t="s">
        <v>49</v>
      </c>
      <c r="D288" t="s">
        <v>16</v>
      </c>
      <c r="E288" t="s">
        <v>549</v>
      </c>
      <c r="F288" t="s">
        <v>593</v>
      </c>
      <c r="G288" t="s">
        <v>621</v>
      </c>
      <c r="H288" t="s">
        <v>621</v>
      </c>
      <c r="I288" t="s">
        <v>621</v>
      </c>
      <c r="J288" t="s">
        <v>621</v>
      </c>
      <c r="K288">
        <v>8.5</v>
      </c>
      <c r="L288" t="s">
        <v>40</v>
      </c>
    </row>
    <row r="289" spans="1:12" x14ac:dyDescent="0.15">
      <c r="A289" s="34">
        <v>46133.386701388903</v>
      </c>
      <c r="B289" t="s">
        <v>57</v>
      </c>
      <c r="C289" t="s">
        <v>58</v>
      </c>
      <c r="D289" t="s">
        <v>16</v>
      </c>
      <c r="E289" t="s">
        <v>549</v>
      </c>
      <c r="F289" t="s">
        <v>595</v>
      </c>
      <c r="G289" t="s">
        <v>621</v>
      </c>
      <c r="H289" t="s">
        <v>621</v>
      </c>
      <c r="I289" t="s">
        <v>621</v>
      </c>
      <c r="J289" t="s">
        <v>621</v>
      </c>
      <c r="K289">
        <v>4.25</v>
      </c>
      <c r="L289" t="s">
        <v>66</v>
      </c>
    </row>
    <row r="290" spans="1:12" x14ac:dyDescent="0.15">
      <c r="A290" s="34">
        <v>46133.386296296303</v>
      </c>
      <c r="B290" t="s">
        <v>57</v>
      </c>
      <c r="C290" t="s">
        <v>58</v>
      </c>
      <c r="D290" t="s">
        <v>16</v>
      </c>
      <c r="E290" t="s">
        <v>549</v>
      </c>
      <c r="F290" t="s">
        <v>589</v>
      </c>
      <c r="G290" t="s">
        <v>621</v>
      </c>
      <c r="H290" t="s">
        <v>621</v>
      </c>
      <c r="I290" t="s">
        <v>621</v>
      </c>
      <c r="J290" t="s">
        <v>621</v>
      </c>
      <c r="K290">
        <v>4.25</v>
      </c>
      <c r="L290" t="s">
        <v>66</v>
      </c>
    </row>
    <row r="291" spans="1:12" x14ac:dyDescent="0.15">
      <c r="A291" s="34">
        <v>46133.385995370401</v>
      </c>
      <c r="B291" t="s">
        <v>176</v>
      </c>
      <c r="C291" t="s">
        <v>177</v>
      </c>
      <c r="D291" t="s">
        <v>16</v>
      </c>
      <c r="E291" t="s">
        <v>549</v>
      </c>
      <c r="F291" t="s">
        <v>589</v>
      </c>
      <c r="G291" t="s">
        <v>621</v>
      </c>
      <c r="H291" t="s">
        <v>621</v>
      </c>
      <c r="I291" t="s">
        <v>621</v>
      </c>
      <c r="J291" t="s">
        <v>621</v>
      </c>
      <c r="K291">
        <v>8.5</v>
      </c>
      <c r="L291" t="s">
        <v>40</v>
      </c>
    </row>
    <row r="292" spans="1:12" x14ac:dyDescent="0.15">
      <c r="A292" s="34">
        <v>46133.378541666701</v>
      </c>
      <c r="B292" t="s">
        <v>148</v>
      </c>
      <c r="C292" t="s">
        <v>149</v>
      </c>
      <c r="D292" t="s">
        <v>16</v>
      </c>
      <c r="E292" t="s">
        <v>550</v>
      </c>
      <c r="F292" t="s">
        <v>585</v>
      </c>
      <c r="G292" t="s">
        <v>621</v>
      </c>
      <c r="H292" t="s">
        <v>621</v>
      </c>
      <c r="I292" t="s">
        <v>621</v>
      </c>
      <c r="J292" t="s">
        <v>621</v>
      </c>
      <c r="K292">
        <v>8.5</v>
      </c>
      <c r="L292" t="s">
        <v>29</v>
      </c>
    </row>
    <row r="293" spans="1:12" x14ac:dyDescent="0.15">
      <c r="A293" s="34">
        <v>46133.376423611102</v>
      </c>
      <c r="B293" t="s">
        <v>224</v>
      </c>
      <c r="C293" t="s">
        <v>225</v>
      </c>
      <c r="D293" t="s">
        <v>16</v>
      </c>
      <c r="E293" t="s">
        <v>549</v>
      </c>
      <c r="F293" t="s">
        <v>586</v>
      </c>
      <c r="G293" t="s">
        <v>622</v>
      </c>
      <c r="H293" t="s">
        <v>621</v>
      </c>
      <c r="I293" t="s">
        <v>238</v>
      </c>
      <c r="J293" t="s">
        <v>621</v>
      </c>
      <c r="K293">
        <v>6</v>
      </c>
      <c r="L293" t="s">
        <v>45</v>
      </c>
    </row>
    <row r="294" spans="1:12" x14ac:dyDescent="0.15">
      <c r="A294" s="34">
        <v>46133.376284722202</v>
      </c>
      <c r="B294" t="s">
        <v>224</v>
      </c>
      <c r="C294" t="s">
        <v>225</v>
      </c>
      <c r="D294" t="s">
        <v>16</v>
      </c>
      <c r="E294" t="s">
        <v>549</v>
      </c>
      <c r="F294" t="s">
        <v>594</v>
      </c>
      <c r="G294" t="s">
        <v>622</v>
      </c>
      <c r="H294" t="s">
        <v>621</v>
      </c>
      <c r="I294" t="s">
        <v>238</v>
      </c>
      <c r="J294" t="s">
        <v>621</v>
      </c>
      <c r="K294">
        <v>6</v>
      </c>
      <c r="L294" t="s">
        <v>66</v>
      </c>
    </row>
    <row r="295" spans="1:12" x14ac:dyDescent="0.15">
      <c r="A295" s="34">
        <v>46133.375243055503</v>
      </c>
      <c r="B295" t="s">
        <v>263</v>
      </c>
      <c r="C295" t="s">
        <v>264</v>
      </c>
      <c r="D295" t="s">
        <v>16</v>
      </c>
      <c r="E295" t="s">
        <v>550</v>
      </c>
      <c r="F295" t="s">
        <v>596</v>
      </c>
      <c r="G295" t="s">
        <v>621</v>
      </c>
      <c r="H295" t="s">
        <v>621</v>
      </c>
      <c r="I295" t="s">
        <v>621</v>
      </c>
      <c r="J295" t="s">
        <v>621</v>
      </c>
      <c r="K295">
        <v>8.5</v>
      </c>
      <c r="L295" t="s">
        <v>66</v>
      </c>
    </row>
    <row r="296" spans="1:12" x14ac:dyDescent="0.15">
      <c r="A296" s="34">
        <v>46133.3696180556</v>
      </c>
      <c r="B296" t="s">
        <v>201</v>
      </c>
      <c r="C296" t="s">
        <v>202</v>
      </c>
      <c r="D296" t="s">
        <v>16</v>
      </c>
      <c r="E296" t="s">
        <v>550</v>
      </c>
      <c r="F296" t="s">
        <v>581</v>
      </c>
      <c r="G296" t="s">
        <v>621</v>
      </c>
      <c r="H296" t="s">
        <v>621</v>
      </c>
      <c r="I296" t="s">
        <v>621</v>
      </c>
      <c r="J296" t="s">
        <v>621</v>
      </c>
      <c r="K296">
        <v>8.5</v>
      </c>
      <c r="L296" t="s">
        <v>29</v>
      </c>
    </row>
    <row r="297" spans="1:12" x14ac:dyDescent="0.15">
      <c r="A297" s="34">
        <v>46133.3691203704</v>
      </c>
      <c r="B297" t="s">
        <v>107</v>
      </c>
      <c r="C297" t="s">
        <v>108</v>
      </c>
      <c r="D297" t="s">
        <v>16</v>
      </c>
      <c r="E297" t="s">
        <v>549</v>
      </c>
      <c r="F297" t="s">
        <v>590</v>
      </c>
      <c r="G297" t="s">
        <v>621</v>
      </c>
      <c r="H297" t="s">
        <v>621</v>
      </c>
      <c r="I297" t="s">
        <v>621</v>
      </c>
      <c r="J297" t="s">
        <v>621</v>
      </c>
      <c r="K297">
        <v>8.5</v>
      </c>
      <c r="L297" t="s">
        <v>29</v>
      </c>
    </row>
    <row r="298" spans="1:12" x14ac:dyDescent="0.15">
      <c r="A298" s="34">
        <v>46133.361087963</v>
      </c>
      <c r="B298" t="s">
        <v>156</v>
      </c>
      <c r="C298" t="s">
        <v>157</v>
      </c>
      <c r="D298" t="s">
        <v>16</v>
      </c>
      <c r="E298" t="s">
        <v>549</v>
      </c>
      <c r="F298" t="s">
        <v>582</v>
      </c>
      <c r="G298" t="s">
        <v>621</v>
      </c>
      <c r="H298" t="s">
        <v>621</v>
      </c>
      <c r="I298" t="s">
        <v>621</v>
      </c>
      <c r="J298" t="s">
        <v>621</v>
      </c>
      <c r="K298">
        <v>4.25</v>
      </c>
      <c r="L298" t="s">
        <v>40</v>
      </c>
    </row>
    <row r="299" spans="1:12" x14ac:dyDescent="0.15">
      <c r="A299" s="34">
        <v>46133.360914351899</v>
      </c>
      <c r="B299" t="s">
        <v>156</v>
      </c>
      <c r="C299" t="s">
        <v>157</v>
      </c>
      <c r="D299" t="s">
        <v>16</v>
      </c>
      <c r="E299" t="s">
        <v>549</v>
      </c>
      <c r="F299" t="s">
        <v>595</v>
      </c>
      <c r="G299" t="s">
        <v>621</v>
      </c>
      <c r="H299" t="s">
        <v>621</v>
      </c>
      <c r="I299" t="s">
        <v>621</v>
      </c>
      <c r="J299" t="s">
        <v>621</v>
      </c>
      <c r="K299">
        <v>4.25</v>
      </c>
      <c r="L299" t="s">
        <v>40</v>
      </c>
    </row>
    <row r="300" spans="1:12" x14ac:dyDescent="0.15">
      <c r="A300" s="34">
        <v>46133.357627314799</v>
      </c>
      <c r="B300" t="s">
        <v>245</v>
      </c>
      <c r="C300" t="s">
        <v>246</v>
      </c>
      <c r="D300" t="s">
        <v>16</v>
      </c>
      <c r="E300" t="s">
        <v>550</v>
      </c>
      <c r="F300" t="s">
        <v>585</v>
      </c>
      <c r="G300" t="s">
        <v>621</v>
      </c>
      <c r="H300" t="s">
        <v>621</v>
      </c>
      <c r="I300" t="s">
        <v>621</v>
      </c>
      <c r="J300" t="s">
        <v>621</v>
      </c>
      <c r="K300">
        <v>4.25</v>
      </c>
      <c r="L300" t="s">
        <v>66</v>
      </c>
    </row>
    <row r="301" spans="1:12" x14ac:dyDescent="0.15">
      <c r="A301" s="34">
        <v>46133.355972222198</v>
      </c>
      <c r="B301" t="s">
        <v>245</v>
      </c>
      <c r="C301" t="s">
        <v>246</v>
      </c>
      <c r="D301" t="s">
        <v>16</v>
      </c>
      <c r="E301" t="s">
        <v>550</v>
      </c>
      <c r="F301" t="s">
        <v>596</v>
      </c>
      <c r="G301" t="s">
        <v>621</v>
      </c>
      <c r="H301" t="s">
        <v>621</v>
      </c>
      <c r="I301" t="s">
        <v>621</v>
      </c>
      <c r="J301" t="s">
        <v>621</v>
      </c>
      <c r="K301">
        <v>4.25</v>
      </c>
      <c r="L301" t="s">
        <v>66</v>
      </c>
    </row>
    <row r="302" spans="1:12" x14ac:dyDescent="0.15">
      <c r="A302" s="34">
        <v>46133.353217592601</v>
      </c>
      <c r="B302" t="s">
        <v>219</v>
      </c>
      <c r="C302" t="s">
        <v>220</v>
      </c>
      <c r="D302" t="s">
        <v>16</v>
      </c>
      <c r="E302" t="s">
        <v>549</v>
      </c>
      <c r="F302" t="s">
        <v>597</v>
      </c>
      <c r="G302" t="s">
        <v>621</v>
      </c>
      <c r="H302" t="s">
        <v>621</v>
      </c>
      <c r="I302" t="s">
        <v>621</v>
      </c>
      <c r="J302" t="s">
        <v>621</v>
      </c>
      <c r="K302">
        <v>4.25</v>
      </c>
      <c r="L302" t="s">
        <v>41</v>
      </c>
    </row>
    <row r="303" spans="1:12" x14ac:dyDescent="0.15">
      <c r="A303" s="34">
        <v>46133.353171296301</v>
      </c>
      <c r="B303" t="s">
        <v>219</v>
      </c>
      <c r="C303" t="s">
        <v>220</v>
      </c>
      <c r="D303" t="s">
        <v>16</v>
      </c>
      <c r="E303" t="s">
        <v>549</v>
      </c>
      <c r="F303" t="s">
        <v>580</v>
      </c>
      <c r="G303" t="s">
        <v>621</v>
      </c>
      <c r="H303" t="s">
        <v>621</v>
      </c>
      <c r="I303" t="s">
        <v>621</v>
      </c>
      <c r="J303" t="s">
        <v>621</v>
      </c>
      <c r="K303">
        <v>4.25</v>
      </c>
      <c r="L303" t="s">
        <v>624</v>
      </c>
    </row>
    <row r="304" spans="1:12" x14ac:dyDescent="0.15">
      <c r="A304" s="34">
        <v>46133.345613425903</v>
      </c>
      <c r="B304" t="s">
        <v>216</v>
      </c>
      <c r="C304" t="s">
        <v>217</v>
      </c>
      <c r="D304" t="s">
        <v>16</v>
      </c>
      <c r="E304" t="s">
        <v>550</v>
      </c>
      <c r="F304" t="s">
        <v>257</v>
      </c>
      <c r="G304" t="s">
        <v>621</v>
      </c>
      <c r="H304" t="s">
        <v>621</v>
      </c>
      <c r="I304" t="s">
        <v>621</v>
      </c>
      <c r="J304" t="s">
        <v>621</v>
      </c>
      <c r="K304">
        <v>4.25</v>
      </c>
      <c r="L304" t="s">
        <v>29</v>
      </c>
    </row>
    <row r="305" spans="1:12" x14ac:dyDescent="0.15">
      <c r="A305" s="34">
        <v>46133.345462963</v>
      </c>
      <c r="B305" t="s">
        <v>216</v>
      </c>
      <c r="C305" t="s">
        <v>217</v>
      </c>
      <c r="D305" t="s">
        <v>16</v>
      </c>
      <c r="E305" t="s">
        <v>550</v>
      </c>
      <c r="F305" t="s">
        <v>598</v>
      </c>
      <c r="G305" t="s">
        <v>621</v>
      </c>
      <c r="H305" t="s">
        <v>621</v>
      </c>
      <c r="I305" t="s">
        <v>621</v>
      </c>
      <c r="J305" t="s">
        <v>621</v>
      </c>
      <c r="K305">
        <v>4.25</v>
      </c>
      <c r="L305" t="s">
        <v>624</v>
      </c>
    </row>
    <row r="306" spans="1:12" x14ac:dyDescent="0.15">
      <c r="A306" s="34">
        <v>46132.648472222201</v>
      </c>
      <c r="B306" t="s">
        <v>290</v>
      </c>
      <c r="C306" t="s">
        <v>291</v>
      </c>
      <c r="D306" t="s">
        <v>16</v>
      </c>
      <c r="E306" t="s">
        <v>550</v>
      </c>
      <c r="F306" t="s">
        <v>331</v>
      </c>
      <c r="G306" t="s">
        <v>621</v>
      </c>
      <c r="H306" t="s">
        <v>621</v>
      </c>
      <c r="I306" t="s">
        <v>621</v>
      </c>
      <c r="J306" t="s">
        <v>621</v>
      </c>
      <c r="K306">
        <v>2</v>
      </c>
      <c r="L306" t="s">
        <v>40</v>
      </c>
    </row>
    <row r="307" spans="1:12" x14ac:dyDescent="0.15">
      <c r="A307" s="34">
        <v>46132.648472222201</v>
      </c>
      <c r="B307" t="s">
        <v>290</v>
      </c>
      <c r="C307" t="s">
        <v>291</v>
      </c>
      <c r="D307" t="s">
        <v>16</v>
      </c>
      <c r="E307" t="s">
        <v>550</v>
      </c>
      <c r="F307" t="s">
        <v>585</v>
      </c>
      <c r="G307" t="s">
        <v>621</v>
      </c>
      <c r="H307" t="s">
        <v>621</v>
      </c>
      <c r="I307" t="s">
        <v>621</v>
      </c>
      <c r="J307" t="s">
        <v>621</v>
      </c>
      <c r="K307">
        <v>3.6667000000000001</v>
      </c>
      <c r="L307" t="s">
        <v>71</v>
      </c>
    </row>
    <row r="308" spans="1:12" x14ac:dyDescent="0.15">
      <c r="A308" s="34">
        <v>46132.648472222201</v>
      </c>
      <c r="B308" t="s">
        <v>290</v>
      </c>
      <c r="C308" t="s">
        <v>291</v>
      </c>
      <c r="D308" t="s">
        <v>16</v>
      </c>
      <c r="E308" t="s">
        <v>550</v>
      </c>
      <c r="F308" t="s">
        <v>233</v>
      </c>
      <c r="G308" t="s">
        <v>621</v>
      </c>
      <c r="H308" t="s">
        <v>621</v>
      </c>
      <c r="I308" t="s">
        <v>621</v>
      </c>
      <c r="J308" t="s">
        <v>621</v>
      </c>
      <c r="K308">
        <v>3</v>
      </c>
      <c r="L308" t="s">
        <v>29</v>
      </c>
    </row>
    <row r="309" spans="1:12" x14ac:dyDescent="0.15">
      <c r="A309" s="34">
        <v>46132.573935185203</v>
      </c>
      <c r="B309" t="s">
        <v>76</v>
      </c>
      <c r="C309" t="s">
        <v>77</v>
      </c>
      <c r="D309" t="s">
        <v>16</v>
      </c>
      <c r="E309" t="s">
        <v>549</v>
      </c>
      <c r="F309" t="s">
        <v>579</v>
      </c>
      <c r="G309" t="s">
        <v>621</v>
      </c>
      <c r="H309" t="s">
        <v>621</v>
      </c>
      <c r="I309" t="s">
        <v>621</v>
      </c>
      <c r="J309" t="s">
        <v>621</v>
      </c>
      <c r="K309">
        <v>8.5</v>
      </c>
      <c r="L309" t="s">
        <v>29</v>
      </c>
    </row>
    <row r="310" spans="1:12" x14ac:dyDescent="0.15">
      <c r="A310" s="34">
        <v>46132.424282407403</v>
      </c>
      <c r="B310" t="s">
        <v>48</v>
      </c>
      <c r="C310" t="s">
        <v>49</v>
      </c>
      <c r="D310" t="s">
        <v>16</v>
      </c>
      <c r="E310" t="s">
        <v>549</v>
      </c>
      <c r="F310" t="s">
        <v>593</v>
      </c>
      <c r="G310" t="s">
        <v>621</v>
      </c>
      <c r="H310" t="s">
        <v>621</v>
      </c>
      <c r="I310" t="s">
        <v>621</v>
      </c>
      <c r="J310" t="s">
        <v>621</v>
      </c>
      <c r="K310">
        <v>8.5</v>
      </c>
      <c r="L310" t="s">
        <v>29</v>
      </c>
    </row>
    <row r="311" spans="1:12" x14ac:dyDescent="0.15">
      <c r="A311" s="34">
        <v>46132.384456018503</v>
      </c>
      <c r="B311" t="s">
        <v>219</v>
      </c>
      <c r="C311" t="s">
        <v>220</v>
      </c>
      <c r="D311" t="s">
        <v>16</v>
      </c>
      <c r="E311" t="s">
        <v>549</v>
      </c>
      <c r="F311" t="s">
        <v>579</v>
      </c>
      <c r="G311" t="s">
        <v>621</v>
      </c>
      <c r="H311" t="s">
        <v>621</v>
      </c>
      <c r="I311" t="s">
        <v>621</v>
      </c>
      <c r="J311" t="s">
        <v>621</v>
      </c>
      <c r="K311">
        <v>8.5</v>
      </c>
      <c r="L311" t="s">
        <v>29</v>
      </c>
    </row>
    <row r="312" spans="1:12" x14ac:dyDescent="0.15">
      <c r="A312" s="34">
        <v>46132.382187499999</v>
      </c>
      <c r="B312" t="s">
        <v>224</v>
      </c>
      <c r="C312" t="s">
        <v>225</v>
      </c>
      <c r="D312" t="s">
        <v>16</v>
      </c>
      <c r="E312" t="s">
        <v>549</v>
      </c>
      <c r="F312" t="s">
        <v>228</v>
      </c>
      <c r="G312" t="s">
        <v>621</v>
      </c>
      <c r="H312" t="s">
        <v>621</v>
      </c>
      <c r="I312" t="s">
        <v>621</v>
      </c>
      <c r="J312" t="s">
        <v>621</v>
      </c>
      <c r="K312">
        <v>8.5</v>
      </c>
      <c r="L312" t="s">
        <v>29</v>
      </c>
    </row>
    <row r="313" spans="1:12" x14ac:dyDescent="0.15">
      <c r="A313" s="34">
        <v>46132.377465277801</v>
      </c>
      <c r="B313" t="s">
        <v>156</v>
      </c>
      <c r="C313" t="s">
        <v>157</v>
      </c>
      <c r="D313" t="s">
        <v>16</v>
      </c>
      <c r="E313" t="s">
        <v>549</v>
      </c>
      <c r="F313" t="s">
        <v>582</v>
      </c>
      <c r="G313" t="s">
        <v>621</v>
      </c>
      <c r="H313" t="s">
        <v>621</v>
      </c>
      <c r="I313" t="s">
        <v>621</v>
      </c>
      <c r="J313" t="s">
        <v>621</v>
      </c>
      <c r="K313">
        <v>4.25</v>
      </c>
      <c r="L313" t="s">
        <v>40</v>
      </c>
    </row>
    <row r="314" spans="1:12" x14ac:dyDescent="0.15">
      <c r="A314" s="34">
        <v>46132.377314814803</v>
      </c>
      <c r="B314" t="s">
        <v>156</v>
      </c>
      <c r="C314" t="s">
        <v>157</v>
      </c>
      <c r="D314" t="s">
        <v>16</v>
      </c>
      <c r="E314" t="s">
        <v>549</v>
      </c>
      <c r="F314" t="s">
        <v>595</v>
      </c>
      <c r="G314" t="s">
        <v>621</v>
      </c>
      <c r="H314" t="s">
        <v>621</v>
      </c>
      <c r="I314" t="s">
        <v>621</v>
      </c>
      <c r="J314" t="s">
        <v>621</v>
      </c>
      <c r="K314">
        <v>4.25</v>
      </c>
      <c r="L314" t="s">
        <v>29</v>
      </c>
    </row>
    <row r="315" spans="1:12" x14ac:dyDescent="0.15">
      <c r="A315" s="34">
        <v>46132.376990740697</v>
      </c>
      <c r="B315" t="s">
        <v>224</v>
      </c>
      <c r="C315" t="s">
        <v>225</v>
      </c>
      <c r="D315" t="s">
        <v>16</v>
      </c>
      <c r="E315" t="s">
        <v>549</v>
      </c>
      <c r="F315" t="s">
        <v>599</v>
      </c>
      <c r="G315" t="s">
        <v>622</v>
      </c>
      <c r="H315" t="s">
        <v>621</v>
      </c>
      <c r="I315" t="s">
        <v>191</v>
      </c>
      <c r="J315" t="s">
        <v>621</v>
      </c>
      <c r="K315">
        <v>2.6333000000000002</v>
      </c>
      <c r="L315" t="s">
        <v>40</v>
      </c>
    </row>
    <row r="316" spans="1:12" x14ac:dyDescent="0.15">
      <c r="A316" s="34">
        <v>46132.3769328704</v>
      </c>
      <c r="B316" t="s">
        <v>148</v>
      </c>
      <c r="C316" t="s">
        <v>149</v>
      </c>
      <c r="D316" t="s">
        <v>16</v>
      </c>
      <c r="E316" t="s">
        <v>550</v>
      </c>
      <c r="F316" t="s">
        <v>585</v>
      </c>
      <c r="G316" t="s">
        <v>621</v>
      </c>
      <c r="H316" t="s">
        <v>621</v>
      </c>
      <c r="I316" t="s">
        <v>621</v>
      </c>
      <c r="J316" t="s">
        <v>621</v>
      </c>
      <c r="K316">
        <v>8.5</v>
      </c>
      <c r="L316" t="s">
        <v>66</v>
      </c>
    </row>
    <row r="317" spans="1:12" x14ac:dyDescent="0.15">
      <c r="A317" s="34">
        <v>46132.376284722202</v>
      </c>
      <c r="B317" t="s">
        <v>176</v>
      </c>
      <c r="C317" t="s">
        <v>177</v>
      </c>
      <c r="D317" t="s">
        <v>16</v>
      </c>
      <c r="E317" t="s">
        <v>549</v>
      </c>
      <c r="F317" t="s">
        <v>589</v>
      </c>
      <c r="G317" t="s">
        <v>621</v>
      </c>
      <c r="H317" t="s">
        <v>621</v>
      </c>
      <c r="I317" t="s">
        <v>621</v>
      </c>
      <c r="J317" t="s">
        <v>621</v>
      </c>
      <c r="K317">
        <v>8.5</v>
      </c>
      <c r="L317" t="s">
        <v>29</v>
      </c>
    </row>
    <row r="318" spans="1:12" x14ac:dyDescent="0.15">
      <c r="A318" s="34">
        <v>46132.374305555597</v>
      </c>
      <c r="B318" t="s">
        <v>107</v>
      </c>
      <c r="C318" t="s">
        <v>108</v>
      </c>
      <c r="D318" t="s">
        <v>16</v>
      </c>
      <c r="E318" t="s">
        <v>549</v>
      </c>
      <c r="F318" t="s">
        <v>590</v>
      </c>
      <c r="G318" t="s">
        <v>621</v>
      </c>
      <c r="H318" t="s">
        <v>621</v>
      </c>
      <c r="I318" t="s">
        <v>621</v>
      </c>
      <c r="J318" t="s">
        <v>621</v>
      </c>
      <c r="K318">
        <v>8.5</v>
      </c>
      <c r="L318" t="s">
        <v>66</v>
      </c>
    </row>
    <row r="319" spans="1:12" x14ac:dyDescent="0.15">
      <c r="A319" s="34">
        <v>46132.371631944399</v>
      </c>
      <c r="B319" t="s">
        <v>57</v>
      </c>
      <c r="C319" t="s">
        <v>58</v>
      </c>
      <c r="D319" t="s">
        <v>16</v>
      </c>
      <c r="E319" t="s">
        <v>549</v>
      </c>
      <c r="F319" t="s">
        <v>589</v>
      </c>
      <c r="G319" t="s">
        <v>621</v>
      </c>
      <c r="H319" t="s">
        <v>621</v>
      </c>
      <c r="I319" t="s">
        <v>621</v>
      </c>
      <c r="J319" t="s">
        <v>621</v>
      </c>
      <c r="K319">
        <v>8.5</v>
      </c>
      <c r="L319" t="s">
        <v>29</v>
      </c>
    </row>
    <row r="320" spans="1:12" x14ac:dyDescent="0.15">
      <c r="A320" s="34">
        <v>46132.370879629598</v>
      </c>
      <c r="B320" t="s">
        <v>138</v>
      </c>
      <c r="C320" t="s">
        <v>139</v>
      </c>
      <c r="D320" t="s">
        <v>16</v>
      </c>
      <c r="E320" t="s">
        <v>549</v>
      </c>
      <c r="F320" t="s">
        <v>579</v>
      </c>
      <c r="G320" t="s">
        <v>621</v>
      </c>
      <c r="H320" t="s">
        <v>621</v>
      </c>
      <c r="I320" t="s">
        <v>621</v>
      </c>
      <c r="J320" t="s">
        <v>621</v>
      </c>
      <c r="K320">
        <v>8.5</v>
      </c>
      <c r="L320" t="s">
        <v>66</v>
      </c>
    </row>
    <row r="321" spans="1:12" x14ac:dyDescent="0.15">
      <c r="A321" s="34">
        <v>46132.367511574099</v>
      </c>
      <c r="B321" t="s">
        <v>263</v>
      </c>
      <c r="C321" t="s">
        <v>264</v>
      </c>
      <c r="D321" t="s">
        <v>16</v>
      </c>
      <c r="E321" t="s">
        <v>550</v>
      </c>
      <c r="F321" t="s">
        <v>596</v>
      </c>
      <c r="G321" t="s">
        <v>621</v>
      </c>
      <c r="H321" t="s">
        <v>621</v>
      </c>
      <c r="I321" t="s">
        <v>621</v>
      </c>
      <c r="J321" t="s">
        <v>621</v>
      </c>
      <c r="K321">
        <v>8.5</v>
      </c>
      <c r="L321" t="s">
        <v>66</v>
      </c>
    </row>
    <row r="322" spans="1:12" x14ac:dyDescent="0.15">
      <c r="A322" s="34">
        <v>46132.366180555597</v>
      </c>
      <c r="B322" t="s">
        <v>201</v>
      </c>
      <c r="C322" t="s">
        <v>202</v>
      </c>
      <c r="D322" t="s">
        <v>16</v>
      </c>
      <c r="E322" t="s">
        <v>550</v>
      </c>
      <c r="F322" t="s">
        <v>581</v>
      </c>
      <c r="G322" t="s">
        <v>621</v>
      </c>
      <c r="H322" t="s">
        <v>621</v>
      </c>
      <c r="I322" t="s">
        <v>621</v>
      </c>
      <c r="J322" t="s">
        <v>621</v>
      </c>
      <c r="K322">
        <v>8.5</v>
      </c>
      <c r="L322" t="s">
        <v>40</v>
      </c>
    </row>
    <row r="323" spans="1:12" x14ac:dyDescent="0.15">
      <c r="A323" s="34">
        <v>46132.364652777796</v>
      </c>
      <c r="B323" t="s">
        <v>79</v>
      </c>
      <c r="C323" t="s">
        <v>80</v>
      </c>
      <c r="D323" t="s">
        <v>16</v>
      </c>
      <c r="E323" t="s">
        <v>550</v>
      </c>
      <c r="F323" t="s">
        <v>585</v>
      </c>
      <c r="G323" t="s">
        <v>621</v>
      </c>
      <c r="H323" t="s">
        <v>621</v>
      </c>
      <c r="I323" t="s">
        <v>621</v>
      </c>
      <c r="J323" t="s">
        <v>621</v>
      </c>
      <c r="K323">
        <v>8.5</v>
      </c>
      <c r="L323" t="s">
        <v>66</v>
      </c>
    </row>
    <row r="324" spans="1:12" x14ac:dyDescent="0.15">
      <c r="A324" s="34">
        <v>46132.355011574102</v>
      </c>
      <c r="B324" t="s">
        <v>216</v>
      </c>
      <c r="C324" t="s">
        <v>217</v>
      </c>
      <c r="D324" t="s">
        <v>16</v>
      </c>
      <c r="E324" t="s">
        <v>550</v>
      </c>
      <c r="F324" t="s">
        <v>218</v>
      </c>
      <c r="G324" t="s">
        <v>621</v>
      </c>
      <c r="H324" t="s">
        <v>621</v>
      </c>
      <c r="I324" t="s">
        <v>621</v>
      </c>
      <c r="J324" t="s">
        <v>621</v>
      </c>
      <c r="K324">
        <v>4.25</v>
      </c>
      <c r="L324" t="s">
        <v>29</v>
      </c>
    </row>
    <row r="325" spans="1:12" x14ac:dyDescent="0.15">
      <c r="A325" s="34">
        <v>46132.354965277802</v>
      </c>
      <c r="B325" t="s">
        <v>216</v>
      </c>
      <c r="C325" t="s">
        <v>217</v>
      </c>
      <c r="D325" t="s">
        <v>16</v>
      </c>
      <c r="E325" t="s">
        <v>550</v>
      </c>
      <c r="F325" t="s">
        <v>598</v>
      </c>
      <c r="G325" t="s">
        <v>621</v>
      </c>
      <c r="H325" t="s">
        <v>621</v>
      </c>
      <c r="I325" t="s">
        <v>621</v>
      </c>
      <c r="J325" t="s">
        <v>621</v>
      </c>
      <c r="K325">
        <v>4.25</v>
      </c>
      <c r="L325" t="s">
        <v>66</v>
      </c>
    </row>
    <row r="326" spans="1:12" x14ac:dyDescent="0.15">
      <c r="A326" s="34">
        <v>46132.353472222203</v>
      </c>
      <c r="B326" t="s">
        <v>245</v>
      </c>
      <c r="C326" t="s">
        <v>246</v>
      </c>
      <c r="D326" t="s">
        <v>16</v>
      </c>
      <c r="E326" t="s">
        <v>550</v>
      </c>
      <c r="F326" t="s">
        <v>596</v>
      </c>
      <c r="G326" t="s">
        <v>621</v>
      </c>
      <c r="H326" t="s">
        <v>621</v>
      </c>
      <c r="I326" t="s">
        <v>621</v>
      </c>
      <c r="J326" t="s">
        <v>621</v>
      </c>
      <c r="K326">
        <v>8.5</v>
      </c>
      <c r="L326" t="s">
        <v>29</v>
      </c>
    </row>
    <row r="327" spans="1:12" x14ac:dyDescent="0.15">
      <c r="A327" s="34">
        <v>46129.700486111098</v>
      </c>
      <c r="B327" t="s">
        <v>48</v>
      </c>
      <c r="C327" t="s">
        <v>49</v>
      </c>
      <c r="D327" t="s">
        <v>16</v>
      </c>
      <c r="E327" t="s">
        <v>549</v>
      </c>
      <c r="F327" t="s">
        <v>593</v>
      </c>
      <c r="G327" t="s">
        <v>621</v>
      </c>
      <c r="H327" t="s">
        <v>621</v>
      </c>
      <c r="I327" t="s">
        <v>621</v>
      </c>
      <c r="J327" t="s">
        <v>621</v>
      </c>
      <c r="K327">
        <v>8.5</v>
      </c>
      <c r="L327" t="s">
        <v>71</v>
      </c>
    </row>
    <row r="328" spans="1:12" x14ac:dyDescent="0.15">
      <c r="A328" s="34">
        <v>46129.700254629599</v>
      </c>
      <c r="B328" t="s">
        <v>290</v>
      </c>
      <c r="C328" t="s">
        <v>291</v>
      </c>
      <c r="D328" t="s">
        <v>16</v>
      </c>
      <c r="E328" t="s">
        <v>550</v>
      </c>
      <c r="F328" t="s">
        <v>233</v>
      </c>
      <c r="G328" t="s">
        <v>621</v>
      </c>
      <c r="H328" t="s">
        <v>621</v>
      </c>
      <c r="I328" t="s">
        <v>621</v>
      </c>
      <c r="J328" t="s">
        <v>621</v>
      </c>
      <c r="K328">
        <v>8.5</v>
      </c>
      <c r="L328" t="s">
        <v>41</v>
      </c>
    </row>
    <row r="329" spans="1:12" x14ac:dyDescent="0.15">
      <c r="A329" s="34">
        <v>46129.423900463</v>
      </c>
      <c r="B329" t="s">
        <v>138</v>
      </c>
      <c r="C329" t="s">
        <v>139</v>
      </c>
      <c r="D329" t="s">
        <v>16</v>
      </c>
      <c r="E329" t="s">
        <v>549</v>
      </c>
      <c r="F329" t="s">
        <v>141</v>
      </c>
      <c r="G329" t="s">
        <v>621</v>
      </c>
      <c r="H329" t="s">
        <v>621</v>
      </c>
      <c r="I329" t="s">
        <v>621</v>
      </c>
      <c r="J329" t="s">
        <v>621</v>
      </c>
      <c r="K329">
        <v>4.25</v>
      </c>
      <c r="L329" t="s">
        <v>29</v>
      </c>
    </row>
    <row r="330" spans="1:12" x14ac:dyDescent="0.15">
      <c r="A330" s="34">
        <v>46129.423657407402</v>
      </c>
      <c r="B330" t="s">
        <v>138</v>
      </c>
      <c r="C330" t="s">
        <v>139</v>
      </c>
      <c r="D330" t="s">
        <v>16</v>
      </c>
      <c r="E330" t="s">
        <v>549</v>
      </c>
      <c r="F330" t="s">
        <v>579</v>
      </c>
      <c r="G330" t="s">
        <v>621</v>
      </c>
      <c r="H330" t="s">
        <v>621</v>
      </c>
      <c r="I330" t="s">
        <v>621</v>
      </c>
      <c r="J330" t="s">
        <v>621</v>
      </c>
      <c r="K330">
        <v>4.25</v>
      </c>
      <c r="L330" t="s">
        <v>45</v>
      </c>
    </row>
    <row r="331" spans="1:12" x14ac:dyDescent="0.15">
      <c r="A331" s="34">
        <v>46129.380671296298</v>
      </c>
      <c r="B331" t="s">
        <v>224</v>
      </c>
      <c r="C331" t="s">
        <v>225</v>
      </c>
      <c r="D331" t="s">
        <v>16</v>
      </c>
      <c r="E331" t="s">
        <v>549</v>
      </c>
      <c r="F331" t="s">
        <v>600</v>
      </c>
      <c r="G331" t="s">
        <v>68</v>
      </c>
      <c r="H331" t="s">
        <v>621</v>
      </c>
      <c r="I331" t="s">
        <v>162</v>
      </c>
      <c r="J331" t="s">
        <v>621</v>
      </c>
      <c r="K331">
        <v>3.5</v>
      </c>
      <c r="L331" t="s">
        <v>40</v>
      </c>
    </row>
    <row r="332" spans="1:12" x14ac:dyDescent="0.15">
      <c r="A332" s="34">
        <v>46129.379212963002</v>
      </c>
      <c r="B332" t="s">
        <v>156</v>
      </c>
      <c r="C332" t="s">
        <v>157</v>
      </c>
      <c r="D332" t="s">
        <v>16</v>
      </c>
      <c r="E332" t="s">
        <v>549</v>
      </c>
      <c r="F332" t="s">
        <v>595</v>
      </c>
      <c r="G332" t="s">
        <v>621</v>
      </c>
      <c r="H332" t="s">
        <v>621</v>
      </c>
      <c r="I332" t="s">
        <v>621</v>
      </c>
      <c r="J332" t="s">
        <v>621</v>
      </c>
      <c r="K332">
        <v>4.25</v>
      </c>
      <c r="L332" t="s">
        <v>29</v>
      </c>
    </row>
    <row r="333" spans="1:12" x14ac:dyDescent="0.15">
      <c r="A333" s="34">
        <v>46129.378842592603</v>
      </c>
      <c r="B333" t="s">
        <v>156</v>
      </c>
      <c r="C333" t="s">
        <v>157</v>
      </c>
      <c r="D333" t="s">
        <v>16</v>
      </c>
      <c r="E333" t="s">
        <v>549</v>
      </c>
      <c r="F333" t="s">
        <v>582</v>
      </c>
      <c r="G333" t="s">
        <v>621</v>
      </c>
      <c r="H333" t="s">
        <v>621</v>
      </c>
      <c r="I333" t="s">
        <v>621</v>
      </c>
      <c r="J333" t="s">
        <v>621</v>
      </c>
      <c r="K333">
        <v>4.25</v>
      </c>
      <c r="L333" t="s">
        <v>40</v>
      </c>
    </row>
    <row r="334" spans="1:12" x14ac:dyDescent="0.15">
      <c r="A334" s="34">
        <v>46129.377986111103</v>
      </c>
      <c r="B334" t="s">
        <v>148</v>
      </c>
      <c r="C334" t="s">
        <v>149</v>
      </c>
      <c r="D334" t="s">
        <v>16</v>
      </c>
      <c r="E334" t="s">
        <v>550</v>
      </c>
      <c r="F334" t="s">
        <v>585</v>
      </c>
      <c r="G334" t="s">
        <v>621</v>
      </c>
      <c r="H334" t="s">
        <v>621</v>
      </c>
      <c r="I334" t="s">
        <v>621</v>
      </c>
      <c r="J334" t="s">
        <v>621</v>
      </c>
      <c r="K334">
        <v>8.5</v>
      </c>
      <c r="L334" t="s">
        <v>29</v>
      </c>
    </row>
    <row r="335" spans="1:12" x14ac:dyDescent="0.15">
      <c r="A335" s="34">
        <v>46129.376967592601</v>
      </c>
      <c r="B335" t="s">
        <v>176</v>
      </c>
      <c r="C335" t="s">
        <v>177</v>
      </c>
      <c r="D335" t="s">
        <v>16</v>
      </c>
      <c r="E335" t="s">
        <v>549</v>
      </c>
      <c r="F335" t="s">
        <v>601</v>
      </c>
      <c r="G335" t="s">
        <v>621</v>
      </c>
      <c r="H335" t="s">
        <v>621</v>
      </c>
      <c r="I335" t="s">
        <v>621</v>
      </c>
      <c r="J335" t="s">
        <v>621</v>
      </c>
      <c r="K335">
        <v>8.5</v>
      </c>
      <c r="L335" t="s">
        <v>29</v>
      </c>
    </row>
    <row r="336" spans="1:12" x14ac:dyDescent="0.15">
      <c r="A336" s="34">
        <v>46129.3745949074</v>
      </c>
      <c r="B336" t="s">
        <v>107</v>
      </c>
      <c r="C336" t="s">
        <v>108</v>
      </c>
      <c r="D336" t="s">
        <v>16</v>
      </c>
      <c r="E336" t="s">
        <v>549</v>
      </c>
      <c r="F336" t="s">
        <v>590</v>
      </c>
      <c r="G336" t="s">
        <v>621</v>
      </c>
      <c r="H336" t="s">
        <v>621</v>
      </c>
      <c r="I336" t="s">
        <v>621</v>
      </c>
      <c r="J336" t="s">
        <v>621</v>
      </c>
      <c r="K336">
        <v>8.5</v>
      </c>
      <c r="L336" t="s">
        <v>45</v>
      </c>
    </row>
    <row r="337" spans="1:12" x14ac:dyDescent="0.15">
      <c r="A337" s="34">
        <v>46129.374351851897</v>
      </c>
      <c r="B337" t="s">
        <v>224</v>
      </c>
      <c r="C337" t="s">
        <v>225</v>
      </c>
      <c r="D337" t="s">
        <v>16</v>
      </c>
      <c r="E337" t="s">
        <v>549</v>
      </c>
      <c r="F337" t="s">
        <v>594</v>
      </c>
      <c r="G337" t="s">
        <v>622</v>
      </c>
      <c r="H337" t="s">
        <v>621</v>
      </c>
      <c r="I337" t="s">
        <v>238</v>
      </c>
      <c r="J337" t="s">
        <v>621</v>
      </c>
      <c r="K337">
        <v>8.5</v>
      </c>
      <c r="L337" t="s">
        <v>29</v>
      </c>
    </row>
    <row r="338" spans="1:12" x14ac:dyDescent="0.15">
      <c r="A338" s="34">
        <v>46129.3743287037</v>
      </c>
      <c r="B338" t="s">
        <v>76</v>
      </c>
      <c r="C338" t="s">
        <v>77</v>
      </c>
      <c r="D338" t="s">
        <v>16</v>
      </c>
      <c r="E338" t="s">
        <v>549</v>
      </c>
      <c r="F338" t="s">
        <v>592</v>
      </c>
      <c r="G338" t="s">
        <v>621</v>
      </c>
      <c r="H338" t="s">
        <v>621</v>
      </c>
      <c r="I338" t="s">
        <v>621</v>
      </c>
      <c r="J338" t="s">
        <v>621</v>
      </c>
      <c r="K338">
        <v>8.5</v>
      </c>
      <c r="L338" t="s">
        <v>45</v>
      </c>
    </row>
    <row r="339" spans="1:12" x14ac:dyDescent="0.15">
      <c r="A339" s="34">
        <v>46129.370682870402</v>
      </c>
      <c r="B339" t="s">
        <v>263</v>
      </c>
      <c r="C339" t="s">
        <v>264</v>
      </c>
      <c r="D339" t="s">
        <v>16</v>
      </c>
      <c r="E339" t="s">
        <v>550</v>
      </c>
      <c r="F339" t="s">
        <v>591</v>
      </c>
      <c r="G339" t="s">
        <v>621</v>
      </c>
      <c r="H339" t="s">
        <v>621</v>
      </c>
      <c r="I339" t="s">
        <v>621</v>
      </c>
      <c r="J339" t="s">
        <v>621</v>
      </c>
      <c r="K339">
        <v>8</v>
      </c>
      <c r="L339" t="s">
        <v>29</v>
      </c>
    </row>
    <row r="340" spans="1:12" x14ac:dyDescent="0.15">
      <c r="A340" s="34">
        <v>46129.366215277798</v>
      </c>
      <c r="B340" t="s">
        <v>219</v>
      </c>
      <c r="C340" t="s">
        <v>220</v>
      </c>
      <c r="D340" t="s">
        <v>16</v>
      </c>
      <c r="E340" t="s">
        <v>549</v>
      </c>
      <c r="F340" t="s">
        <v>579</v>
      </c>
      <c r="G340" t="s">
        <v>621</v>
      </c>
      <c r="H340" t="s">
        <v>621</v>
      </c>
      <c r="I340" t="s">
        <v>621</v>
      </c>
      <c r="J340" t="s">
        <v>621</v>
      </c>
      <c r="K340">
        <v>4.25</v>
      </c>
      <c r="L340" t="s">
        <v>29</v>
      </c>
    </row>
    <row r="341" spans="1:12" x14ac:dyDescent="0.15">
      <c r="A341" s="34">
        <v>46129.366122685198</v>
      </c>
      <c r="B341" t="s">
        <v>219</v>
      </c>
      <c r="C341" t="s">
        <v>220</v>
      </c>
      <c r="D341" t="s">
        <v>16</v>
      </c>
      <c r="E341" t="s">
        <v>549</v>
      </c>
      <c r="F341" t="s">
        <v>602</v>
      </c>
      <c r="G341" t="s">
        <v>621</v>
      </c>
      <c r="H341" t="s">
        <v>621</v>
      </c>
      <c r="I341" t="s">
        <v>621</v>
      </c>
      <c r="J341" t="s">
        <v>621</v>
      </c>
      <c r="K341">
        <v>4.25</v>
      </c>
      <c r="L341" t="s">
        <v>40</v>
      </c>
    </row>
    <row r="342" spans="1:12" x14ac:dyDescent="0.15">
      <c r="A342" s="34">
        <v>46129.364189814798</v>
      </c>
      <c r="B342" t="s">
        <v>79</v>
      </c>
      <c r="C342" t="s">
        <v>80</v>
      </c>
      <c r="D342" t="s">
        <v>16</v>
      </c>
      <c r="E342" t="s">
        <v>550</v>
      </c>
      <c r="F342" t="s">
        <v>585</v>
      </c>
      <c r="G342" t="s">
        <v>621</v>
      </c>
      <c r="H342" t="s">
        <v>621</v>
      </c>
      <c r="I342" t="s">
        <v>621</v>
      </c>
      <c r="J342" t="s">
        <v>621</v>
      </c>
      <c r="K342">
        <v>8.5</v>
      </c>
      <c r="L342" t="s">
        <v>66</v>
      </c>
    </row>
    <row r="343" spans="1:12" x14ac:dyDescent="0.15">
      <c r="A343" s="34">
        <v>46129.364085648202</v>
      </c>
      <c r="B343" t="s">
        <v>201</v>
      </c>
      <c r="C343" t="s">
        <v>202</v>
      </c>
      <c r="D343" t="s">
        <v>16</v>
      </c>
      <c r="E343" t="s">
        <v>550</v>
      </c>
      <c r="F343" t="s">
        <v>581</v>
      </c>
      <c r="G343" t="s">
        <v>621</v>
      </c>
      <c r="H343" t="s">
        <v>621</v>
      </c>
      <c r="I343" t="s">
        <v>621</v>
      </c>
      <c r="J343" t="s">
        <v>621</v>
      </c>
      <c r="K343">
        <v>8.5</v>
      </c>
      <c r="L343" t="s">
        <v>66</v>
      </c>
    </row>
    <row r="344" spans="1:12" x14ac:dyDescent="0.15">
      <c r="A344" s="34">
        <v>46129.362812500003</v>
      </c>
      <c r="B344" t="s">
        <v>245</v>
      </c>
      <c r="C344" t="s">
        <v>246</v>
      </c>
      <c r="D344" t="s">
        <v>16</v>
      </c>
      <c r="E344" t="s">
        <v>550</v>
      </c>
      <c r="F344" t="s">
        <v>596</v>
      </c>
      <c r="G344" t="s">
        <v>621</v>
      </c>
      <c r="H344" t="s">
        <v>621</v>
      </c>
      <c r="I344" t="s">
        <v>621</v>
      </c>
      <c r="J344" t="s">
        <v>621</v>
      </c>
      <c r="K344">
        <v>4.25</v>
      </c>
      <c r="L344" t="s">
        <v>29</v>
      </c>
    </row>
    <row r="345" spans="1:12" x14ac:dyDescent="0.15">
      <c r="A345" s="34">
        <v>46129.360983796301</v>
      </c>
      <c r="B345" t="s">
        <v>57</v>
      </c>
      <c r="C345" t="s">
        <v>58</v>
      </c>
      <c r="D345" t="s">
        <v>16</v>
      </c>
      <c r="E345" t="s">
        <v>549</v>
      </c>
      <c r="F345" t="s">
        <v>601</v>
      </c>
      <c r="G345" t="s">
        <v>621</v>
      </c>
      <c r="H345" t="s">
        <v>621</v>
      </c>
      <c r="I345" t="s">
        <v>621</v>
      </c>
      <c r="J345" t="s">
        <v>621</v>
      </c>
      <c r="K345">
        <v>8.5</v>
      </c>
      <c r="L345" t="s">
        <v>40</v>
      </c>
    </row>
    <row r="346" spans="1:12" x14ac:dyDescent="0.15">
      <c r="A346" s="34">
        <v>46129.353969907403</v>
      </c>
      <c r="B346" t="s">
        <v>245</v>
      </c>
      <c r="C346" t="s">
        <v>246</v>
      </c>
      <c r="D346" t="s">
        <v>16</v>
      </c>
      <c r="E346" t="s">
        <v>550</v>
      </c>
      <c r="F346" t="s">
        <v>585</v>
      </c>
      <c r="G346" t="s">
        <v>621</v>
      </c>
      <c r="H346" t="s">
        <v>621</v>
      </c>
      <c r="I346" t="s">
        <v>621</v>
      </c>
      <c r="J346" t="s">
        <v>621</v>
      </c>
      <c r="K346">
        <v>4.25</v>
      </c>
      <c r="L346" t="s">
        <v>66</v>
      </c>
    </row>
    <row r="347" spans="1:12" x14ac:dyDescent="0.15">
      <c r="A347" s="34">
        <v>46129.349826388898</v>
      </c>
      <c r="B347" t="s">
        <v>216</v>
      </c>
      <c r="C347" t="s">
        <v>217</v>
      </c>
      <c r="D347" t="s">
        <v>16</v>
      </c>
      <c r="E347" t="s">
        <v>550</v>
      </c>
      <c r="F347" t="s">
        <v>218</v>
      </c>
      <c r="G347" t="s">
        <v>621</v>
      </c>
      <c r="H347" t="s">
        <v>621</v>
      </c>
      <c r="I347" t="s">
        <v>621</v>
      </c>
      <c r="J347" t="s">
        <v>621</v>
      </c>
      <c r="K347">
        <v>4.25</v>
      </c>
      <c r="L347" t="s">
        <v>29</v>
      </c>
    </row>
    <row r="348" spans="1:12" x14ac:dyDescent="0.15">
      <c r="A348" s="34">
        <v>46129.349756944401</v>
      </c>
      <c r="B348" t="s">
        <v>216</v>
      </c>
      <c r="C348" t="s">
        <v>217</v>
      </c>
      <c r="D348" t="s">
        <v>16</v>
      </c>
      <c r="E348" t="s">
        <v>550</v>
      </c>
      <c r="F348" t="s">
        <v>598</v>
      </c>
      <c r="G348" t="s">
        <v>621</v>
      </c>
      <c r="H348" t="s">
        <v>621</v>
      </c>
      <c r="I348" t="s">
        <v>621</v>
      </c>
      <c r="J348" t="s">
        <v>621</v>
      </c>
      <c r="K348">
        <v>4.25</v>
      </c>
      <c r="L348" t="s">
        <v>40</v>
      </c>
    </row>
    <row r="349" spans="1:12" x14ac:dyDescent="0.15">
      <c r="A349" s="34">
        <v>46128.700254629599</v>
      </c>
      <c r="B349" t="s">
        <v>290</v>
      </c>
      <c r="C349" t="s">
        <v>291</v>
      </c>
      <c r="D349" t="s">
        <v>16</v>
      </c>
      <c r="E349" t="s">
        <v>550</v>
      </c>
      <c r="F349" t="s">
        <v>585</v>
      </c>
      <c r="G349" t="s">
        <v>621</v>
      </c>
      <c r="H349" t="s">
        <v>621</v>
      </c>
      <c r="I349" t="s">
        <v>621</v>
      </c>
      <c r="J349" t="s">
        <v>621</v>
      </c>
      <c r="K349">
        <v>8.5</v>
      </c>
      <c r="L349" t="s">
        <v>29</v>
      </c>
    </row>
    <row r="350" spans="1:12" x14ac:dyDescent="0.15">
      <c r="A350" s="34">
        <v>46128.570902777799</v>
      </c>
      <c r="B350" t="s">
        <v>76</v>
      </c>
      <c r="C350" t="s">
        <v>77</v>
      </c>
      <c r="D350" t="s">
        <v>16</v>
      </c>
      <c r="E350" t="s">
        <v>549</v>
      </c>
      <c r="F350" t="s">
        <v>579</v>
      </c>
      <c r="G350" t="s">
        <v>621</v>
      </c>
      <c r="H350" t="s">
        <v>621</v>
      </c>
      <c r="I350" t="s">
        <v>621</v>
      </c>
      <c r="J350" t="s">
        <v>621</v>
      </c>
      <c r="K350">
        <v>8.5</v>
      </c>
      <c r="L350" t="s">
        <v>40</v>
      </c>
    </row>
    <row r="351" spans="1:12" x14ac:dyDescent="0.15">
      <c r="A351" s="34">
        <v>46128.456828703696</v>
      </c>
      <c r="B351" t="s">
        <v>263</v>
      </c>
      <c r="C351" t="s">
        <v>264</v>
      </c>
      <c r="D351" t="s">
        <v>16</v>
      </c>
      <c r="E351" t="s">
        <v>550</v>
      </c>
      <c r="F351" t="s">
        <v>585</v>
      </c>
      <c r="G351" t="s">
        <v>621</v>
      </c>
      <c r="H351" t="s">
        <v>621</v>
      </c>
      <c r="I351" t="s">
        <v>621</v>
      </c>
      <c r="J351" t="s">
        <v>621</v>
      </c>
      <c r="K351">
        <v>8.5</v>
      </c>
      <c r="L351" t="s">
        <v>29</v>
      </c>
    </row>
    <row r="352" spans="1:12" x14ac:dyDescent="0.15">
      <c r="A352" s="34">
        <v>46128.414907407401</v>
      </c>
      <c r="B352" t="s">
        <v>156</v>
      </c>
      <c r="C352" t="s">
        <v>157</v>
      </c>
      <c r="D352" t="s">
        <v>16</v>
      </c>
      <c r="E352" t="s">
        <v>549</v>
      </c>
      <c r="F352" t="s">
        <v>582</v>
      </c>
      <c r="G352" t="s">
        <v>621</v>
      </c>
      <c r="H352" t="s">
        <v>621</v>
      </c>
      <c r="I352" t="s">
        <v>621</v>
      </c>
      <c r="J352" t="s">
        <v>621</v>
      </c>
      <c r="K352">
        <v>4.25</v>
      </c>
      <c r="L352" t="s">
        <v>40</v>
      </c>
    </row>
    <row r="353" spans="1:12" x14ac:dyDescent="0.15">
      <c r="A353" s="34">
        <v>46128.4144675926</v>
      </c>
      <c r="B353" t="s">
        <v>156</v>
      </c>
      <c r="C353" t="s">
        <v>157</v>
      </c>
      <c r="D353" t="s">
        <v>16</v>
      </c>
      <c r="E353" t="s">
        <v>549</v>
      </c>
      <c r="F353" t="s">
        <v>595</v>
      </c>
      <c r="G353" t="s">
        <v>621</v>
      </c>
      <c r="H353" t="s">
        <v>621</v>
      </c>
      <c r="I353" t="s">
        <v>621</v>
      </c>
      <c r="J353" t="s">
        <v>621</v>
      </c>
      <c r="K353">
        <v>4.25</v>
      </c>
      <c r="L353" t="s">
        <v>54</v>
      </c>
    </row>
    <row r="354" spans="1:12" x14ac:dyDescent="0.15">
      <c r="A354" s="34">
        <v>46128.391516203701</v>
      </c>
      <c r="B354" t="s">
        <v>48</v>
      </c>
      <c r="C354" t="s">
        <v>49</v>
      </c>
      <c r="D354" t="s">
        <v>16</v>
      </c>
      <c r="E354" t="s">
        <v>549</v>
      </c>
      <c r="F354" t="s">
        <v>603</v>
      </c>
      <c r="G354" t="s">
        <v>621</v>
      </c>
      <c r="H354" t="s">
        <v>621</v>
      </c>
      <c r="I354" t="s">
        <v>621</v>
      </c>
      <c r="J354" t="s">
        <v>621</v>
      </c>
      <c r="K354">
        <v>4.25</v>
      </c>
      <c r="L354" t="s">
        <v>29</v>
      </c>
    </row>
    <row r="355" spans="1:12" x14ac:dyDescent="0.15">
      <c r="A355" s="34">
        <v>46128.387743055602</v>
      </c>
      <c r="B355" t="s">
        <v>48</v>
      </c>
      <c r="C355" t="s">
        <v>49</v>
      </c>
      <c r="D355" t="s">
        <v>16</v>
      </c>
      <c r="E355" t="s">
        <v>549</v>
      </c>
      <c r="F355" t="s">
        <v>593</v>
      </c>
      <c r="G355" t="s">
        <v>621</v>
      </c>
      <c r="H355" t="s">
        <v>621</v>
      </c>
      <c r="I355" t="s">
        <v>621</v>
      </c>
      <c r="J355" t="s">
        <v>621</v>
      </c>
      <c r="K355">
        <v>4.25</v>
      </c>
      <c r="L355" t="s">
        <v>40</v>
      </c>
    </row>
    <row r="356" spans="1:12" x14ac:dyDescent="0.15">
      <c r="A356" s="34">
        <v>46128.3828587963</v>
      </c>
      <c r="B356" t="s">
        <v>148</v>
      </c>
      <c r="C356" t="s">
        <v>149</v>
      </c>
      <c r="D356" t="s">
        <v>16</v>
      </c>
      <c r="E356" t="s">
        <v>550</v>
      </c>
      <c r="F356" t="s">
        <v>585</v>
      </c>
      <c r="G356" t="s">
        <v>621</v>
      </c>
      <c r="H356" t="s">
        <v>621</v>
      </c>
      <c r="I356" t="s">
        <v>621</v>
      </c>
      <c r="J356" t="s">
        <v>621</v>
      </c>
      <c r="K356">
        <v>8.5</v>
      </c>
      <c r="L356" t="s">
        <v>40</v>
      </c>
    </row>
    <row r="357" spans="1:12" x14ac:dyDescent="0.15">
      <c r="A357" s="34">
        <v>46128.382662037002</v>
      </c>
      <c r="B357" t="s">
        <v>79</v>
      </c>
      <c r="C357" t="s">
        <v>80</v>
      </c>
      <c r="D357" t="s">
        <v>16</v>
      </c>
      <c r="E357" t="s">
        <v>550</v>
      </c>
      <c r="F357" t="s">
        <v>585</v>
      </c>
      <c r="G357" t="s">
        <v>621</v>
      </c>
      <c r="H357" t="s">
        <v>621</v>
      </c>
      <c r="I357" t="s">
        <v>621</v>
      </c>
      <c r="J357" t="s">
        <v>621</v>
      </c>
      <c r="K357">
        <v>8.5</v>
      </c>
      <c r="L357" t="s">
        <v>29</v>
      </c>
    </row>
    <row r="358" spans="1:12" x14ac:dyDescent="0.15">
      <c r="A358" s="34">
        <v>46128.376562500001</v>
      </c>
      <c r="B358" t="s">
        <v>224</v>
      </c>
      <c r="C358" t="s">
        <v>225</v>
      </c>
      <c r="D358" t="s">
        <v>16</v>
      </c>
      <c r="E358" t="s">
        <v>549</v>
      </c>
      <c r="F358" t="s">
        <v>228</v>
      </c>
      <c r="G358" t="s">
        <v>621</v>
      </c>
      <c r="H358" t="s">
        <v>621</v>
      </c>
      <c r="I358" t="s">
        <v>621</v>
      </c>
      <c r="J358" t="s">
        <v>621</v>
      </c>
      <c r="K358">
        <v>2</v>
      </c>
      <c r="L358" t="s">
        <v>45</v>
      </c>
    </row>
    <row r="359" spans="1:12" x14ac:dyDescent="0.15">
      <c r="A359" s="34">
        <v>46128.3758101852</v>
      </c>
      <c r="B359" t="s">
        <v>224</v>
      </c>
      <c r="C359" t="s">
        <v>225</v>
      </c>
      <c r="D359" t="s">
        <v>16</v>
      </c>
      <c r="E359" t="s">
        <v>549</v>
      </c>
      <c r="F359" t="s">
        <v>600</v>
      </c>
      <c r="G359" t="s">
        <v>68</v>
      </c>
      <c r="H359" t="s">
        <v>621</v>
      </c>
      <c r="I359" t="s">
        <v>162</v>
      </c>
      <c r="J359" t="s">
        <v>621</v>
      </c>
      <c r="K359">
        <v>9.5</v>
      </c>
      <c r="L359" t="s">
        <v>29</v>
      </c>
    </row>
    <row r="360" spans="1:12" x14ac:dyDescent="0.15">
      <c r="A360" s="34">
        <v>46128.372511574104</v>
      </c>
      <c r="B360" t="s">
        <v>107</v>
      </c>
      <c r="C360" t="s">
        <v>108</v>
      </c>
      <c r="D360" t="s">
        <v>16</v>
      </c>
      <c r="E360" t="s">
        <v>549</v>
      </c>
      <c r="F360" t="s">
        <v>590</v>
      </c>
      <c r="G360" t="s">
        <v>621</v>
      </c>
      <c r="H360" t="s">
        <v>621</v>
      </c>
      <c r="I360" t="s">
        <v>621</v>
      </c>
      <c r="J360" t="s">
        <v>621</v>
      </c>
      <c r="K360">
        <v>8.5</v>
      </c>
      <c r="L360" t="s">
        <v>29</v>
      </c>
    </row>
    <row r="361" spans="1:12" x14ac:dyDescent="0.15">
      <c r="A361" s="34">
        <v>46128.371620370403</v>
      </c>
      <c r="B361" t="s">
        <v>138</v>
      </c>
      <c r="C361" t="s">
        <v>139</v>
      </c>
      <c r="D361" t="s">
        <v>16</v>
      </c>
      <c r="E361" t="s">
        <v>549</v>
      </c>
      <c r="F361" t="s">
        <v>579</v>
      </c>
      <c r="G361" t="s">
        <v>621</v>
      </c>
      <c r="H361" t="s">
        <v>621</v>
      </c>
      <c r="I361" t="s">
        <v>621</v>
      </c>
      <c r="J361" t="s">
        <v>621</v>
      </c>
      <c r="K361">
        <v>8.5</v>
      </c>
      <c r="L361" t="s">
        <v>29</v>
      </c>
    </row>
    <row r="362" spans="1:12" x14ac:dyDescent="0.15">
      <c r="A362" s="34">
        <v>46128.365775462997</v>
      </c>
      <c r="B362" t="s">
        <v>57</v>
      </c>
      <c r="C362" t="s">
        <v>58</v>
      </c>
      <c r="D362" t="s">
        <v>16</v>
      </c>
      <c r="E362" t="s">
        <v>549</v>
      </c>
      <c r="F362" t="s">
        <v>601</v>
      </c>
      <c r="G362" t="s">
        <v>621</v>
      </c>
      <c r="H362" t="s">
        <v>621</v>
      </c>
      <c r="I362" t="s">
        <v>621</v>
      </c>
      <c r="J362" t="s">
        <v>621</v>
      </c>
      <c r="K362">
        <v>8.5</v>
      </c>
      <c r="L362" t="s">
        <v>66</v>
      </c>
    </row>
    <row r="363" spans="1:12" x14ac:dyDescent="0.15">
      <c r="A363" s="34">
        <v>46128.365243055603</v>
      </c>
      <c r="B363" t="s">
        <v>201</v>
      </c>
      <c r="C363" t="s">
        <v>202</v>
      </c>
      <c r="D363" t="s">
        <v>16</v>
      </c>
      <c r="E363" t="s">
        <v>550</v>
      </c>
      <c r="F363" t="s">
        <v>581</v>
      </c>
      <c r="G363" t="s">
        <v>621</v>
      </c>
      <c r="H363" t="s">
        <v>621</v>
      </c>
      <c r="I363" t="s">
        <v>621</v>
      </c>
      <c r="J363" t="s">
        <v>621</v>
      </c>
      <c r="K363">
        <v>8.5</v>
      </c>
      <c r="L363" t="s">
        <v>29</v>
      </c>
    </row>
    <row r="364" spans="1:12" x14ac:dyDescent="0.15">
      <c r="A364" s="34">
        <v>46128.364398148202</v>
      </c>
      <c r="B364" t="s">
        <v>176</v>
      </c>
      <c r="C364" t="s">
        <v>177</v>
      </c>
      <c r="D364" t="s">
        <v>16</v>
      </c>
      <c r="E364" t="s">
        <v>549</v>
      </c>
      <c r="F364" t="s">
        <v>601</v>
      </c>
      <c r="G364" t="s">
        <v>621</v>
      </c>
      <c r="H364" t="s">
        <v>621</v>
      </c>
      <c r="I364" t="s">
        <v>621</v>
      </c>
      <c r="J364" t="s">
        <v>621</v>
      </c>
      <c r="K364">
        <v>4.25</v>
      </c>
      <c r="L364" t="s">
        <v>40</v>
      </c>
    </row>
    <row r="365" spans="1:12" x14ac:dyDescent="0.15">
      <c r="A365" s="34">
        <v>46128.364305555602</v>
      </c>
      <c r="B365" t="s">
        <v>176</v>
      </c>
      <c r="C365" t="s">
        <v>177</v>
      </c>
      <c r="D365" t="s">
        <v>16</v>
      </c>
      <c r="E365" t="s">
        <v>549</v>
      </c>
      <c r="F365" t="s">
        <v>595</v>
      </c>
      <c r="G365" t="s">
        <v>621</v>
      </c>
      <c r="H365" t="s">
        <v>621</v>
      </c>
      <c r="I365" t="s">
        <v>621</v>
      </c>
      <c r="J365" t="s">
        <v>621</v>
      </c>
      <c r="K365">
        <v>4.25</v>
      </c>
      <c r="L365" t="s">
        <v>40</v>
      </c>
    </row>
    <row r="366" spans="1:12" x14ac:dyDescent="0.15">
      <c r="A366" s="34">
        <v>46128.353402777801</v>
      </c>
      <c r="B366" t="s">
        <v>245</v>
      </c>
      <c r="C366" t="s">
        <v>246</v>
      </c>
      <c r="D366" t="s">
        <v>16</v>
      </c>
      <c r="E366" t="s">
        <v>550</v>
      </c>
      <c r="F366" t="s">
        <v>585</v>
      </c>
      <c r="G366" t="s">
        <v>621</v>
      </c>
      <c r="H366" t="s">
        <v>621</v>
      </c>
      <c r="I366" t="s">
        <v>621</v>
      </c>
      <c r="J366" t="s">
        <v>621</v>
      </c>
      <c r="K366">
        <v>8.5</v>
      </c>
      <c r="L366" t="s">
        <v>66</v>
      </c>
    </row>
    <row r="367" spans="1:12" x14ac:dyDescent="0.15">
      <c r="A367" s="34">
        <v>46128.352164351803</v>
      </c>
      <c r="B367" t="s">
        <v>216</v>
      </c>
      <c r="C367" t="s">
        <v>217</v>
      </c>
      <c r="D367" t="s">
        <v>16</v>
      </c>
      <c r="E367" t="s">
        <v>550</v>
      </c>
      <c r="F367" t="s">
        <v>218</v>
      </c>
      <c r="G367" t="s">
        <v>621</v>
      </c>
      <c r="H367" t="s">
        <v>621</v>
      </c>
      <c r="I367" t="s">
        <v>621</v>
      </c>
      <c r="J367" t="s">
        <v>621</v>
      </c>
      <c r="K367">
        <v>4.25</v>
      </c>
      <c r="L367" t="s">
        <v>29</v>
      </c>
    </row>
    <row r="368" spans="1:12" x14ac:dyDescent="0.15">
      <c r="A368" s="34">
        <v>46128.352141203701</v>
      </c>
      <c r="B368" t="s">
        <v>216</v>
      </c>
      <c r="C368" t="s">
        <v>217</v>
      </c>
      <c r="D368" t="s">
        <v>16</v>
      </c>
      <c r="E368" t="s">
        <v>550</v>
      </c>
      <c r="F368" t="s">
        <v>598</v>
      </c>
      <c r="G368" t="s">
        <v>621</v>
      </c>
      <c r="H368" t="s">
        <v>621</v>
      </c>
      <c r="I368" t="s">
        <v>621</v>
      </c>
      <c r="J368" t="s">
        <v>621</v>
      </c>
      <c r="K368">
        <v>4.25</v>
      </c>
      <c r="L368" t="s">
        <v>29</v>
      </c>
    </row>
    <row r="369" spans="1:12" x14ac:dyDescent="0.15">
      <c r="A369" s="34">
        <v>46128.352129629602</v>
      </c>
      <c r="B369" t="s">
        <v>219</v>
      </c>
      <c r="C369" t="s">
        <v>220</v>
      </c>
      <c r="D369" t="s">
        <v>16</v>
      </c>
      <c r="E369" t="s">
        <v>549</v>
      </c>
      <c r="F369" t="s">
        <v>579</v>
      </c>
      <c r="G369" t="s">
        <v>621</v>
      </c>
      <c r="H369" t="s">
        <v>621</v>
      </c>
      <c r="I369" t="s">
        <v>621</v>
      </c>
      <c r="J369" t="s">
        <v>621</v>
      </c>
      <c r="K369">
        <v>8.5</v>
      </c>
      <c r="L369" t="s">
        <v>45</v>
      </c>
    </row>
    <row r="370" spans="1:12" x14ac:dyDescent="0.15">
      <c r="A370" s="34">
        <v>46127.576168981497</v>
      </c>
      <c r="B370" t="s">
        <v>224</v>
      </c>
      <c r="C370" t="s">
        <v>225</v>
      </c>
      <c r="D370" t="s">
        <v>16</v>
      </c>
      <c r="E370" t="s">
        <v>549</v>
      </c>
      <c r="F370" t="s">
        <v>600</v>
      </c>
      <c r="G370" t="s">
        <v>68</v>
      </c>
      <c r="H370" t="s">
        <v>621</v>
      </c>
      <c r="I370" t="s">
        <v>162</v>
      </c>
      <c r="J370" t="s">
        <v>621</v>
      </c>
      <c r="K370">
        <v>8.5</v>
      </c>
      <c r="L370" t="s">
        <v>29</v>
      </c>
    </row>
    <row r="371" spans="1:12" x14ac:dyDescent="0.15">
      <c r="A371" s="34">
        <v>46127.573773148099</v>
      </c>
      <c r="B371" t="s">
        <v>138</v>
      </c>
      <c r="C371" t="s">
        <v>139</v>
      </c>
      <c r="D371" t="s">
        <v>16</v>
      </c>
      <c r="E371" t="s">
        <v>549</v>
      </c>
      <c r="F371" t="s">
        <v>579</v>
      </c>
      <c r="G371" t="s">
        <v>621</v>
      </c>
      <c r="H371" t="s">
        <v>621</v>
      </c>
      <c r="I371" t="s">
        <v>621</v>
      </c>
      <c r="J371" t="s">
        <v>621</v>
      </c>
      <c r="K371">
        <v>8.5</v>
      </c>
      <c r="L371" t="s">
        <v>40</v>
      </c>
    </row>
    <row r="372" spans="1:12" x14ac:dyDescent="0.15">
      <c r="A372" s="34">
        <v>46127.569062499999</v>
      </c>
      <c r="B372" t="s">
        <v>263</v>
      </c>
      <c r="C372" t="s">
        <v>264</v>
      </c>
      <c r="D372" t="s">
        <v>16</v>
      </c>
      <c r="E372" t="s">
        <v>550</v>
      </c>
      <c r="F372" t="s">
        <v>295</v>
      </c>
      <c r="G372" t="s">
        <v>621</v>
      </c>
      <c r="H372" t="s">
        <v>621</v>
      </c>
      <c r="I372" t="s">
        <v>621</v>
      </c>
      <c r="J372" t="s">
        <v>621</v>
      </c>
      <c r="K372">
        <v>8.5</v>
      </c>
      <c r="L372" t="s">
        <v>71</v>
      </c>
    </row>
    <row r="373" spans="1:12" x14ac:dyDescent="0.15">
      <c r="A373" s="34">
        <v>46127.436249999999</v>
      </c>
      <c r="B373" t="s">
        <v>290</v>
      </c>
      <c r="C373" t="s">
        <v>291</v>
      </c>
      <c r="D373" t="s">
        <v>16</v>
      </c>
      <c r="E373" t="s">
        <v>550</v>
      </c>
      <c r="F373" t="s">
        <v>233</v>
      </c>
      <c r="G373" t="s">
        <v>621</v>
      </c>
      <c r="H373" t="s">
        <v>621</v>
      </c>
      <c r="I373" t="s">
        <v>621</v>
      </c>
      <c r="J373" t="s">
        <v>621</v>
      </c>
      <c r="K373">
        <v>8.5</v>
      </c>
      <c r="L373" t="s">
        <v>40</v>
      </c>
    </row>
    <row r="374" spans="1:12" x14ac:dyDescent="0.15">
      <c r="A374" s="34">
        <v>46127.397303240701</v>
      </c>
      <c r="B374" t="s">
        <v>148</v>
      </c>
      <c r="C374" t="s">
        <v>149</v>
      </c>
      <c r="D374" t="s">
        <v>16</v>
      </c>
      <c r="E374" t="s">
        <v>550</v>
      </c>
      <c r="F374" t="s">
        <v>585</v>
      </c>
      <c r="G374" t="s">
        <v>621</v>
      </c>
      <c r="H374" t="s">
        <v>621</v>
      </c>
      <c r="I374" t="s">
        <v>621</v>
      </c>
      <c r="J374" t="s">
        <v>621</v>
      </c>
      <c r="K374">
        <v>8.5</v>
      </c>
      <c r="L374" t="s">
        <v>29</v>
      </c>
    </row>
    <row r="375" spans="1:12" x14ac:dyDescent="0.15">
      <c r="A375" s="34">
        <v>46127.392638888901</v>
      </c>
      <c r="B375" t="s">
        <v>48</v>
      </c>
      <c r="C375" t="s">
        <v>49</v>
      </c>
      <c r="D375" t="s">
        <v>16</v>
      </c>
      <c r="E375" t="s">
        <v>549</v>
      </c>
      <c r="F375" t="s">
        <v>593</v>
      </c>
      <c r="G375" t="s">
        <v>621</v>
      </c>
      <c r="H375" t="s">
        <v>621</v>
      </c>
      <c r="I375" t="s">
        <v>621</v>
      </c>
      <c r="J375" t="s">
        <v>621</v>
      </c>
      <c r="K375">
        <v>8.5</v>
      </c>
      <c r="L375" t="s">
        <v>40</v>
      </c>
    </row>
    <row r="376" spans="1:12" x14ac:dyDescent="0.15">
      <c r="A376" s="34">
        <v>46127.385289351798</v>
      </c>
      <c r="B376" t="s">
        <v>79</v>
      </c>
      <c r="C376" t="s">
        <v>80</v>
      </c>
      <c r="D376" t="s">
        <v>16</v>
      </c>
      <c r="E376" t="s">
        <v>550</v>
      </c>
      <c r="F376" t="s">
        <v>604</v>
      </c>
      <c r="G376" t="s">
        <v>621</v>
      </c>
      <c r="H376" t="s">
        <v>621</v>
      </c>
      <c r="I376" t="s">
        <v>621</v>
      </c>
      <c r="J376" t="s">
        <v>621</v>
      </c>
      <c r="K376">
        <v>2.8332999999999999</v>
      </c>
      <c r="L376" t="s">
        <v>29</v>
      </c>
    </row>
    <row r="377" spans="1:12" x14ac:dyDescent="0.15">
      <c r="A377" s="34">
        <v>46127.383472222202</v>
      </c>
      <c r="B377" t="s">
        <v>76</v>
      </c>
      <c r="C377" t="s">
        <v>77</v>
      </c>
      <c r="D377" t="s">
        <v>16</v>
      </c>
      <c r="E377" t="s">
        <v>549</v>
      </c>
      <c r="F377" t="s">
        <v>579</v>
      </c>
      <c r="G377" t="s">
        <v>621</v>
      </c>
      <c r="H377" t="s">
        <v>621</v>
      </c>
      <c r="I377" t="s">
        <v>621</v>
      </c>
      <c r="J377" t="s">
        <v>621</v>
      </c>
      <c r="K377">
        <v>8.5</v>
      </c>
      <c r="L377" t="s">
        <v>29</v>
      </c>
    </row>
    <row r="378" spans="1:12" x14ac:dyDescent="0.15">
      <c r="A378" s="34">
        <v>46127.379641203697</v>
      </c>
      <c r="B378" t="s">
        <v>156</v>
      </c>
      <c r="C378" t="s">
        <v>157</v>
      </c>
      <c r="D378" t="s">
        <v>16</v>
      </c>
      <c r="E378" t="s">
        <v>549</v>
      </c>
      <c r="F378" t="s">
        <v>582</v>
      </c>
      <c r="G378" t="s">
        <v>621</v>
      </c>
      <c r="H378" t="s">
        <v>621</v>
      </c>
      <c r="I378" t="s">
        <v>621</v>
      </c>
      <c r="J378" t="s">
        <v>621</v>
      </c>
      <c r="K378">
        <v>4.25</v>
      </c>
      <c r="L378" t="s">
        <v>40</v>
      </c>
    </row>
    <row r="379" spans="1:12" x14ac:dyDescent="0.15">
      <c r="A379" s="34">
        <v>46127.376782407402</v>
      </c>
      <c r="B379" t="s">
        <v>156</v>
      </c>
      <c r="C379" t="s">
        <v>157</v>
      </c>
      <c r="D379" t="s">
        <v>16</v>
      </c>
      <c r="E379" t="s">
        <v>549</v>
      </c>
      <c r="F379" t="s">
        <v>595</v>
      </c>
      <c r="G379" t="s">
        <v>621</v>
      </c>
      <c r="H379" t="s">
        <v>621</v>
      </c>
      <c r="I379" t="s">
        <v>621</v>
      </c>
      <c r="J379" t="s">
        <v>621</v>
      </c>
      <c r="K379">
        <v>4.25</v>
      </c>
      <c r="L379" t="s">
        <v>29</v>
      </c>
    </row>
    <row r="380" spans="1:12" x14ac:dyDescent="0.15">
      <c r="A380" s="34">
        <v>46127.376701388901</v>
      </c>
      <c r="B380" t="s">
        <v>224</v>
      </c>
      <c r="C380" t="s">
        <v>225</v>
      </c>
      <c r="D380" t="s">
        <v>16</v>
      </c>
      <c r="E380" t="s">
        <v>549</v>
      </c>
      <c r="F380" t="s">
        <v>599</v>
      </c>
      <c r="G380" t="s">
        <v>622</v>
      </c>
      <c r="H380" t="s">
        <v>621</v>
      </c>
      <c r="I380" t="s">
        <v>191</v>
      </c>
      <c r="J380" t="s">
        <v>621</v>
      </c>
      <c r="K380">
        <v>0.83330000000000004</v>
      </c>
      <c r="L380" t="s">
        <v>29</v>
      </c>
    </row>
    <row r="381" spans="1:12" x14ac:dyDescent="0.15">
      <c r="A381" s="34">
        <v>46127.376701388901</v>
      </c>
      <c r="B381" t="s">
        <v>224</v>
      </c>
      <c r="C381" t="s">
        <v>225</v>
      </c>
      <c r="D381" t="s">
        <v>16</v>
      </c>
      <c r="E381" t="s">
        <v>549</v>
      </c>
      <c r="F381" t="s">
        <v>586</v>
      </c>
      <c r="G381" t="s">
        <v>622</v>
      </c>
      <c r="H381" t="s">
        <v>621</v>
      </c>
      <c r="I381" t="s">
        <v>238</v>
      </c>
      <c r="J381" t="s">
        <v>621</v>
      </c>
      <c r="K381">
        <v>1.6667000000000001</v>
      </c>
      <c r="L381" t="s">
        <v>29</v>
      </c>
    </row>
    <row r="382" spans="1:12" x14ac:dyDescent="0.15">
      <c r="A382" s="34">
        <v>46127.373761574097</v>
      </c>
      <c r="B382" t="s">
        <v>107</v>
      </c>
      <c r="C382" t="s">
        <v>108</v>
      </c>
      <c r="D382" t="s">
        <v>16</v>
      </c>
      <c r="E382" t="s">
        <v>549</v>
      </c>
      <c r="F382" t="s">
        <v>590</v>
      </c>
      <c r="G382" t="s">
        <v>621</v>
      </c>
      <c r="H382" t="s">
        <v>621</v>
      </c>
      <c r="I382" t="s">
        <v>621</v>
      </c>
      <c r="J382" t="s">
        <v>621</v>
      </c>
      <c r="K382">
        <v>8.5</v>
      </c>
      <c r="L382" t="s">
        <v>66</v>
      </c>
    </row>
    <row r="383" spans="1:12" x14ac:dyDescent="0.15">
      <c r="A383" s="34">
        <v>46127.366805555597</v>
      </c>
      <c r="B383" t="s">
        <v>201</v>
      </c>
      <c r="C383" t="s">
        <v>202</v>
      </c>
      <c r="D383" t="s">
        <v>16</v>
      </c>
      <c r="E383" t="s">
        <v>550</v>
      </c>
      <c r="F383" t="s">
        <v>581</v>
      </c>
      <c r="G383" t="s">
        <v>621</v>
      </c>
      <c r="H383" t="s">
        <v>621</v>
      </c>
      <c r="I383" t="s">
        <v>621</v>
      </c>
      <c r="J383" t="s">
        <v>621</v>
      </c>
      <c r="K383">
        <v>8.5</v>
      </c>
      <c r="L383" t="s">
        <v>40</v>
      </c>
    </row>
    <row r="384" spans="1:12" x14ac:dyDescent="0.15">
      <c r="A384" s="34">
        <v>46127.364652777796</v>
      </c>
      <c r="B384" t="s">
        <v>79</v>
      </c>
      <c r="C384" t="s">
        <v>80</v>
      </c>
      <c r="D384" t="s">
        <v>16</v>
      </c>
      <c r="E384" t="s">
        <v>550</v>
      </c>
      <c r="F384" t="s">
        <v>585</v>
      </c>
      <c r="G384" t="s">
        <v>621</v>
      </c>
      <c r="H384" t="s">
        <v>621</v>
      </c>
      <c r="I384" t="s">
        <v>621</v>
      </c>
      <c r="J384" t="s">
        <v>621</v>
      </c>
      <c r="K384">
        <v>2.8332999999999999</v>
      </c>
      <c r="L384" t="s">
        <v>625</v>
      </c>
    </row>
    <row r="385" spans="1:12" x14ac:dyDescent="0.15">
      <c r="A385" s="34">
        <v>46127.364548611098</v>
      </c>
      <c r="B385" t="s">
        <v>79</v>
      </c>
      <c r="C385" t="s">
        <v>80</v>
      </c>
      <c r="D385" t="s">
        <v>16</v>
      </c>
      <c r="E385" t="s">
        <v>550</v>
      </c>
      <c r="F385" t="s">
        <v>605</v>
      </c>
      <c r="G385" t="s">
        <v>621</v>
      </c>
      <c r="H385" t="s">
        <v>621</v>
      </c>
      <c r="I385" t="s">
        <v>621</v>
      </c>
      <c r="J385" t="s">
        <v>621</v>
      </c>
      <c r="K385">
        <v>2.8332999999999999</v>
      </c>
      <c r="L385" t="s">
        <v>40</v>
      </c>
    </row>
    <row r="386" spans="1:12" x14ac:dyDescent="0.15">
      <c r="A386" s="34">
        <v>46127.363472222198</v>
      </c>
      <c r="B386" t="s">
        <v>176</v>
      </c>
      <c r="C386" t="s">
        <v>177</v>
      </c>
      <c r="D386" t="s">
        <v>16</v>
      </c>
      <c r="E386" t="s">
        <v>549</v>
      </c>
      <c r="F386" t="s">
        <v>595</v>
      </c>
      <c r="G386" t="s">
        <v>621</v>
      </c>
      <c r="H386" t="s">
        <v>621</v>
      </c>
      <c r="I386" t="s">
        <v>621</v>
      </c>
      <c r="J386" t="s">
        <v>621</v>
      </c>
      <c r="K386">
        <v>4.25</v>
      </c>
      <c r="L386" t="s">
        <v>29</v>
      </c>
    </row>
    <row r="387" spans="1:12" x14ac:dyDescent="0.15">
      <c r="A387" s="34">
        <v>46127.363391203697</v>
      </c>
      <c r="B387" t="s">
        <v>176</v>
      </c>
      <c r="C387" t="s">
        <v>177</v>
      </c>
      <c r="D387" t="s">
        <v>16</v>
      </c>
      <c r="E387" t="s">
        <v>549</v>
      </c>
      <c r="F387" t="s">
        <v>601</v>
      </c>
      <c r="G387" t="s">
        <v>621</v>
      </c>
      <c r="H387" t="s">
        <v>621</v>
      </c>
      <c r="I387" t="s">
        <v>621</v>
      </c>
      <c r="J387" t="s">
        <v>621</v>
      </c>
      <c r="K387">
        <v>4.25</v>
      </c>
      <c r="L387" t="s">
        <v>40</v>
      </c>
    </row>
    <row r="388" spans="1:12" x14ac:dyDescent="0.15">
      <c r="A388" s="34">
        <v>46127.358425925901</v>
      </c>
      <c r="B388" t="s">
        <v>245</v>
      </c>
      <c r="C388" t="s">
        <v>246</v>
      </c>
      <c r="D388" t="s">
        <v>16</v>
      </c>
      <c r="E388" t="s">
        <v>550</v>
      </c>
      <c r="F388" t="s">
        <v>585</v>
      </c>
      <c r="G388" t="s">
        <v>621</v>
      </c>
      <c r="H388" t="s">
        <v>621</v>
      </c>
      <c r="I388" t="s">
        <v>621</v>
      </c>
      <c r="J388" t="s">
        <v>621</v>
      </c>
      <c r="K388">
        <v>8.5</v>
      </c>
      <c r="L388" t="s">
        <v>29</v>
      </c>
    </row>
    <row r="389" spans="1:12" x14ac:dyDescent="0.15">
      <c r="A389" s="34">
        <v>46127.357974537001</v>
      </c>
      <c r="B389" t="s">
        <v>57</v>
      </c>
      <c r="C389" t="s">
        <v>58</v>
      </c>
      <c r="D389" t="s">
        <v>16</v>
      </c>
      <c r="E389" t="s">
        <v>549</v>
      </c>
      <c r="F389" t="s">
        <v>601</v>
      </c>
      <c r="G389" t="s">
        <v>621</v>
      </c>
      <c r="H389" t="s">
        <v>621</v>
      </c>
      <c r="I389" t="s">
        <v>621</v>
      </c>
      <c r="J389" t="s">
        <v>621</v>
      </c>
      <c r="K389">
        <v>4.25</v>
      </c>
      <c r="L389" t="s">
        <v>40</v>
      </c>
    </row>
    <row r="390" spans="1:12" x14ac:dyDescent="0.15">
      <c r="A390" s="34">
        <v>46127.357870370397</v>
      </c>
      <c r="B390" t="s">
        <v>57</v>
      </c>
      <c r="C390" t="s">
        <v>58</v>
      </c>
      <c r="D390" t="s">
        <v>16</v>
      </c>
      <c r="E390" t="s">
        <v>549</v>
      </c>
      <c r="F390" t="s">
        <v>595</v>
      </c>
      <c r="G390" t="s">
        <v>621</v>
      </c>
      <c r="H390" t="s">
        <v>621</v>
      </c>
      <c r="I390" t="s">
        <v>621</v>
      </c>
      <c r="J390" t="s">
        <v>621</v>
      </c>
      <c r="K390">
        <v>4.25</v>
      </c>
      <c r="L390" t="s">
        <v>29</v>
      </c>
    </row>
    <row r="391" spans="1:12" x14ac:dyDescent="0.15">
      <c r="A391" s="34">
        <v>46127.348310185203</v>
      </c>
      <c r="B391" t="s">
        <v>219</v>
      </c>
      <c r="C391" t="s">
        <v>220</v>
      </c>
      <c r="D391" t="s">
        <v>16</v>
      </c>
      <c r="E391" t="s">
        <v>549</v>
      </c>
      <c r="F391" t="s">
        <v>579</v>
      </c>
      <c r="G391" t="s">
        <v>621</v>
      </c>
      <c r="H391" t="s">
        <v>621</v>
      </c>
      <c r="I391" t="s">
        <v>621</v>
      </c>
      <c r="J391" t="s">
        <v>621</v>
      </c>
      <c r="K391">
        <v>8.5</v>
      </c>
      <c r="L391" t="s">
        <v>66</v>
      </c>
    </row>
    <row r="392" spans="1:12" x14ac:dyDescent="0.15">
      <c r="A392" s="34">
        <v>46127.343229166698</v>
      </c>
      <c r="B392" t="s">
        <v>216</v>
      </c>
      <c r="C392" t="s">
        <v>217</v>
      </c>
      <c r="D392" t="s">
        <v>16</v>
      </c>
      <c r="E392" t="s">
        <v>550</v>
      </c>
      <c r="F392" t="s">
        <v>218</v>
      </c>
      <c r="G392" t="s">
        <v>621</v>
      </c>
      <c r="H392" t="s">
        <v>621</v>
      </c>
      <c r="I392" t="s">
        <v>621</v>
      </c>
      <c r="J392" t="s">
        <v>621</v>
      </c>
      <c r="K392">
        <v>4.25</v>
      </c>
      <c r="L392" t="s">
        <v>29</v>
      </c>
    </row>
    <row r="393" spans="1:12" x14ac:dyDescent="0.15">
      <c r="A393" s="34">
        <v>46127.343182870398</v>
      </c>
      <c r="B393" t="s">
        <v>216</v>
      </c>
      <c r="C393" t="s">
        <v>217</v>
      </c>
      <c r="D393" t="s">
        <v>16</v>
      </c>
      <c r="E393" t="s">
        <v>550</v>
      </c>
      <c r="F393" t="s">
        <v>598</v>
      </c>
      <c r="G393" t="s">
        <v>621</v>
      </c>
      <c r="H393" t="s">
        <v>621</v>
      </c>
      <c r="I393" t="s">
        <v>621</v>
      </c>
      <c r="J393" t="s">
        <v>621</v>
      </c>
      <c r="K393">
        <v>4.25</v>
      </c>
      <c r="L393" t="s">
        <v>29</v>
      </c>
    </row>
    <row r="394" spans="1:12" x14ac:dyDescent="0.15">
      <c r="A394" s="34">
        <v>46126.999988425901</v>
      </c>
      <c r="B394" t="s">
        <v>138</v>
      </c>
      <c r="C394" t="s">
        <v>139</v>
      </c>
      <c r="D394" t="s">
        <v>16</v>
      </c>
      <c r="E394" t="s">
        <v>549</v>
      </c>
      <c r="F394" t="s">
        <v>579</v>
      </c>
      <c r="G394" t="s">
        <v>621</v>
      </c>
      <c r="H394" t="s">
        <v>621</v>
      </c>
      <c r="I394" t="s">
        <v>621</v>
      </c>
      <c r="J394" t="s">
        <v>621</v>
      </c>
      <c r="K394">
        <v>8.5</v>
      </c>
      <c r="L394" t="s">
        <v>45</v>
      </c>
    </row>
    <row r="395" spans="1:12" x14ac:dyDescent="0.15">
      <c r="A395" s="34">
        <v>46126.719398148103</v>
      </c>
      <c r="B395" t="s">
        <v>263</v>
      </c>
      <c r="C395" t="s">
        <v>264</v>
      </c>
      <c r="D395" t="s">
        <v>16</v>
      </c>
      <c r="E395" t="s">
        <v>550</v>
      </c>
      <c r="F395" t="s">
        <v>591</v>
      </c>
      <c r="G395" t="s">
        <v>621</v>
      </c>
      <c r="H395" t="s">
        <v>621</v>
      </c>
      <c r="I395" t="s">
        <v>621</v>
      </c>
      <c r="J395" t="s">
        <v>621</v>
      </c>
      <c r="K395">
        <v>4.25</v>
      </c>
      <c r="L395" t="s">
        <v>45</v>
      </c>
    </row>
    <row r="396" spans="1:12" x14ac:dyDescent="0.15">
      <c r="A396" s="34">
        <v>46126.688101851803</v>
      </c>
      <c r="B396" t="s">
        <v>224</v>
      </c>
      <c r="C396" t="s">
        <v>225</v>
      </c>
      <c r="D396" t="s">
        <v>16</v>
      </c>
      <c r="E396" t="s">
        <v>549</v>
      </c>
      <c r="F396" t="s">
        <v>600</v>
      </c>
      <c r="G396" t="s">
        <v>68</v>
      </c>
      <c r="H396" t="s">
        <v>621</v>
      </c>
      <c r="I396" t="s">
        <v>162</v>
      </c>
      <c r="J396" t="s">
        <v>621</v>
      </c>
      <c r="K396">
        <v>2.8332999999999999</v>
      </c>
      <c r="L396" t="s">
        <v>29</v>
      </c>
    </row>
    <row r="397" spans="1:12" x14ac:dyDescent="0.15">
      <c r="A397" s="34">
        <v>46126.5714814815</v>
      </c>
      <c r="B397" t="s">
        <v>76</v>
      </c>
      <c r="C397" t="s">
        <v>77</v>
      </c>
      <c r="D397" t="s">
        <v>16</v>
      </c>
      <c r="E397" t="s">
        <v>549</v>
      </c>
      <c r="F397" t="s">
        <v>579</v>
      </c>
      <c r="G397" t="s">
        <v>621</v>
      </c>
      <c r="H397" t="s">
        <v>621</v>
      </c>
      <c r="I397" t="s">
        <v>621</v>
      </c>
      <c r="J397" t="s">
        <v>621</v>
      </c>
      <c r="K397">
        <v>8.5</v>
      </c>
      <c r="L397" t="s">
        <v>40</v>
      </c>
    </row>
    <row r="398" spans="1:12" x14ac:dyDescent="0.15">
      <c r="A398" s="34">
        <v>46126.397731481498</v>
      </c>
      <c r="B398" t="s">
        <v>263</v>
      </c>
      <c r="C398" t="s">
        <v>264</v>
      </c>
      <c r="D398" t="s">
        <v>16</v>
      </c>
      <c r="E398" t="s">
        <v>550</v>
      </c>
      <c r="F398" t="s">
        <v>585</v>
      </c>
      <c r="G398" t="s">
        <v>621</v>
      </c>
      <c r="H398" t="s">
        <v>621</v>
      </c>
      <c r="I398" t="s">
        <v>621</v>
      </c>
      <c r="J398" t="s">
        <v>621</v>
      </c>
      <c r="K398">
        <v>4.25</v>
      </c>
      <c r="L398" t="s">
        <v>71</v>
      </c>
    </row>
    <row r="399" spans="1:12" x14ac:dyDescent="0.15">
      <c r="A399" s="34">
        <v>46126.394641203697</v>
      </c>
      <c r="B399" t="s">
        <v>290</v>
      </c>
      <c r="C399" t="s">
        <v>291</v>
      </c>
      <c r="D399" t="s">
        <v>16</v>
      </c>
      <c r="E399" t="s">
        <v>550</v>
      </c>
      <c r="F399" t="s">
        <v>233</v>
      </c>
      <c r="G399" t="s">
        <v>621</v>
      </c>
      <c r="H399" t="s">
        <v>621</v>
      </c>
      <c r="I399" t="s">
        <v>621</v>
      </c>
      <c r="J399" t="s">
        <v>621</v>
      </c>
      <c r="K399">
        <v>8.5</v>
      </c>
      <c r="L399" t="s">
        <v>625</v>
      </c>
    </row>
    <row r="400" spans="1:12" x14ac:dyDescent="0.15">
      <c r="A400" s="34">
        <v>46126.392129629603</v>
      </c>
      <c r="B400" t="s">
        <v>201</v>
      </c>
      <c r="C400" t="s">
        <v>202</v>
      </c>
      <c r="D400" t="s">
        <v>16</v>
      </c>
      <c r="E400" t="s">
        <v>550</v>
      </c>
      <c r="F400" t="s">
        <v>606</v>
      </c>
      <c r="G400" t="s">
        <v>621</v>
      </c>
      <c r="H400" t="s">
        <v>621</v>
      </c>
      <c r="I400" t="s">
        <v>621</v>
      </c>
      <c r="J400" t="s">
        <v>621</v>
      </c>
      <c r="K400">
        <v>8.5</v>
      </c>
      <c r="L400" t="s">
        <v>29</v>
      </c>
    </row>
    <row r="401" spans="1:12" x14ac:dyDescent="0.15">
      <c r="A401" s="34">
        <v>46126.388564814799</v>
      </c>
      <c r="B401" t="s">
        <v>224</v>
      </c>
      <c r="C401" t="s">
        <v>225</v>
      </c>
      <c r="D401" t="s">
        <v>16</v>
      </c>
      <c r="E401" t="s">
        <v>549</v>
      </c>
      <c r="F401" t="s">
        <v>599</v>
      </c>
      <c r="G401" t="s">
        <v>622</v>
      </c>
      <c r="H401" t="s">
        <v>621</v>
      </c>
      <c r="I401" t="s">
        <v>191</v>
      </c>
      <c r="J401" t="s">
        <v>621</v>
      </c>
      <c r="K401">
        <v>2.8332999999999999</v>
      </c>
      <c r="L401" t="s">
        <v>29</v>
      </c>
    </row>
    <row r="402" spans="1:12" x14ac:dyDescent="0.15">
      <c r="A402" s="34">
        <v>46126.386157407404</v>
      </c>
      <c r="B402" t="s">
        <v>156</v>
      </c>
      <c r="C402" t="s">
        <v>157</v>
      </c>
      <c r="D402" t="s">
        <v>16</v>
      </c>
      <c r="E402" t="s">
        <v>549</v>
      </c>
      <c r="F402" t="s">
        <v>582</v>
      </c>
      <c r="G402" t="s">
        <v>621</v>
      </c>
      <c r="H402" t="s">
        <v>621</v>
      </c>
      <c r="I402" t="s">
        <v>621</v>
      </c>
      <c r="J402" t="s">
        <v>621</v>
      </c>
      <c r="K402">
        <v>4.25</v>
      </c>
      <c r="L402" t="s">
        <v>40</v>
      </c>
    </row>
    <row r="403" spans="1:12" x14ac:dyDescent="0.15">
      <c r="A403" s="34">
        <v>46126.385914351798</v>
      </c>
      <c r="B403" t="s">
        <v>156</v>
      </c>
      <c r="C403" t="s">
        <v>157</v>
      </c>
      <c r="D403" t="s">
        <v>16</v>
      </c>
      <c r="E403" t="s">
        <v>549</v>
      </c>
      <c r="F403" t="s">
        <v>595</v>
      </c>
      <c r="G403" t="s">
        <v>621</v>
      </c>
      <c r="H403" t="s">
        <v>621</v>
      </c>
      <c r="I403" t="s">
        <v>621</v>
      </c>
      <c r="J403" t="s">
        <v>621</v>
      </c>
      <c r="K403">
        <v>4.25</v>
      </c>
      <c r="L403" t="s">
        <v>40</v>
      </c>
    </row>
    <row r="404" spans="1:12" x14ac:dyDescent="0.15">
      <c r="A404" s="34">
        <v>46126.384097222202</v>
      </c>
      <c r="B404" t="s">
        <v>148</v>
      </c>
      <c r="C404" t="s">
        <v>149</v>
      </c>
      <c r="D404" t="s">
        <v>16</v>
      </c>
      <c r="E404" t="s">
        <v>550</v>
      </c>
      <c r="F404" t="s">
        <v>585</v>
      </c>
      <c r="G404" t="s">
        <v>621</v>
      </c>
      <c r="H404" t="s">
        <v>621</v>
      </c>
      <c r="I404" t="s">
        <v>621</v>
      </c>
      <c r="J404" t="s">
        <v>621</v>
      </c>
      <c r="K404">
        <v>8.5</v>
      </c>
      <c r="L404" t="s">
        <v>29</v>
      </c>
    </row>
    <row r="405" spans="1:12" x14ac:dyDescent="0.15">
      <c r="A405" s="34">
        <v>46126.382997685199</v>
      </c>
      <c r="B405" t="s">
        <v>224</v>
      </c>
      <c r="C405" t="s">
        <v>225</v>
      </c>
      <c r="D405" t="s">
        <v>16</v>
      </c>
      <c r="E405" t="s">
        <v>549</v>
      </c>
      <c r="F405" t="s">
        <v>586</v>
      </c>
      <c r="G405" t="s">
        <v>622</v>
      </c>
      <c r="H405" t="s">
        <v>621</v>
      </c>
      <c r="I405" t="s">
        <v>238</v>
      </c>
      <c r="J405" t="s">
        <v>621</v>
      </c>
      <c r="K405">
        <v>5.8333000000000004</v>
      </c>
      <c r="L405" t="s">
        <v>45</v>
      </c>
    </row>
    <row r="406" spans="1:12" x14ac:dyDescent="0.15">
      <c r="A406" s="34">
        <v>46126.3805208333</v>
      </c>
      <c r="B406" t="s">
        <v>48</v>
      </c>
      <c r="C406" t="s">
        <v>49</v>
      </c>
      <c r="D406" t="s">
        <v>16</v>
      </c>
      <c r="E406" t="s">
        <v>549</v>
      </c>
      <c r="F406" t="s">
        <v>607</v>
      </c>
      <c r="G406" t="s">
        <v>621</v>
      </c>
      <c r="H406" t="s">
        <v>621</v>
      </c>
      <c r="I406" t="s">
        <v>621</v>
      </c>
      <c r="J406" t="s">
        <v>621</v>
      </c>
      <c r="K406">
        <v>4.25</v>
      </c>
      <c r="L406" t="s">
        <v>29</v>
      </c>
    </row>
    <row r="407" spans="1:12" x14ac:dyDescent="0.15">
      <c r="A407" s="34">
        <v>46126.377199074101</v>
      </c>
      <c r="B407" t="s">
        <v>48</v>
      </c>
      <c r="C407" t="s">
        <v>49</v>
      </c>
      <c r="D407" t="s">
        <v>16</v>
      </c>
      <c r="E407" t="s">
        <v>549</v>
      </c>
      <c r="F407" t="s">
        <v>608</v>
      </c>
      <c r="G407" t="s">
        <v>621</v>
      </c>
      <c r="H407" t="s">
        <v>621</v>
      </c>
      <c r="I407" t="s">
        <v>621</v>
      </c>
      <c r="J407" t="s">
        <v>621</v>
      </c>
      <c r="K407">
        <v>4.25</v>
      </c>
      <c r="L407" t="s">
        <v>29</v>
      </c>
    </row>
    <row r="408" spans="1:12" x14ac:dyDescent="0.15">
      <c r="A408" s="34">
        <v>46126.370208333297</v>
      </c>
      <c r="B408" t="s">
        <v>107</v>
      </c>
      <c r="C408" t="s">
        <v>108</v>
      </c>
      <c r="D408" t="s">
        <v>16</v>
      </c>
      <c r="E408" t="s">
        <v>549</v>
      </c>
      <c r="F408" t="s">
        <v>590</v>
      </c>
      <c r="G408" t="s">
        <v>621</v>
      </c>
      <c r="H408" t="s">
        <v>621</v>
      </c>
      <c r="I408" t="s">
        <v>621</v>
      </c>
      <c r="J408" t="s">
        <v>621</v>
      </c>
      <c r="K408">
        <v>8.5</v>
      </c>
      <c r="L408" t="s">
        <v>29</v>
      </c>
    </row>
    <row r="409" spans="1:12" x14ac:dyDescent="0.15">
      <c r="A409" s="34">
        <v>46126.369386574101</v>
      </c>
      <c r="B409" t="s">
        <v>57</v>
      </c>
      <c r="C409" t="s">
        <v>58</v>
      </c>
      <c r="D409" t="s">
        <v>16</v>
      </c>
      <c r="E409" t="s">
        <v>549</v>
      </c>
      <c r="F409" t="s">
        <v>601</v>
      </c>
      <c r="G409" t="s">
        <v>621</v>
      </c>
      <c r="H409" t="s">
        <v>621</v>
      </c>
      <c r="I409" t="s">
        <v>621</v>
      </c>
      <c r="J409" t="s">
        <v>621</v>
      </c>
      <c r="K409">
        <v>8.5</v>
      </c>
      <c r="L409" t="s">
        <v>29</v>
      </c>
    </row>
    <row r="410" spans="1:12" x14ac:dyDescent="0.15">
      <c r="A410" s="34">
        <v>46126.368784722203</v>
      </c>
      <c r="B410" t="s">
        <v>176</v>
      </c>
      <c r="C410" t="s">
        <v>177</v>
      </c>
      <c r="D410" t="s">
        <v>16</v>
      </c>
      <c r="E410" t="s">
        <v>549</v>
      </c>
      <c r="F410" t="s">
        <v>601</v>
      </c>
      <c r="G410" t="s">
        <v>621</v>
      </c>
      <c r="H410" t="s">
        <v>621</v>
      </c>
      <c r="I410" t="s">
        <v>621</v>
      </c>
      <c r="J410" t="s">
        <v>621</v>
      </c>
      <c r="K410">
        <v>8.5</v>
      </c>
      <c r="L410" t="s">
        <v>40</v>
      </c>
    </row>
    <row r="411" spans="1:12" x14ac:dyDescent="0.15">
      <c r="A411" s="34">
        <v>46126.362951388903</v>
      </c>
      <c r="B411" t="s">
        <v>79</v>
      </c>
      <c r="C411" t="s">
        <v>80</v>
      </c>
      <c r="D411" t="s">
        <v>16</v>
      </c>
      <c r="E411" t="s">
        <v>550</v>
      </c>
      <c r="F411" t="s">
        <v>585</v>
      </c>
      <c r="G411" t="s">
        <v>621</v>
      </c>
      <c r="H411" t="s">
        <v>621</v>
      </c>
      <c r="I411" t="s">
        <v>621</v>
      </c>
      <c r="J411" t="s">
        <v>621</v>
      </c>
      <c r="K411">
        <v>8.5</v>
      </c>
      <c r="L411" t="s">
        <v>40</v>
      </c>
    </row>
    <row r="412" spans="1:12" x14ac:dyDescent="0.15">
      <c r="A412" s="34">
        <v>46126.353842592602</v>
      </c>
      <c r="B412" t="s">
        <v>245</v>
      </c>
      <c r="C412" t="s">
        <v>246</v>
      </c>
      <c r="D412" t="s">
        <v>16</v>
      </c>
      <c r="E412" t="s">
        <v>550</v>
      </c>
      <c r="F412" t="s">
        <v>585</v>
      </c>
      <c r="G412" t="s">
        <v>621</v>
      </c>
      <c r="H412" t="s">
        <v>621</v>
      </c>
      <c r="I412" t="s">
        <v>621</v>
      </c>
      <c r="J412" t="s">
        <v>621</v>
      </c>
      <c r="K412">
        <v>8.5</v>
      </c>
      <c r="L412" t="s">
        <v>66</v>
      </c>
    </row>
    <row r="413" spans="1:12" x14ac:dyDescent="0.15">
      <c r="A413" s="34">
        <v>46126.345648148097</v>
      </c>
      <c r="B413" t="s">
        <v>216</v>
      </c>
      <c r="C413" t="s">
        <v>217</v>
      </c>
      <c r="D413" t="s">
        <v>16</v>
      </c>
      <c r="E413" t="s">
        <v>550</v>
      </c>
      <c r="F413" t="s">
        <v>218</v>
      </c>
      <c r="G413" t="s">
        <v>621</v>
      </c>
      <c r="H413" t="s">
        <v>621</v>
      </c>
      <c r="I413" t="s">
        <v>621</v>
      </c>
      <c r="J413" t="s">
        <v>621</v>
      </c>
      <c r="K413">
        <v>4.25</v>
      </c>
      <c r="L413" t="s">
        <v>29</v>
      </c>
    </row>
    <row r="414" spans="1:12" x14ac:dyDescent="0.15">
      <c r="A414" s="34">
        <v>46126.345613425903</v>
      </c>
      <c r="B414" t="s">
        <v>216</v>
      </c>
      <c r="C414" t="s">
        <v>217</v>
      </c>
      <c r="D414" t="s">
        <v>16</v>
      </c>
      <c r="E414" t="s">
        <v>550</v>
      </c>
      <c r="F414" t="s">
        <v>598</v>
      </c>
      <c r="G414" t="s">
        <v>621</v>
      </c>
      <c r="H414" t="s">
        <v>621</v>
      </c>
      <c r="I414" t="s">
        <v>621</v>
      </c>
      <c r="J414" t="s">
        <v>621</v>
      </c>
      <c r="K414">
        <v>4.25</v>
      </c>
      <c r="L414" t="s">
        <v>29</v>
      </c>
    </row>
    <row r="415" spans="1:12" x14ac:dyDescent="0.15">
      <c r="A415" s="34">
        <v>46126.323680555601</v>
      </c>
      <c r="B415" t="s">
        <v>219</v>
      </c>
      <c r="C415" t="s">
        <v>220</v>
      </c>
      <c r="D415" t="s">
        <v>16</v>
      </c>
      <c r="E415" t="s">
        <v>549</v>
      </c>
      <c r="F415" t="s">
        <v>602</v>
      </c>
      <c r="G415" t="s">
        <v>621</v>
      </c>
      <c r="H415" t="s">
        <v>621</v>
      </c>
      <c r="I415" t="s">
        <v>621</v>
      </c>
      <c r="J415" t="s">
        <v>621</v>
      </c>
      <c r="K415">
        <v>4.25</v>
      </c>
      <c r="L415" t="s">
        <v>29</v>
      </c>
    </row>
    <row r="416" spans="1:12" x14ac:dyDescent="0.15">
      <c r="A416" s="34">
        <v>46126.323611111096</v>
      </c>
      <c r="B416" t="s">
        <v>219</v>
      </c>
      <c r="C416" t="s">
        <v>220</v>
      </c>
      <c r="D416" t="s">
        <v>16</v>
      </c>
      <c r="E416" t="s">
        <v>549</v>
      </c>
      <c r="F416" t="s">
        <v>579</v>
      </c>
      <c r="G416" t="s">
        <v>621</v>
      </c>
      <c r="H416" t="s">
        <v>621</v>
      </c>
      <c r="I416" t="s">
        <v>621</v>
      </c>
      <c r="J416" t="s">
        <v>621</v>
      </c>
      <c r="K416">
        <v>4.25</v>
      </c>
      <c r="L416" t="s">
        <v>29</v>
      </c>
    </row>
    <row r="417" spans="1:12" x14ac:dyDescent="0.15">
      <c r="A417" s="34">
        <v>46125.760150463</v>
      </c>
      <c r="B417" t="s">
        <v>224</v>
      </c>
      <c r="C417" t="s">
        <v>225</v>
      </c>
      <c r="D417" t="s">
        <v>16</v>
      </c>
      <c r="E417" t="s">
        <v>549</v>
      </c>
      <c r="F417" t="s">
        <v>586</v>
      </c>
      <c r="G417" t="s">
        <v>622</v>
      </c>
      <c r="H417" t="s">
        <v>621</v>
      </c>
      <c r="I417" t="s">
        <v>238</v>
      </c>
      <c r="J417" t="s">
        <v>621</v>
      </c>
      <c r="K417">
        <v>2.8332999999999999</v>
      </c>
      <c r="L417" t="s">
        <v>40</v>
      </c>
    </row>
    <row r="418" spans="1:12" x14ac:dyDescent="0.15">
      <c r="A418" s="34">
        <v>46125.648831018501</v>
      </c>
      <c r="B418" t="s">
        <v>176</v>
      </c>
      <c r="C418" t="s">
        <v>177</v>
      </c>
      <c r="D418" t="s">
        <v>16</v>
      </c>
      <c r="E418" t="s">
        <v>549</v>
      </c>
      <c r="F418" t="s">
        <v>595</v>
      </c>
      <c r="G418" t="s">
        <v>621</v>
      </c>
      <c r="H418" t="s">
        <v>621</v>
      </c>
      <c r="I418" t="s">
        <v>621</v>
      </c>
      <c r="J418" t="s">
        <v>621</v>
      </c>
      <c r="K418">
        <v>4.25</v>
      </c>
      <c r="L418" t="s">
        <v>40</v>
      </c>
    </row>
    <row r="419" spans="1:12" x14ac:dyDescent="0.15">
      <c r="A419" s="34">
        <v>46125.622280092597</v>
      </c>
      <c r="B419" t="s">
        <v>57</v>
      </c>
      <c r="C419" t="s">
        <v>58</v>
      </c>
      <c r="D419" t="s">
        <v>16</v>
      </c>
      <c r="E419" t="s">
        <v>549</v>
      </c>
      <c r="F419" t="s">
        <v>595</v>
      </c>
      <c r="G419" t="s">
        <v>621</v>
      </c>
      <c r="H419" t="s">
        <v>621</v>
      </c>
      <c r="I419" t="s">
        <v>621</v>
      </c>
      <c r="J419" t="s">
        <v>621</v>
      </c>
      <c r="K419">
        <v>4.25</v>
      </c>
      <c r="L419" t="s">
        <v>45</v>
      </c>
    </row>
    <row r="420" spans="1:12" x14ac:dyDescent="0.15">
      <c r="A420" s="34">
        <v>46125.452893518501</v>
      </c>
      <c r="B420" t="s">
        <v>224</v>
      </c>
      <c r="C420" t="s">
        <v>225</v>
      </c>
      <c r="D420" t="s">
        <v>16</v>
      </c>
      <c r="E420" t="s">
        <v>549</v>
      </c>
      <c r="F420" t="s">
        <v>600</v>
      </c>
      <c r="G420" t="s">
        <v>68</v>
      </c>
      <c r="H420" t="s">
        <v>621</v>
      </c>
      <c r="I420" t="s">
        <v>162</v>
      </c>
      <c r="J420" t="s">
        <v>621</v>
      </c>
      <c r="K420">
        <v>6.3333000000000004</v>
      </c>
      <c r="L420" t="s">
        <v>29</v>
      </c>
    </row>
    <row r="421" spans="1:12" x14ac:dyDescent="0.15">
      <c r="A421" s="34">
        <v>46125.452696759297</v>
      </c>
      <c r="B421" t="s">
        <v>224</v>
      </c>
      <c r="C421" t="s">
        <v>225</v>
      </c>
      <c r="D421" t="s">
        <v>16</v>
      </c>
      <c r="E421" t="s">
        <v>549</v>
      </c>
      <c r="F421" t="s">
        <v>599</v>
      </c>
      <c r="G421" t="s">
        <v>622</v>
      </c>
      <c r="H421" t="s">
        <v>621</v>
      </c>
      <c r="I421" t="s">
        <v>191</v>
      </c>
      <c r="J421" t="s">
        <v>621</v>
      </c>
      <c r="K421">
        <v>2.8332999999999999</v>
      </c>
      <c r="L421" t="s">
        <v>29</v>
      </c>
    </row>
    <row r="422" spans="1:12" x14ac:dyDescent="0.15">
      <c r="A422" s="34">
        <v>46125.398252314801</v>
      </c>
      <c r="B422" t="s">
        <v>57</v>
      </c>
      <c r="C422" t="s">
        <v>58</v>
      </c>
      <c r="D422" t="s">
        <v>16</v>
      </c>
      <c r="E422" t="s">
        <v>549</v>
      </c>
      <c r="F422" t="s">
        <v>601</v>
      </c>
      <c r="G422" t="s">
        <v>621</v>
      </c>
      <c r="H422" t="s">
        <v>621</v>
      </c>
      <c r="I422" t="s">
        <v>621</v>
      </c>
      <c r="J422" t="s">
        <v>621</v>
      </c>
      <c r="K422">
        <v>4.25</v>
      </c>
      <c r="L422" t="s">
        <v>29</v>
      </c>
    </row>
    <row r="423" spans="1:12" x14ac:dyDescent="0.15">
      <c r="A423" s="34">
        <v>46125.384178240703</v>
      </c>
      <c r="B423" t="s">
        <v>48</v>
      </c>
      <c r="C423" t="s">
        <v>49</v>
      </c>
      <c r="D423" t="s">
        <v>16</v>
      </c>
      <c r="E423" t="s">
        <v>549</v>
      </c>
      <c r="F423" t="s">
        <v>608</v>
      </c>
      <c r="G423" t="s">
        <v>621</v>
      </c>
      <c r="H423" t="s">
        <v>621</v>
      </c>
      <c r="I423" t="s">
        <v>621</v>
      </c>
      <c r="J423" t="s">
        <v>621</v>
      </c>
      <c r="K423">
        <v>8.5</v>
      </c>
      <c r="L423" t="s">
        <v>29</v>
      </c>
    </row>
    <row r="424" spans="1:12" x14ac:dyDescent="0.15">
      <c r="A424" s="34">
        <v>46125.380787037</v>
      </c>
      <c r="B424" t="s">
        <v>76</v>
      </c>
      <c r="C424" t="s">
        <v>77</v>
      </c>
      <c r="D424" t="s">
        <v>16</v>
      </c>
      <c r="E424" t="s">
        <v>549</v>
      </c>
      <c r="F424" t="s">
        <v>579</v>
      </c>
      <c r="G424" t="s">
        <v>621</v>
      </c>
      <c r="H424" t="s">
        <v>621</v>
      </c>
      <c r="I424" t="s">
        <v>621</v>
      </c>
      <c r="J424" t="s">
        <v>621</v>
      </c>
      <c r="K424">
        <v>8.5</v>
      </c>
      <c r="L424" t="s">
        <v>40</v>
      </c>
    </row>
    <row r="425" spans="1:12" x14ac:dyDescent="0.15">
      <c r="A425" s="34">
        <v>46125.380034722199</v>
      </c>
      <c r="B425" t="s">
        <v>148</v>
      </c>
      <c r="C425" t="s">
        <v>149</v>
      </c>
      <c r="D425" t="s">
        <v>16</v>
      </c>
      <c r="E425" t="s">
        <v>550</v>
      </c>
      <c r="F425" t="s">
        <v>585</v>
      </c>
      <c r="G425" t="s">
        <v>621</v>
      </c>
      <c r="H425" t="s">
        <v>621</v>
      </c>
      <c r="I425" t="s">
        <v>621</v>
      </c>
      <c r="J425" t="s">
        <v>621</v>
      </c>
      <c r="K425">
        <v>8.5</v>
      </c>
      <c r="L425" t="s">
        <v>40</v>
      </c>
    </row>
    <row r="426" spans="1:12" x14ac:dyDescent="0.15">
      <c r="A426" s="34">
        <v>46125.379837963003</v>
      </c>
      <c r="B426" t="s">
        <v>79</v>
      </c>
      <c r="C426" t="s">
        <v>80</v>
      </c>
      <c r="D426" t="s">
        <v>16</v>
      </c>
      <c r="E426" t="s">
        <v>550</v>
      </c>
      <c r="F426" t="s">
        <v>585</v>
      </c>
      <c r="G426" t="s">
        <v>621</v>
      </c>
      <c r="H426" t="s">
        <v>621</v>
      </c>
      <c r="I426" t="s">
        <v>621</v>
      </c>
      <c r="J426" t="s">
        <v>621</v>
      </c>
      <c r="K426">
        <v>8.5</v>
      </c>
      <c r="L426" t="s">
        <v>625</v>
      </c>
    </row>
    <row r="427" spans="1:12" x14ac:dyDescent="0.15">
      <c r="A427" s="34">
        <v>46125.376134259299</v>
      </c>
      <c r="B427" t="s">
        <v>201</v>
      </c>
      <c r="C427" t="s">
        <v>202</v>
      </c>
      <c r="D427" t="s">
        <v>16</v>
      </c>
      <c r="E427" t="s">
        <v>550</v>
      </c>
      <c r="F427" t="s">
        <v>606</v>
      </c>
      <c r="G427" t="s">
        <v>621</v>
      </c>
      <c r="H427" t="s">
        <v>621</v>
      </c>
      <c r="I427" t="s">
        <v>621</v>
      </c>
      <c r="J427" t="s">
        <v>621</v>
      </c>
      <c r="K427">
        <v>8.5</v>
      </c>
      <c r="L427" t="s">
        <v>41</v>
      </c>
    </row>
    <row r="428" spans="1:12" x14ac:dyDescent="0.15">
      <c r="A428" s="34">
        <v>46125.373900462997</v>
      </c>
      <c r="B428" t="s">
        <v>138</v>
      </c>
      <c r="C428" t="s">
        <v>139</v>
      </c>
      <c r="D428" t="s">
        <v>16</v>
      </c>
      <c r="E428" t="s">
        <v>549</v>
      </c>
      <c r="F428" t="s">
        <v>141</v>
      </c>
      <c r="G428" t="s">
        <v>621</v>
      </c>
      <c r="H428" t="s">
        <v>621</v>
      </c>
      <c r="I428" t="s">
        <v>621</v>
      </c>
      <c r="J428" t="s">
        <v>621</v>
      </c>
      <c r="K428">
        <v>4.25</v>
      </c>
      <c r="L428" t="s">
        <v>29</v>
      </c>
    </row>
    <row r="429" spans="1:12" x14ac:dyDescent="0.15">
      <c r="A429" s="34">
        <v>46125.373773148203</v>
      </c>
      <c r="B429" t="s">
        <v>138</v>
      </c>
      <c r="C429" t="s">
        <v>139</v>
      </c>
      <c r="D429" t="s">
        <v>16</v>
      </c>
      <c r="E429" t="s">
        <v>549</v>
      </c>
      <c r="F429" t="s">
        <v>579</v>
      </c>
      <c r="G429" t="s">
        <v>621</v>
      </c>
      <c r="H429" t="s">
        <v>621</v>
      </c>
      <c r="I429" t="s">
        <v>621</v>
      </c>
      <c r="J429" t="s">
        <v>621</v>
      </c>
      <c r="K429">
        <v>4.25</v>
      </c>
      <c r="L429" t="s">
        <v>40</v>
      </c>
    </row>
    <row r="430" spans="1:12" x14ac:dyDescent="0.15">
      <c r="A430" s="34">
        <v>46125.3737384259</v>
      </c>
      <c r="B430" t="s">
        <v>263</v>
      </c>
      <c r="C430" t="s">
        <v>264</v>
      </c>
      <c r="D430" t="s">
        <v>16</v>
      </c>
      <c r="E430" t="s">
        <v>550</v>
      </c>
      <c r="F430" t="s">
        <v>585</v>
      </c>
      <c r="G430" t="s">
        <v>621</v>
      </c>
      <c r="H430" t="s">
        <v>621</v>
      </c>
      <c r="I430" t="s">
        <v>621</v>
      </c>
      <c r="J430" t="s">
        <v>621</v>
      </c>
      <c r="K430">
        <v>8.5</v>
      </c>
      <c r="L430" t="s">
        <v>29</v>
      </c>
    </row>
    <row r="431" spans="1:12" x14ac:dyDescent="0.15">
      <c r="A431" s="34">
        <v>46125.371539351901</v>
      </c>
      <c r="B431" t="s">
        <v>156</v>
      </c>
      <c r="C431" t="s">
        <v>157</v>
      </c>
      <c r="D431" t="s">
        <v>16</v>
      </c>
      <c r="E431" t="s">
        <v>549</v>
      </c>
      <c r="F431" t="s">
        <v>582</v>
      </c>
      <c r="G431" t="s">
        <v>621</v>
      </c>
      <c r="H431" t="s">
        <v>621</v>
      </c>
      <c r="I431" t="s">
        <v>621</v>
      </c>
      <c r="J431" t="s">
        <v>621</v>
      </c>
      <c r="K431">
        <v>8.5</v>
      </c>
      <c r="L431" t="s">
        <v>29</v>
      </c>
    </row>
    <row r="432" spans="1:12" x14ac:dyDescent="0.15">
      <c r="A432" s="34">
        <v>46125.369918981502</v>
      </c>
      <c r="B432" t="s">
        <v>176</v>
      </c>
      <c r="C432" t="s">
        <v>177</v>
      </c>
      <c r="D432" t="s">
        <v>16</v>
      </c>
      <c r="E432" t="s">
        <v>549</v>
      </c>
      <c r="F432" t="s">
        <v>601</v>
      </c>
      <c r="G432" t="s">
        <v>621</v>
      </c>
      <c r="H432" t="s">
        <v>621</v>
      </c>
      <c r="I432" t="s">
        <v>621</v>
      </c>
      <c r="J432" t="s">
        <v>621</v>
      </c>
      <c r="K432">
        <v>4.25</v>
      </c>
      <c r="L432" t="s">
        <v>40</v>
      </c>
    </row>
    <row r="433" spans="1:12" x14ac:dyDescent="0.15">
      <c r="A433" s="34">
        <v>46125.369270833296</v>
      </c>
      <c r="B433" t="s">
        <v>290</v>
      </c>
      <c r="C433" t="s">
        <v>291</v>
      </c>
      <c r="D433" t="s">
        <v>16</v>
      </c>
      <c r="E433" t="s">
        <v>550</v>
      </c>
      <c r="F433" t="s">
        <v>585</v>
      </c>
      <c r="G433" t="s">
        <v>621</v>
      </c>
      <c r="H433" t="s">
        <v>621</v>
      </c>
      <c r="I433" t="s">
        <v>621</v>
      </c>
      <c r="J433" t="s">
        <v>621</v>
      </c>
      <c r="K433">
        <v>8.5</v>
      </c>
      <c r="L433" t="s">
        <v>29</v>
      </c>
    </row>
    <row r="434" spans="1:12" x14ac:dyDescent="0.15">
      <c r="A434" s="34">
        <v>46125.368888888901</v>
      </c>
      <c r="B434" t="s">
        <v>107</v>
      </c>
      <c r="C434" t="s">
        <v>108</v>
      </c>
      <c r="D434" t="s">
        <v>16</v>
      </c>
      <c r="E434" t="s">
        <v>549</v>
      </c>
      <c r="F434" t="s">
        <v>590</v>
      </c>
      <c r="G434" t="s">
        <v>621</v>
      </c>
      <c r="H434" t="s">
        <v>621</v>
      </c>
      <c r="I434" t="s">
        <v>621</v>
      </c>
      <c r="J434" t="s">
        <v>621</v>
      </c>
      <c r="K434">
        <v>8.5</v>
      </c>
      <c r="L434" t="s">
        <v>40</v>
      </c>
    </row>
    <row r="435" spans="1:12" x14ac:dyDescent="0.15">
      <c r="A435" s="34">
        <v>46125.363495370402</v>
      </c>
      <c r="B435" t="s">
        <v>245</v>
      </c>
      <c r="C435" t="s">
        <v>246</v>
      </c>
      <c r="D435" t="s">
        <v>16</v>
      </c>
      <c r="E435" t="s">
        <v>550</v>
      </c>
      <c r="F435" t="s">
        <v>585</v>
      </c>
      <c r="G435" t="s">
        <v>621</v>
      </c>
      <c r="H435" t="s">
        <v>621</v>
      </c>
      <c r="I435" t="s">
        <v>621</v>
      </c>
      <c r="J435" t="s">
        <v>621</v>
      </c>
      <c r="K435">
        <v>4.25</v>
      </c>
      <c r="L435" t="s">
        <v>66</v>
      </c>
    </row>
    <row r="436" spans="1:12" x14ac:dyDescent="0.15">
      <c r="A436" s="34">
        <v>46125.362881944398</v>
      </c>
      <c r="B436" t="s">
        <v>245</v>
      </c>
      <c r="C436" t="s">
        <v>246</v>
      </c>
      <c r="D436" t="s">
        <v>16</v>
      </c>
      <c r="E436" t="s">
        <v>550</v>
      </c>
      <c r="F436" t="s">
        <v>609</v>
      </c>
      <c r="G436" t="s">
        <v>621</v>
      </c>
      <c r="H436" t="s">
        <v>621</v>
      </c>
      <c r="I436" t="s">
        <v>621</v>
      </c>
      <c r="J436" t="s">
        <v>621</v>
      </c>
      <c r="K436">
        <v>4.25</v>
      </c>
      <c r="L436" t="s">
        <v>29</v>
      </c>
    </row>
    <row r="437" spans="1:12" x14ac:dyDescent="0.15">
      <c r="A437" s="34">
        <v>46125.360115740703</v>
      </c>
      <c r="B437" t="s">
        <v>219</v>
      </c>
      <c r="C437" t="s">
        <v>220</v>
      </c>
      <c r="D437" t="s">
        <v>16</v>
      </c>
      <c r="E437" t="s">
        <v>549</v>
      </c>
      <c r="F437" t="s">
        <v>579</v>
      </c>
      <c r="G437" t="s">
        <v>621</v>
      </c>
      <c r="H437" t="s">
        <v>621</v>
      </c>
      <c r="I437" t="s">
        <v>621</v>
      </c>
      <c r="J437" t="s">
        <v>621</v>
      </c>
      <c r="K437">
        <v>8.5</v>
      </c>
      <c r="L437" t="s">
        <v>66</v>
      </c>
    </row>
    <row r="438" spans="1:12" x14ac:dyDescent="0.15">
      <c r="A438" s="34">
        <v>46125.348240740699</v>
      </c>
      <c r="B438" t="s">
        <v>216</v>
      </c>
      <c r="C438" t="s">
        <v>217</v>
      </c>
      <c r="D438" t="s">
        <v>16</v>
      </c>
      <c r="E438" t="s">
        <v>550</v>
      </c>
      <c r="F438" t="s">
        <v>218</v>
      </c>
      <c r="G438" t="s">
        <v>621</v>
      </c>
      <c r="H438" t="s">
        <v>621</v>
      </c>
      <c r="I438" t="s">
        <v>621</v>
      </c>
      <c r="J438" t="s">
        <v>621</v>
      </c>
      <c r="K438">
        <v>4.25</v>
      </c>
      <c r="L438" t="s">
        <v>29</v>
      </c>
    </row>
    <row r="439" spans="1:12" x14ac:dyDescent="0.15">
      <c r="A439" s="34">
        <v>46125.348194444399</v>
      </c>
      <c r="B439" t="s">
        <v>216</v>
      </c>
      <c r="C439" t="s">
        <v>217</v>
      </c>
      <c r="D439" t="s">
        <v>16</v>
      </c>
      <c r="E439" t="s">
        <v>550</v>
      </c>
      <c r="F439" t="s">
        <v>598</v>
      </c>
      <c r="G439" t="s">
        <v>621</v>
      </c>
      <c r="H439" t="s">
        <v>621</v>
      </c>
      <c r="I439" t="s">
        <v>621</v>
      </c>
      <c r="J439" t="s">
        <v>621</v>
      </c>
      <c r="K439">
        <v>4.25</v>
      </c>
      <c r="L439" t="s">
        <v>29</v>
      </c>
    </row>
    <row r="440" spans="1:12" x14ac:dyDescent="0.15">
      <c r="A440" s="34">
        <v>46122.663935185199</v>
      </c>
      <c r="B440" t="s">
        <v>216</v>
      </c>
      <c r="C440" t="s">
        <v>217</v>
      </c>
      <c r="D440" t="s">
        <v>16</v>
      </c>
      <c r="E440" t="s">
        <v>550</v>
      </c>
      <c r="F440" t="s">
        <v>598</v>
      </c>
      <c r="G440" t="s">
        <v>621</v>
      </c>
      <c r="H440" t="s">
        <v>621</v>
      </c>
      <c r="I440" t="s">
        <v>621</v>
      </c>
      <c r="J440" t="s">
        <v>621</v>
      </c>
      <c r="K440">
        <v>2.8332999999999999</v>
      </c>
      <c r="L440" t="s">
        <v>29</v>
      </c>
    </row>
    <row r="441" spans="1:12" x14ac:dyDescent="0.15">
      <c r="A441" s="34">
        <v>46122.658773148098</v>
      </c>
      <c r="B441" t="s">
        <v>224</v>
      </c>
      <c r="C441" t="s">
        <v>225</v>
      </c>
      <c r="D441" t="s">
        <v>16</v>
      </c>
      <c r="E441" t="s">
        <v>549</v>
      </c>
      <c r="F441" t="s">
        <v>599</v>
      </c>
      <c r="G441" t="s">
        <v>622</v>
      </c>
      <c r="H441" t="s">
        <v>621</v>
      </c>
      <c r="I441" t="s">
        <v>191</v>
      </c>
      <c r="J441" t="s">
        <v>621</v>
      </c>
      <c r="K441">
        <v>4.25</v>
      </c>
      <c r="L441" t="s">
        <v>29</v>
      </c>
    </row>
    <row r="442" spans="1:12" x14ac:dyDescent="0.15">
      <c r="A442" s="34">
        <v>46122.5625925926</v>
      </c>
      <c r="B442" t="s">
        <v>48</v>
      </c>
      <c r="C442" t="s">
        <v>49</v>
      </c>
      <c r="D442" t="s">
        <v>16</v>
      </c>
      <c r="E442" t="s">
        <v>549</v>
      </c>
      <c r="F442" t="s">
        <v>608</v>
      </c>
      <c r="G442" t="s">
        <v>621</v>
      </c>
      <c r="H442" t="s">
        <v>621</v>
      </c>
      <c r="I442" t="s">
        <v>621</v>
      </c>
      <c r="J442" t="s">
        <v>621</v>
      </c>
      <c r="K442">
        <v>8.5</v>
      </c>
      <c r="L442" t="s">
        <v>29</v>
      </c>
    </row>
    <row r="443" spans="1:12" x14ac:dyDescent="0.15">
      <c r="A443" s="34">
        <v>46122.419074074103</v>
      </c>
      <c r="B443" t="s">
        <v>76</v>
      </c>
      <c r="C443" t="s">
        <v>77</v>
      </c>
      <c r="D443" t="s">
        <v>16</v>
      </c>
      <c r="E443" t="s">
        <v>549</v>
      </c>
      <c r="F443" t="s">
        <v>579</v>
      </c>
      <c r="G443" t="s">
        <v>621</v>
      </c>
      <c r="H443" t="s">
        <v>621</v>
      </c>
      <c r="I443" t="s">
        <v>621</v>
      </c>
      <c r="J443" t="s">
        <v>621</v>
      </c>
      <c r="K443">
        <v>8.5</v>
      </c>
      <c r="L443" t="s">
        <v>40</v>
      </c>
    </row>
    <row r="444" spans="1:12" x14ac:dyDescent="0.15">
      <c r="A444" s="34">
        <v>46122.415081018502</v>
      </c>
      <c r="B444" t="s">
        <v>57</v>
      </c>
      <c r="C444" t="s">
        <v>58</v>
      </c>
      <c r="D444" t="s">
        <v>16</v>
      </c>
      <c r="E444" t="s">
        <v>549</v>
      </c>
      <c r="F444" t="s">
        <v>595</v>
      </c>
      <c r="G444" t="s">
        <v>621</v>
      </c>
      <c r="H444" t="s">
        <v>621</v>
      </c>
      <c r="I444" t="s">
        <v>621</v>
      </c>
      <c r="J444" t="s">
        <v>621</v>
      </c>
      <c r="K444">
        <v>4.25</v>
      </c>
      <c r="L444" t="s">
        <v>66</v>
      </c>
    </row>
    <row r="445" spans="1:12" x14ac:dyDescent="0.15">
      <c r="A445" s="34">
        <v>46122.379097222198</v>
      </c>
      <c r="B445" t="s">
        <v>148</v>
      </c>
      <c r="C445" t="s">
        <v>149</v>
      </c>
      <c r="D445" t="s">
        <v>16</v>
      </c>
      <c r="E445" t="s">
        <v>550</v>
      </c>
      <c r="F445" t="s">
        <v>609</v>
      </c>
      <c r="G445" t="s">
        <v>621</v>
      </c>
      <c r="H445" t="s">
        <v>621</v>
      </c>
      <c r="I445" t="s">
        <v>621</v>
      </c>
      <c r="J445" t="s">
        <v>621</v>
      </c>
      <c r="K445">
        <v>8.5</v>
      </c>
      <c r="L445" t="s">
        <v>40</v>
      </c>
    </row>
    <row r="446" spans="1:12" x14ac:dyDescent="0.15">
      <c r="A446" s="34">
        <v>46122.375393518501</v>
      </c>
      <c r="B446" t="s">
        <v>176</v>
      </c>
      <c r="C446" t="s">
        <v>177</v>
      </c>
      <c r="D446" t="s">
        <v>16</v>
      </c>
      <c r="E446" t="s">
        <v>549</v>
      </c>
      <c r="F446" t="s">
        <v>595</v>
      </c>
      <c r="G446" t="s">
        <v>621</v>
      </c>
      <c r="H446" t="s">
        <v>621</v>
      </c>
      <c r="I446" t="s">
        <v>621</v>
      </c>
      <c r="J446" t="s">
        <v>621</v>
      </c>
      <c r="K446">
        <v>4.25</v>
      </c>
      <c r="L446" t="s">
        <v>29</v>
      </c>
    </row>
    <row r="447" spans="1:12" x14ac:dyDescent="0.15">
      <c r="A447" s="34">
        <v>46122.373391203699</v>
      </c>
      <c r="B447" t="s">
        <v>156</v>
      </c>
      <c r="C447" t="s">
        <v>157</v>
      </c>
      <c r="D447" t="s">
        <v>16</v>
      </c>
      <c r="E447" t="s">
        <v>549</v>
      </c>
      <c r="F447" t="s">
        <v>582</v>
      </c>
      <c r="G447" t="s">
        <v>621</v>
      </c>
      <c r="H447" t="s">
        <v>621</v>
      </c>
      <c r="I447" t="s">
        <v>621</v>
      </c>
      <c r="J447" t="s">
        <v>621</v>
      </c>
      <c r="K447">
        <v>4.25</v>
      </c>
      <c r="L447" t="s">
        <v>41</v>
      </c>
    </row>
    <row r="448" spans="1:12" x14ac:dyDescent="0.15">
      <c r="A448" s="34">
        <v>46122.373159722199</v>
      </c>
      <c r="B448" t="s">
        <v>156</v>
      </c>
      <c r="C448" t="s">
        <v>157</v>
      </c>
      <c r="D448" t="s">
        <v>16</v>
      </c>
      <c r="E448" t="s">
        <v>549</v>
      </c>
      <c r="F448" t="s">
        <v>610</v>
      </c>
      <c r="G448" t="s">
        <v>621</v>
      </c>
      <c r="H448" t="s">
        <v>621</v>
      </c>
      <c r="I448" t="s">
        <v>621</v>
      </c>
      <c r="J448" t="s">
        <v>621</v>
      </c>
      <c r="K448">
        <v>4.25</v>
      </c>
      <c r="L448" t="s">
        <v>40</v>
      </c>
    </row>
    <row r="449" spans="1:12" x14ac:dyDescent="0.15">
      <c r="A449" s="34">
        <v>46122.372071759302</v>
      </c>
      <c r="B449" t="s">
        <v>79</v>
      </c>
      <c r="C449" t="s">
        <v>80</v>
      </c>
      <c r="D449" t="s">
        <v>16</v>
      </c>
      <c r="E449" t="s">
        <v>550</v>
      </c>
      <c r="F449" t="s">
        <v>295</v>
      </c>
      <c r="G449" t="s">
        <v>621</v>
      </c>
      <c r="H449" t="s">
        <v>621</v>
      </c>
      <c r="I449" t="s">
        <v>621</v>
      </c>
      <c r="J449" t="s">
        <v>621</v>
      </c>
      <c r="K449">
        <v>2.8332999999999999</v>
      </c>
      <c r="L449" t="s">
        <v>40</v>
      </c>
    </row>
    <row r="450" spans="1:12" x14ac:dyDescent="0.15">
      <c r="A450" s="34">
        <v>46122.372002314798</v>
      </c>
      <c r="B450" t="s">
        <v>79</v>
      </c>
      <c r="C450" t="s">
        <v>80</v>
      </c>
      <c r="D450" t="s">
        <v>16</v>
      </c>
      <c r="E450" t="s">
        <v>550</v>
      </c>
      <c r="F450" t="s">
        <v>265</v>
      </c>
      <c r="G450" t="s">
        <v>621</v>
      </c>
      <c r="H450" t="s">
        <v>621</v>
      </c>
      <c r="I450" t="s">
        <v>621</v>
      </c>
      <c r="J450" t="s">
        <v>621</v>
      </c>
      <c r="K450">
        <v>2.8332999999999999</v>
      </c>
      <c r="L450" t="s">
        <v>40</v>
      </c>
    </row>
    <row r="451" spans="1:12" x14ac:dyDescent="0.15">
      <c r="A451" s="34">
        <v>46122.371921296297</v>
      </c>
      <c r="B451" t="s">
        <v>79</v>
      </c>
      <c r="C451" t="s">
        <v>80</v>
      </c>
      <c r="D451" t="s">
        <v>16</v>
      </c>
      <c r="E451" t="s">
        <v>550</v>
      </c>
      <c r="F451" t="s">
        <v>585</v>
      </c>
      <c r="G451" t="s">
        <v>621</v>
      </c>
      <c r="H451" t="s">
        <v>621</v>
      </c>
      <c r="I451" t="s">
        <v>621</v>
      </c>
      <c r="J451" t="s">
        <v>621</v>
      </c>
      <c r="K451">
        <v>2.8332999999999999</v>
      </c>
      <c r="L451" t="s">
        <v>45</v>
      </c>
    </row>
    <row r="452" spans="1:12" x14ac:dyDescent="0.15">
      <c r="A452" s="34">
        <v>46122.371886574103</v>
      </c>
      <c r="B452" t="s">
        <v>224</v>
      </c>
      <c r="C452" t="s">
        <v>225</v>
      </c>
      <c r="D452" t="s">
        <v>16</v>
      </c>
      <c r="E452" t="s">
        <v>549</v>
      </c>
      <c r="F452" t="s">
        <v>600</v>
      </c>
      <c r="G452" t="s">
        <v>68</v>
      </c>
      <c r="H452" t="s">
        <v>621</v>
      </c>
      <c r="I452" t="s">
        <v>162</v>
      </c>
      <c r="J452" t="s">
        <v>621</v>
      </c>
      <c r="K452">
        <v>4.25</v>
      </c>
      <c r="L452" t="s">
        <v>40</v>
      </c>
    </row>
    <row r="453" spans="1:12" x14ac:dyDescent="0.15">
      <c r="A453" s="34">
        <v>46122.371122685203</v>
      </c>
      <c r="B453" t="s">
        <v>290</v>
      </c>
      <c r="C453" t="s">
        <v>291</v>
      </c>
      <c r="D453" t="s">
        <v>16</v>
      </c>
      <c r="E453" t="s">
        <v>550</v>
      </c>
      <c r="F453" t="s">
        <v>295</v>
      </c>
      <c r="G453" t="s">
        <v>621</v>
      </c>
      <c r="H453" t="s">
        <v>621</v>
      </c>
      <c r="I453" t="s">
        <v>621</v>
      </c>
      <c r="J453" t="s">
        <v>621</v>
      </c>
      <c r="K453">
        <v>1</v>
      </c>
      <c r="L453" t="s">
        <v>71</v>
      </c>
    </row>
    <row r="454" spans="1:12" x14ac:dyDescent="0.15">
      <c r="A454" s="34">
        <v>46122.371122685203</v>
      </c>
      <c r="B454" t="s">
        <v>290</v>
      </c>
      <c r="C454" t="s">
        <v>291</v>
      </c>
      <c r="D454" t="s">
        <v>16</v>
      </c>
      <c r="E454" t="s">
        <v>550</v>
      </c>
      <c r="F454" t="s">
        <v>233</v>
      </c>
      <c r="G454" t="s">
        <v>621</v>
      </c>
      <c r="H454" t="s">
        <v>621</v>
      </c>
      <c r="I454" t="s">
        <v>621</v>
      </c>
      <c r="J454" t="s">
        <v>621</v>
      </c>
      <c r="K454">
        <v>6.5</v>
      </c>
      <c r="L454" t="s">
        <v>29</v>
      </c>
    </row>
    <row r="455" spans="1:12" x14ac:dyDescent="0.15">
      <c r="A455" s="34">
        <v>46122.371122685203</v>
      </c>
      <c r="B455" t="s">
        <v>290</v>
      </c>
      <c r="C455" t="s">
        <v>291</v>
      </c>
      <c r="D455" t="s">
        <v>16</v>
      </c>
      <c r="E455" t="s">
        <v>550</v>
      </c>
      <c r="F455" t="s">
        <v>598</v>
      </c>
      <c r="G455" t="s">
        <v>621</v>
      </c>
      <c r="H455" t="s">
        <v>621</v>
      </c>
      <c r="I455" t="s">
        <v>621</v>
      </c>
      <c r="J455" t="s">
        <v>621</v>
      </c>
      <c r="K455">
        <v>1</v>
      </c>
      <c r="L455" t="s">
        <v>45</v>
      </c>
    </row>
    <row r="456" spans="1:12" x14ac:dyDescent="0.15">
      <c r="A456" s="34">
        <v>46122.371041666702</v>
      </c>
      <c r="B456" t="s">
        <v>263</v>
      </c>
      <c r="C456" t="s">
        <v>264</v>
      </c>
      <c r="D456" t="s">
        <v>16</v>
      </c>
      <c r="E456" t="s">
        <v>550</v>
      </c>
      <c r="F456" t="s">
        <v>591</v>
      </c>
      <c r="G456" t="s">
        <v>621</v>
      </c>
      <c r="H456" t="s">
        <v>621</v>
      </c>
      <c r="I456" t="s">
        <v>621</v>
      </c>
      <c r="J456" t="s">
        <v>621</v>
      </c>
      <c r="K456">
        <v>4.25</v>
      </c>
      <c r="L456" t="s">
        <v>40</v>
      </c>
    </row>
    <row r="457" spans="1:12" x14ac:dyDescent="0.15">
      <c r="A457" s="34">
        <v>46122.370879629598</v>
      </c>
      <c r="B457" t="s">
        <v>263</v>
      </c>
      <c r="C457" t="s">
        <v>264</v>
      </c>
      <c r="D457" t="s">
        <v>16</v>
      </c>
      <c r="E457" t="s">
        <v>550</v>
      </c>
      <c r="F457" t="s">
        <v>585</v>
      </c>
      <c r="G457" t="s">
        <v>621</v>
      </c>
      <c r="H457" t="s">
        <v>621</v>
      </c>
      <c r="I457" t="s">
        <v>621</v>
      </c>
      <c r="J457" t="s">
        <v>621</v>
      </c>
      <c r="K457">
        <v>4.25</v>
      </c>
      <c r="L457" t="s">
        <v>29</v>
      </c>
    </row>
    <row r="458" spans="1:12" x14ac:dyDescent="0.15">
      <c r="A458" s="34">
        <v>46122.370173611103</v>
      </c>
      <c r="B458" t="s">
        <v>138</v>
      </c>
      <c r="C458" t="s">
        <v>139</v>
      </c>
      <c r="D458" t="s">
        <v>16</v>
      </c>
      <c r="E458" t="s">
        <v>549</v>
      </c>
      <c r="F458" t="s">
        <v>262</v>
      </c>
      <c r="G458" t="s">
        <v>621</v>
      </c>
      <c r="H458" t="s">
        <v>621</v>
      </c>
      <c r="I458" t="s">
        <v>621</v>
      </c>
      <c r="J458" t="s">
        <v>621</v>
      </c>
      <c r="K458">
        <v>4.25</v>
      </c>
      <c r="L458" t="s">
        <v>29</v>
      </c>
    </row>
    <row r="459" spans="1:12" x14ac:dyDescent="0.15">
      <c r="A459" s="34">
        <v>46122.370046296302</v>
      </c>
      <c r="B459" t="s">
        <v>138</v>
      </c>
      <c r="C459" t="s">
        <v>139</v>
      </c>
      <c r="D459" t="s">
        <v>16</v>
      </c>
      <c r="E459" t="s">
        <v>549</v>
      </c>
      <c r="F459" t="s">
        <v>579</v>
      </c>
      <c r="G459" t="s">
        <v>621</v>
      </c>
      <c r="H459" t="s">
        <v>621</v>
      </c>
      <c r="I459" t="s">
        <v>621</v>
      </c>
      <c r="J459" t="s">
        <v>621</v>
      </c>
      <c r="K459">
        <v>4.25</v>
      </c>
      <c r="L459" t="s">
        <v>623</v>
      </c>
    </row>
    <row r="460" spans="1:12" x14ac:dyDescent="0.15">
      <c r="A460" s="34">
        <v>46122.369317129604</v>
      </c>
      <c r="B460" t="s">
        <v>107</v>
      </c>
      <c r="C460" t="s">
        <v>108</v>
      </c>
      <c r="D460" t="s">
        <v>16</v>
      </c>
      <c r="E460" t="s">
        <v>549</v>
      </c>
      <c r="F460" t="s">
        <v>611</v>
      </c>
      <c r="G460" t="s">
        <v>621</v>
      </c>
      <c r="H460" t="s">
        <v>621</v>
      </c>
      <c r="I460" t="s">
        <v>621</v>
      </c>
      <c r="J460" t="s">
        <v>621</v>
      </c>
      <c r="K460">
        <v>8.5</v>
      </c>
      <c r="L460" t="s">
        <v>625</v>
      </c>
    </row>
    <row r="461" spans="1:12" x14ac:dyDescent="0.15">
      <c r="A461" s="34">
        <v>46122.365740740701</v>
      </c>
      <c r="B461" t="s">
        <v>201</v>
      </c>
      <c r="C461" t="s">
        <v>202</v>
      </c>
      <c r="D461" t="s">
        <v>16</v>
      </c>
      <c r="E461" t="s">
        <v>550</v>
      </c>
      <c r="F461" t="s">
        <v>606</v>
      </c>
      <c r="G461" t="s">
        <v>621</v>
      </c>
      <c r="H461" t="s">
        <v>621</v>
      </c>
      <c r="I461" t="s">
        <v>621</v>
      </c>
      <c r="J461" t="s">
        <v>621</v>
      </c>
      <c r="K461">
        <v>8.5</v>
      </c>
      <c r="L461" t="s">
        <v>29</v>
      </c>
    </row>
    <row r="462" spans="1:12" x14ac:dyDescent="0.15">
      <c r="A462" s="34">
        <v>46122.364085648202</v>
      </c>
      <c r="B462" t="s">
        <v>57</v>
      </c>
      <c r="C462" t="s">
        <v>58</v>
      </c>
      <c r="D462" t="s">
        <v>16</v>
      </c>
      <c r="E462" t="s">
        <v>549</v>
      </c>
      <c r="F462" t="s">
        <v>601</v>
      </c>
      <c r="G462" t="s">
        <v>621</v>
      </c>
      <c r="H462" t="s">
        <v>621</v>
      </c>
      <c r="I462" t="s">
        <v>621</v>
      </c>
      <c r="J462" t="s">
        <v>621</v>
      </c>
      <c r="K462">
        <v>4.25</v>
      </c>
      <c r="L462" t="s">
        <v>29</v>
      </c>
    </row>
    <row r="463" spans="1:12" x14ac:dyDescent="0.15">
      <c r="A463" s="34">
        <v>46122.362164351798</v>
      </c>
      <c r="B463" t="s">
        <v>176</v>
      </c>
      <c r="C463" t="s">
        <v>177</v>
      </c>
      <c r="D463" t="s">
        <v>16</v>
      </c>
      <c r="E463" t="s">
        <v>549</v>
      </c>
      <c r="F463" t="s">
        <v>601</v>
      </c>
      <c r="G463" t="s">
        <v>621</v>
      </c>
      <c r="H463" t="s">
        <v>621</v>
      </c>
      <c r="I463" t="s">
        <v>621</v>
      </c>
      <c r="J463" t="s">
        <v>621</v>
      </c>
      <c r="K463">
        <v>4.25</v>
      </c>
      <c r="L463" t="s">
        <v>66</v>
      </c>
    </row>
    <row r="464" spans="1:12" x14ac:dyDescent="0.15">
      <c r="A464" s="34">
        <v>46122.3527314815</v>
      </c>
      <c r="B464" t="s">
        <v>245</v>
      </c>
      <c r="C464" t="s">
        <v>246</v>
      </c>
      <c r="D464" t="s">
        <v>16</v>
      </c>
      <c r="E464" t="s">
        <v>550</v>
      </c>
      <c r="F464" t="s">
        <v>609</v>
      </c>
      <c r="G464" t="s">
        <v>621</v>
      </c>
      <c r="H464" t="s">
        <v>621</v>
      </c>
      <c r="I464" t="s">
        <v>621</v>
      </c>
      <c r="J464" t="s">
        <v>621</v>
      </c>
      <c r="K464">
        <v>8.5</v>
      </c>
      <c r="L464" t="s">
        <v>29</v>
      </c>
    </row>
    <row r="465" spans="1:12" x14ac:dyDescent="0.15">
      <c r="A465" s="34">
        <v>46122.350694444503</v>
      </c>
      <c r="B465" t="s">
        <v>219</v>
      </c>
      <c r="C465" t="s">
        <v>220</v>
      </c>
      <c r="D465" t="s">
        <v>16</v>
      </c>
      <c r="E465" t="s">
        <v>549</v>
      </c>
      <c r="F465" t="s">
        <v>602</v>
      </c>
      <c r="G465" t="s">
        <v>621</v>
      </c>
      <c r="H465" t="s">
        <v>621</v>
      </c>
      <c r="I465" t="s">
        <v>621</v>
      </c>
      <c r="J465" t="s">
        <v>621</v>
      </c>
      <c r="K465">
        <v>4.25</v>
      </c>
      <c r="L465" t="s">
        <v>29</v>
      </c>
    </row>
    <row r="466" spans="1:12" x14ac:dyDescent="0.15">
      <c r="A466" s="34">
        <v>46122.350648148204</v>
      </c>
      <c r="B466" t="s">
        <v>219</v>
      </c>
      <c r="C466" t="s">
        <v>220</v>
      </c>
      <c r="D466" t="s">
        <v>16</v>
      </c>
      <c r="E466" t="s">
        <v>549</v>
      </c>
      <c r="F466" t="s">
        <v>579</v>
      </c>
      <c r="G466" t="s">
        <v>621</v>
      </c>
      <c r="H466" t="s">
        <v>621</v>
      </c>
      <c r="I466" t="s">
        <v>621</v>
      </c>
      <c r="J466" t="s">
        <v>621</v>
      </c>
      <c r="K466">
        <v>4.25</v>
      </c>
      <c r="L466" t="s">
        <v>624</v>
      </c>
    </row>
    <row r="467" spans="1:12" x14ac:dyDescent="0.15">
      <c r="A467" s="34">
        <v>46122.347777777803</v>
      </c>
      <c r="B467" t="s">
        <v>216</v>
      </c>
      <c r="C467" t="s">
        <v>217</v>
      </c>
      <c r="D467" t="s">
        <v>16</v>
      </c>
      <c r="E467" t="s">
        <v>550</v>
      </c>
      <c r="F467" t="s">
        <v>257</v>
      </c>
      <c r="G467" t="s">
        <v>621</v>
      </c>
      <c r="H467" t="s">
        <v>621</v>
      </c>
      <c r="I467" t="s">
        <v>621</v>
      </c>
      <c r="J467" t="s">
        <v>621</v>
      </c>
      <c r="K467">
        <v>2.8332999999999999</v>
      </c>
      <c r="L467" t="s">
        <v>66</v>
      </c>
    </row>
    <row r="468" spans="1:12" x14ac:dyDescent="0.15">
      <c r="A468" s="34">
        <v>46122.347685185203</v>
      </c>
      <c r="B468" t="s">
        <v>216</v>
      </c>
      <c r="C468" t="s">
        <v>217</v>
      </c>
      <c r="D468" t="s">
        <v>16</v>
      </c>
      <c r="E468" t="s">
        <v>550</v>
      </c>
      <c r="F468" t="s">
        <v>218</v>
      </c>
      <c r="G468" t="s">
        <v>621</v>
      </c>
      <c r="H468" t="s">
        <v>621</v>
      </c>
      <c r="I468" t="s">
        <v>621</v>
      </c>
      <c r="J468" t="s">
        <v>621</v>
      </c>
      <c r="K468">
        <v>2.8332999999999999</v>
      </c>
      <c r="L468" t="s">
        <v>41</v>
      </c>
    </row>
    <row r="469" spans="1:12" x14ac:dyDescent="0.15">
      <c r="A469" s="34">
        <v>46121.834641203699</v>
      </c>
      <c r="B469" t="s">
        <v>224</v>
      </c>
      <c r="C469" t="s">
        <v>225</v>
      </c>
      <c r="D469" t="s">
        <v>16</v>
      </c>
      <c r="E469" t="s">
        <v>549</v>
      </c>
      <c r="F469" t="s">
        <v>141</v>
      </c>
      <c r="G469" t="s">
        <v>621</v>
      </c>
      <c r="H469" t="s">
        <v>621</v>
      </c>
      <c r="I469" t="s">
        <v>621</v>
      </c>
      <c r="J469" t="s">
        <v>621</v>
      </c>
      <c r="K469">
        <v>2.1166999999999998</v>
      </c>
      <c r="L469" t="s">
        <v>29</v>
      </c>
    </row>
    <row r="470" spans="1:12" x14ac:dyDescent="0.15">
      <c r="A470" s="34">
        <v>46121.591550925899</v>
      </c>
      <c r="B470" t="s">
        <v>76</v>
      </c>
      <c r="C470" t="s">
        <v>77</v>
      </c>
      <c r="D470" t="s">
        <v>16</v>
      </c>
      <c r="E470" t="s">
        <v>549</v>
      </c>
      <c r="F470" t="s">
        <v>592</v>
      </c>
      <c r="G470" t="s">
        <v>621</v>
      </c>
      <c r="H470" t="s">
        <v>621</v>
      </c>
      <c r="I470" t="s">
        <v>621</v>
      </c>
      <c r="J470" t="s">
        <v>621</v>
      </c>
      <c r="K470">
        <v>8.5</v>
      </c>
      <c r="L470" t="s">
        <v>625</v>
      </c>
    </row>
    <row r="471" spans="1:12" x14ac:dyDescent="0.15">
      <c r="A471" s="34">
        <v>46121.562916666699</v>
      </c>
      <c r="B471" t="s">
        <v>79</v>
      </c>
      <c r="C471" t="s">
        <v>80</v>
      </c>
      <c r="D471" t="s">
        <v>16</v>
      </c>
      <c r="E471" t="s">
        <v>550</v>
      </c>
      <c r="F471" t="s">
        <v>605</v>
      </c>
      <c r="G471" t="s">
        <v>621</v>
      </c>
      <c r="H471" t="s">
        <v>621</v>
      </c>
      <c r="I471" t="s">
        <v>621</v>
      </c>
      <c r="J471" t="s">
        <v>621</v>
      </c>
      <c r="K471">
        <v>8.5</v>
      </c>
      <c r="L471" t="s">
        <v>623</v>
      </c>
    </row>
    <row r="472" spans="1:12" x14ac:dyDescent="0.15">
      <c r="A472" s="34">
        <v>46121.414456018501</v>
      </c>
      <c r="B472" t="s">
        <v>107</v>
      </c>
      <c r="C472" t="s">
        <v>108</v>
      </c>
      <c r="D472" t="s">
        <v>16</v>
      </c>
      <c r="E472" t="s">
        <v>549</v>
      </c>
      <c r="F472" t="s">
        <v>611</v>
      </c>
      <c r="G472" t="s">
        <v>621</v>
      </c>
      <c r="H472" t="s">
        <v>621</v>
      </c>
      <c r="I472" t="s">
        <v>621</v>
      </c>
      <c r="J472" t="s">
        <v>621</v>
      </c>
      <c r="K472">
        <v>8.5</v>
      </c>
      <c r="L472" t="s">
        <v>29</v>
      </c>
    </row>
    <row r="473" spans="1:12" x14ac:dyDescent="0.15">
      <c r="A473" s="34">
        <v>46121.398090277798</v>
      </c>
      <c r="B473" t="s">
        <v>138</v>
      </c>
      <c r="C473" t="s">
        <v>139</v>
      </c>
      <c r="D473" t="s">
        <v>16</v>
      </c>
      <c r="E473" t="s">
        <v>549</v>
      </c>
      <c r="F473" t="s">
        <v>140</v>
      </c>
      <c r="G473" t="s">
        <v>621</v>
      </c>
      <c r="H473" t="s">
        <v>621</v>
      </c>
      <c r="I473" t="s">
        <v>621</v>
      </c>
      <c r="J473" t="s">
        <v>621</v>
      </c>
      <c r="K473">
        <v>8.5</v>
      </c>
      <c r="L473" t="s">
        <v>29</v>
      </c>
    </row>
    <row r="474" spans="1:12" x14ac:dyDescent="0.15">
      <c r="A474" s="34">
        <v>46121.3914814815</v>
      </c>
      <c r="B474" t="s">
        <v>57</v>
      </c>
      <c r="C474" t="s">
        <v>58</v>
      </c>
      <c r="D474" t="s">
        <v>16</v>
      </c>
      <c r="E474" t="s">
        <v>549</v>
      </c>
      <c r="F474" t="s">
        <v>601</v>
      </c>
      <c r="G474" t="s">
        <v>621</v>
      </c>
      <c r="H474" t="s">
        <v>621</v>
      </c>
      <c r="I474" t="s">
        <v>621</v>
      </c>
      <c r="J474" t="s">
        <v>621</v>
      </c>
      <c r="K474">
        <v>8.5</v>
      </c>
      <c r="L474" t="s">
        <v>29</v>
      </c>
    </row>
    <row r="475" spans="1:12" x14ac:dyDescent="0.15">
      <c r="A475" s="34">
        <v>46121.390914351803</v>
      </c>
      <c r="B475" t="s">
        <v>48</v>
      </c>
      <c r="C475" t="s">
        <v>49</v>
      </c>
      <c r="D475" t="s">
        <v>16</v>
      </c>
      <c r="E475" t="s">
        <v>549</v>
      </c>
      <c r="F475" t="s">
        <v>608</v>
      </c>
      <c r="G475" t="s">
        <v>621</v>
      </c>
      <c r="H475" t="s">
        <v>621</v>
      </c>
      <c r="I475" t="s">
        <v>621</v>
      </c>
      <c r="J475" t="s">
        <v>621</v>
      </c>
      <c r="K475">
        <v>8.5</v>
      </c>
      <c r="L475" t="s">
        <v>41</v>
      </c>
    </row>
    <row r="476" spans="1:12" x14ac:dyDescent="0.15">
      <c r="A476" s="34">
        <v>46121.390879629602</v>
      </c>
      <c r="B476" t="s">
        <v>156</v>
      </c>
      <c r="C476" t="s">
        <v>157</v>
      </c>
      <c r="D476" t="s">
        <v>16</v>
      </c>
      <c r="E476" t="s">
        <v>549</v>
      </c>
      <c r="F476" t="s">
        <v>610</v>
      </c>
      <c r="G476" t="s">
        <v>621</v>
      </c>
      <c r="H476" t="s">
        <v>621</v>
      </c>
      <c r="I476" t="s">
        <v>621</v>
      </c>
      <c r="J476" t="s">
        <v>621</v>
      </c>
      <c r="K476">
        <v>4.25</v>
      </c>
      <c r="L476" t="s">
        <v>29</v>
      </c>
    </row>
    <row r="477" spans="1:12" x14ac:dyDescent="0.15">
      <c r="A477" s="34">
        <v>46121.390625</v>
      </c>
      <c r="B477" t="s">
        <v>156</v>
      </c>
      <c r="C477" t="s">
        <v>157</v>
      </c>
      <c r="D477" t="s">
        <v>16</v>
      </c>
      <c r="E477" t="s">
        <v>549</v>
      </c>
      <c r="F477" t="s">
        <v>582</v>
      </c>
      <c r="G477" t="s">
        <v>621</v>
      </c>
      <c r="H477" t="s">
        <v>621</v>
      </c>
      <c r="I477" t="s">
        <v>621</v>
      </c>
      <c r="J477" t="s">
        <v>621</v>
      </c>
      <c r="K477">
        <v>4.25</v>
      </c>
      <c r="L477" t="s">
        <v>40</v>
      </c>
    </row>
    <row r="478" spans="1:12" x14ac:dyDescent="0.15">
      <c r="A478" s="34">
        <v>46121.389641203699</v>
      </c>
      <c r="B478" t="s">
        <v>148</v>
      </c>
      <c r="C478" t="s">
        <v>149</v>
      </c>
      <c r="D478" t="s">
        <v>16</v>
      </c>
      <c r="E478" t="s">
        <v>550</v>
      </c>
      <c r="F478" t="s">
        <v>585</v>
      </c>
      <c r="G478" t="s">
        <v>621</v>
      </c>
      <c r="H478" t="s">
        <v>621</v>
      </c>
      <c r="I478" t="s">
        <v>621</v>
      </c>
      <c r="J478" t="s">
        <v>621</v>
      </c>
      <c r="K478">
        <v>8.5</v>
      </c>
      <c r="L478" t="s">
        <v>29</v>
      </c>
    </row>
    <row r="479" spans="1:12" x14ac:dyDescent="0.15">
      <c r="A479" s="34">
        <v>46121.378842592603</v>
      </c>
      <c r="B479" t="s">
        <v>224</v>
      </c>
      <c r="C479" t="s">
        <v>225</v>
      </c>
      <c r="D479" t="s">
        <v>16</v>
      </c>
      <c r="E479" t="s">
        <v>549</v>
      </c>
      <c r="F479" t="s">
        <v>586</v>
      </c>
      <c r="G479" t="s">
        <v>622</v>
      </c>
      <c r="H479" t="s">
        <v>621</v>
      </c>
      <c r="I479" t="s">
        <v>238</v>
      </c>
      <c r="J479" t="s">
        <v>621</v>
      </c>
      <c r="K479">
        <v>2.1166999999999998</v>
      </c>
      <c r="L479" t="s">
        <v>40</v>
      </c>
    </row>
    <row r="480" spans="1:12" x14ac:dyDescent="0.15">
      <c r="A480" s="34">
        <v>46121.377754629597</v>
      </c>
      <c r="B480" t="s">
        <v>263</v>
      </c>
      <c r="C480" t="s">
        <v>264</v>
      </c>
      <c r="D480" t="s">
        <v>16</v>
      </c>
      <c r="E480" t="s">
        <v>550</v>
      </c>
      <c r="F480" t="s">
        <v>585</v>
      </c>
      <c r="G480" t="s">
        <v>621</v>
      </c>
      <c r="H480" t="s">
        <v>621</v>
      </c>
      <c r="I480" t="s">
        <v>621</v>
      </c>
      <c r="J480" t="s">
        <v>621</v>
      </c>
      <c r="K480">
        <v>8.5</v>
      </c>
      <c r="L480" t="s">
        <v>29</v>
      </c>
    </row>
    <row r="481" spans="1:12" x14ac:dyDescent="0.15">
      <c r="A481" s="34">
        <v>46121.375740740703</v>
      </c>
      <c r="B481" t="s">
        <v>224</v>
      </c>
      <c r="C481" t="s">
        <v>225</v>
      </c>
      <c r="D481" t="s">
        <v>16</v>
      </c>
      <c r="E481" t="s">
        <v>549</v>
      </c>
      <c r="F481" t="s">
        <v>599</v>
      </c>
      <c r="G481" t="s">
        <v>622</v>
      </c>
      <c r="H481" t="s">
        <v>621</v>
      </c>
      <c r="I481" t="s">
        <v>191</v>
      </c>
      <c r="J481" t="s">
        <v>621</v>
      </c>
      <c r="K481">
        <v>2.1166999999999998</v>
      </c>
      <c r="L481" t="s">
        <v>45</v>
      </c>
    </row>
    <row r="482" spans="1:12" x14ac:dyDescent="0.15">
      <c r="A482" s="34">
        <v>46121.373773148203</v>
      </c>
      <c r="B482" t="s">
        <v>224</v>
      </c>
      <c r="C482" t="s">
        <v>225</v>
      </c>
      <c r="D482" t="s">
        <v>16</v>
      </c>
      <c r="E482" t="s">
        <v>549</v>
      </c>
      <c r="F482" t="s">
        <v>600</v>
      </c>
      <c r="G482" t="s">
        <v>68</v>
      </c>
      <c r="H482" t="s">
        <v>621</v>
      </c>
      <c r="I482" t="s">
        <v>162</v>
      </c>
      <c r="J482" t="s">
        <v>621</v>
      </c>
      <c r="K482">
        <v>5.65</v>
      </c>
      <c r="L482" t="s">
        <v>29</v>
      </c>
    </row>
    <row r="483" spans="1:12" x14ac:dyDescent="0.15">
      <c r="A483" s="34">
        <v>46121.372974537</v>
      </c>
      <c r="B483" t="s">
        <v>176</v>
      </c>
      <c r="C483" t="s">
        <v>177</v>
      </c>
      <c r="D483" t="s">
        <v>16</v>
      </c>
      <c r="E483" t="s">
        <v>549</v>
      </c>
      <c r="F483" t="s">
        <v>601</v>
      </c>
      <c r="G483" t="s">
        <v>621</v>
      </c>
      <c r="H483" t="s">
        <v>621</v>
      </c>
      <c r="I483" t="s">
        <v>621</v>
      </c>
      <c r="J483" t="s">
        <v>621</v>
      </c>
      <c r="K483">
        <v>4.25</v>
      </c>
      <c r="L483" t="s">
        <v>29</v>
      </c>
    </row>
    <row r="484" spans="1:12" x14ac:dyDescent="0.15">
      <c r="A484" s="34">
        <v>46121.372905092598</v>
      </c>
      <c r="B484" t="s">
        <v>219</v>
      </c>
      <c r="C484" t="s">
        <v>220</v>
      </c>
      <c r="D484" t="s">
        <v>16</v>
      </c>
      <c r="E484" t="s">
        <v>549</v>
      </c>
      <c r="F484" t="s">
        <v>579</v>
      </c>
      <c r="G484" t="s">
        <v>621</v>
      </c>
      <c r="H484" t="s">
        <v>621</v>
      </c>
      <c r="I484" t="s">
        <v>621</v>
      </c>
      <c r="J484" t="s">
        <v>621</v>
      </c>
      <c r="K484">
        <v>4.25</v>
      </c>
      <c r="L484" t="s">
        <v>45</v>
      </c>
    </row>
    <row r="485" spans="1:12" x14ac:dyDescent="0.15">
      <c r="A485" s="34">
        <v>46121.372893518499</v>
      </c>
      <c r="B485" t="s">
        <v>176</v>
      </c>
      <c r="C485" t="s">
        <v>177</v>
      </c>
      <c r="D485" t="s">
        <v>16</v>
      </c>
      <c r="E485" t="s">
        <v>549</v>
      </c>
      <c r="F485" t="s">
        <v>600</v>
      </c>
      <c r="G485" t="s">
        <v>68</v>
      </c>
      <c r="H485" t="s">
        <v>621</v>
      </c>
      <c r="I485" t="s">
        <v>162</v>
      </c>
      <c r="J485" t="s">
        <v>621</v>
      </c>
      <c r="K485">
        <v>4.25</v>
      </c>
      <c r="L485" t="s">
        <v>71</v>
      </c>
    </row>
    <row r="486" spans="1:12" x14ac:dyDescent="0.15">
      <c r="A486" s="34">
        <v>46121.371122685203</v>
      </c>
      <c r="B486" t="s">
        <v>290</v>
      </c>
      <c r="C486" t="s">
        <v>291</v>
      </c>
      <c r="D486" t="s">
        <v>16</v>
      </c>
      <c r="E486" t="s">
        <v>550</v>
      </c>
      <c r="F486" t="s">
        <v>233</v>
      </c>
      <c r="G486" t="s">
        <v>621</v>
      </c>
      <c r="H486" t="s">
        <v>621</v>
      </c>
      <c r="I486" t="s">
        <v>621</v>
      </c>
      <c r="J486" t="s">
        <v>621</v>
      </c>
      <c r="K486">
        <v>5.1666999999999996</v>
      </c>
      <c r="L486" t="s">
        <v>40</v>
      </c>
    </row>
    <row r="487" spans="1:12" x14ac:dyDescent="0.15">
      <c r="A487" s="34">
        <v>46121.371122685203</v>
      </c>
      <c r="B487" t="s">
        <v>290</v>
      </c>
      <c r="C487" t="s">
        <v>291</v>
      </c>
      <c r="D487" t="s">
        <v>16</v>
      </c>
      <c r="E487" t="s">
        <v>550</v>
      </c>
      <c r="F487" t="s">
        <v>300</v>
      </c>
      <c r="G487" t="s">
        <v>621</v>
      </c>
      <c r="H487" t="s">
        <v>621</v>
      </c>
      <c r="I487" t="s">
        <v>621</v>
      </c>
      <c r="J487" t="s">
        <v>621</v>
      </c>
      <c r="K487">
        <v>3.3332999999999999</v>
      </c>
      <c r="L487" t="s">
        <v>625</v>
      </c>
    </row>
    <row r="488" spans="1:12" x14ac:dyDescent="0.15">
      <c r="A488" s="34">
        <v>46121.368391203701</v>
      </c>
      <c r="B488" t="s">
        <v>201</v>
      </c>
      <c r="C488" t="s">
        <v>202</v>
      </c>
      <c r="D488" t="s">
        <v>16</v>
      </c>
      <c r="E488" t="s">
        <v>550</v>
      </c>
      <c r="F488" t="s">
        <v>606</v>
      </c>
      <c r="G488" t="s">
        <v>621</v>
      </c>
      <c r="H488" t="s">
        <v>621</v>
      </c>
      <c r="I488" t="s">
        <v>621</v>
      </c>
      <c r="J488" t="s">
        <v>621</v>
      </c>
      <c r="K488">
        <v>8.5</v>
      </c>
      <c r="L488" t="s">
        <v>66</v>
      </c>
    </row>
    <row r="489" spans="1:12" x14ac:dyDescent="0.15">
      <c r="A489" s="34">
        <v>46121.359247685199</v>
      </c>
      <c r="B489" t="s">
        <v>245</v>
      </c>
      <c r="C489" t="s">
        <v>246</v>
      </c>
      <c r="D489" t="s">
        <v>16</v>
      </c>
      <c r="E489" t="s">
        <v>550</v>
      </c>
      <c r="F489" t="s">
        <v>609</v>
      </c>
      <c r="G489" t="s">
        <v>621</v>
      </c>
      <c r="H489" t="s">
        <v>621</v>
      </c>
      <c r="I489" t="s">
        <v>621</v>
      </c>
      <c r="J489" t="s">
        <v>621</v>
      </c>
      <c r="K489">
        <v>8.5</v>
      </c>
      <c r="L489" t="s">
        <v>624</v>
      </c>
    </row>
    <row r="490" spans="1:12" x14ac:dyDescent="0.15">
      <c r="A490" s="34">
        <v>46121.354432870401</v>
      </c>
      <c r="B490" t="s">
        <v>216</v>
      </c>
      <c r="C490" t="s">
        <v>217</v>
      </c>
      <c r="D490" t="s">
        <v>16</v>
      </c>
      <c r="E490" t="s">
        <v>550</v>
      </c>
      <c r="F490" t="s">
        <v>257</v>
      </c>
      <c r="G490" t="s">
        <v>621</v>
      </c>
      <c r="H490" t="s">
        <v>621</v>
      </c>
      <c r="I490" t="s">
        <v>621</v>
      </c>
      <c r="J490" t="s">
        <v>621</v>
      </c>
      <c r="K490">
        <v>4.25</v>
      </c>
      <c r="L490" t="s">
        <v>66</v>
      </c>
    </row>
    <row r="491" spans="1:12" x14ac:dyDescent="0.15">
      <c r="A491" s="34">
        <v>46121.354363425897</v>
      </c>
      <c r="B491" t="s">
        <v>216</v>
      </c>
      <c r="C491" t="s">
        <v>217</v>
      </c>
      <c r="D491" t="s">
        <v>16</v>
      </c>
      <c r="E491" t="s">
        <v>550</v>
      </c>
      <c r="F491" t="s">
        <v>218</v>
      </c>
      <c r="G491" t="s">
        <v>621</v>
      </c>
      <c r="H491" t="s">
        <v>621</v>
      </c>
      <c r="I491" t="s">
        <v>621</v>
      </c>
      <c r="J491" t="s">
        <v>621</v>
      </c>
      <c r="K491">
        <v>4.25</v>
      </c>
      <c r="L491" t="s">
        <v>29</v>
      </c>
    </row>
    <row r="492" spans="1:12" x14ac:dyDescent="0.15">
      <c r="A492" s="34">
        <v>46121.349571759303</v>
      </c>
      <c r="B492" t="s">
        <v>219</v>
      </c>
      <c r="C492" t="s">
        <v>220</v>
      </c>
      <c r="D492" t="s">
        <v>16</v>
      </c>
      <c r="E492" t="s">
        <v>549</v>
      </c>
      <c r="F492" t="s">
        <v>602</v>
      </c>
      <c r="G492" t="s">
        <v>621</v>
      </c>
      <c r="H492" t="s">
        <v>621</v>
      </c>
      <c r="I492" t="s">
        <v>621</v>
      </c>
      <c r="J492" t="s">
        <v>621</v>
      </c>
      <c r="K492">
        <v>4.25</v>
      </c>
      <c r="L492" t="s">
        <v>40</v>
      </c>
    </row>
    <row r="493" spans="1:12" x14ac:dyDescent="0.15">
      <c r="A493" s="34">
        <v>46120.420520833301</v>
      </c>
      <c r="B493" t="s">
        <v>263</v>
      </c>
      <c r="C493" t="s">
        <v>264</v>
      </c>
      <c r="D493" t="s">
        <v>16</v>
      </c>
      <c r="E493" t="s">
        <v>550</v>
      </c>
      <c r="F493" t="s">
        <v>265</v>
      </c>
      <c r="G493" t="s">
        <v>621</v>
      </c>
      <c r="H493" t="s">
        <v>621</v>
      </c>
      <c r="I493" t="s">
        <v>621</v>
      </c>
      <c r="J493" t="s">
        <v>621</v>
      </c>
      <c r="K493">
        <v>4.25</v>
      </c>
      <c r="L493" t="s">
        <v>40</v>
      </c>
    </row>
    <row r="494" spans="1:12" x14ac:dyDescent="0.15">
      <c r="A494" s="34">
        <v>46120.420381944401</v>
      </c>
      <c r="B494" t="s">
        <v>263</v>
      </c>
      <c r="C494" t="s">
        <v>264</v>
      </c>
      <c r="D494" t="s">
        <v>16</v>
      </c>
      <c r="E494" t="s">
        <v>550</v>
      </c>
      <c r="F494" t="s">
        <v>585</v>
      </c>
      <c r="G494" t="s">
        <v>621</v>
      </c>
      <c r="H494" t="s">
        <v>621</v>
      </c>
      <c r="I494" t="s">
        <v>621</v>
      </c>
      <c r="J494" t="s">
        <v>621</v>
      </c>
      <c r="K494">
        <v>4.25</v>
      </c>
      <c r="L494" t="s">
        <v>29</v>
      </c>
    </row>
    <row r="495" spans="1:12" x14ac:dyDescent="0.15">
      <c r="A495" s="34">
        <v>46120.410740740699</v>
      </c>
      <c r="B495" t="s">
        <v>138</v>
      </c>
      <c r="C495" t="s">
        <v>139</v>
      </c>
      <c r="D495" t="s">
        <v>16</v>
      </c>
      <c r="E495" t="s">
        <v>549</v>
      </c>
      <c r="F495" t="s">
        <v>140</v>
      </c>
      <c r="G495" t="s">
        <v>621</v>
      </c>
      <c r="H495" t="s">
        <v>621</v>
      </c>
      <c r="I495" t="s">
        <v>621</v>
      </c>
      <c r="J495" t="s">
        <v>621</v>
      </c>
      <c r="K495">
        <v>4.25</v>
      </c>
      <c r="L495" t="s">
        <v>29</v>
      </c>
    </row>
    <row r="496" spans="1:12" x14ac:dyDescent="0.15">
      <c r="A496" s="34">
        <v>46120.410590277803</v>
      </c>
      <c r="B496" t="s">
        <v>138</v>
      </c>
      <c r="C496" t="s">
        <v>139</v>
      </c>
      <c r="D496" t="s">
        <v>16</v>
      </c>
      <c r="E496" t="s">
        <v>549</v>
      </c>
      <c r="F496" t="s">
        <v>261</v>
      </c>
      <c r="G496" t="s">
        <v>621</v>
      </c>
      <c r="H496" t="s">
        <v>621</v>
      </c>
      <c r="I496" t="s">
        <v>621</v>
      </c>
      <c r="J496" t="s">
        <v>621</v>
      </c>
      <c r="K496">
        <v>4.25</v>
      </c>
      <c r="L496" t="s">
        <v>29</v>
      </c>
    </row>
    <row r="497" spans="1:12" x14ac:dyDescent="0.15">
      <c r="A497" s="34">
        <v>46120.404872685198</v>
      </c>
      <c r="B497" t="s">
        <v>48</v>
      </c>
      <c r="C497" t="s">
        <v>49</v>
      </c>
      <c r="D497" t="s">
        <v>16</v>
      </c>
      <c r="E497" t="s">
        <v>549</v>
      </c>
      <c r="F497" t="s">
        <v>608</v>
      </c>
      <c r="G497" t="s">
        <v>621</v>
      </c>
      <c r="H497" t="s">
        <v>621</v>
      </c>
      <c r="I497" t="s">
        <v>621</v>
      </c>
      <c r="J497" t="s">
        <v>621</v>
      </c>
      <c r="K497">
        <v>8.5</v>
      </c>
      <c r="L497" t="s">
        <v>40</v>
      </c>
    </row>
    <row r="498" spans="1:12" x14ac:dyDescent="0.15">
      <c r="A498" s="34">
        <v>46120.383425925902</v>
      </c>
      <c r="B498" t="s">
        <v>148</v>
      </c>
      <c r="C498" t="s">
        <v>149</v>
      </c>
      <c r="D498" t="s">
        <v>16</v>
      </c>
      <c r="E498" t="s">
        <v>550</v>
      </c>
      <c r="F498" t="s">
        <v>585</v>
      </c>
      <c r="G498" t="s">
        <v>621</v>
      </c>
      <c r="H498" t="s">
        <v>621</v>
      </c>
      <c r="I498" t="s">
        <v>621</v>
      </c>
      <c r="J498" t="s">
        <v>621</v>
      </c>
      <c r="K498">
        <v>8.5</v>
      </c>
      <c r="L498" t="s">
        <v>41</v>
      </c>
    </row>
    <row r="499" spans="1:12" x14ac:dyDescent="0.15">
      <c r="A499" s="34">
        <v>46120.381724537001</v>
      </c>
      <c r="B499" t="s">
        <v>156</v>
      </c>
      <c r="C499" t="s">
        <v>157</v>
      </c>
      <c r="D499" t="s">
        <v>16</v>
      </c>
      <c r="E499" t="s">
        <v>549</v>
      </c>
      <c r="F499" t="s">
        <v>610</v>
      </c>
      <c r="G499" t="s">
        <v>621</v>
      </c>
      <c r="H499" t="s">
        <v>621</v>
      </c>
      <c r="I499" t="s">
        <v>621</v>
      </c>
      <c r="J499" t="s">
        <v>621</v>
      </c>
      <c r="K499">
        <v>4.25</v>
      </c>
      <c r="L499" t="s">
        <v>29</v>
      </c>
    </row>
    <row r="500" spans="1:12" x14ac:dyDescent="0.15">
      <c r="A500" s="34">
        <v>46120.381446759297</v>
      </c>
      <c r="B500" t="s">
        <v>156</v>
      </c>
      <c r="C500" t="s">
        <v>157</v>
      </c>
      <c r="D500" t="s">
        <v>16</v>
      </c>
      <c r="E500" t="s">
        <v>549</v>
      </c>
      <c r="F500" t="s">
        <v>582</v>
      </c>
      <c r="G500" t="s">
        <v>621</v>
      </c>
      <c r="H500" t="s">
        <v>621</v>
      </c>
      <c r="I500" t="s">
        <v>621</v>
      </c>
      <c r="J500" t="s">
        <v>621</v>
      </c>
      <c r="K500">
        <v>4.25</v>
      </c>
      <c r="L500" t="s">
        <v>29</v>
      </c>
    </row>
    <row r="501" spans="1:12" x14ac:dyDescent="0.15">
      <c r="A501" s="34">
        <v>46120.381180555603</v>
      </c>
      <c r="B501" t="s">
        <v>57</v>
      </c>
      <c r="C501" t="s">
        <v>58</v>
      </c>
      <c r="D501" t="s">
        <v>16</v>
      </c>
      <c r="E501" t="s">
        <v>549</v>
      </c>
      <c r="F501" t="s">
        <v>601</v>
      </c>
      <c r="G501" t="s">
        <v>621</v>
      </c>
      <c r="H501" t="s">
        <v>621</v>
      </c>
      <c r="I501" t="s">
        <v>621</v>
      </c>
      <c r="J501" t="s">
        <v>621</v>
      </c>
      <c r="K501">
        <v>8.5</v>
      </c>
      <c r="L501" t="s">
        <v>29</v>
      </c>
    </row>
    <row r="502" spans="1:12" x14ac:dyDescent="0.15">
      <c r="A502" s="34">
        <v>46120.379560185203</v>
      </c>
      <c r="B502" t="s">
        <v>176</v>
      </c>
      <c r="C502" t="s">
        <v>177</v>
      </c>
      <c r="D502" t="s">
        <v>16</v>
      </c>
      <c r="E502" t="s">
        <v>549</v>
      </c>
      <c r="F502" t="s">
        <v>601</v>
      </c>
      <c r="G502" t="s">
        <v>621</v>
      </c>
      <c r="H502" t="s">
        <v>621</v>
      </c>
      <c r="I502" t="s">
        <v>621</v>
      </c>
      <c r="J502" t="s">
        <v>621</v>
      </c>
      <c r="K502">
        <v>8.5</v>
      </c>
      <c r="L502" t="s">
        <v>45</v>
      </c>
    </row>
    <row r="503" spans="1:12" x14ac:dyDescent="0.15">
      <c r="A503" s="34">
        <v>46120.375798611101</v>
      </c>
      <c r="B503" t="s">
        <v>224</v>
      </c>
      <c r="C503" t="s">
        <v>225</v>
      </c>
      <c r="D503" t="s">
        <v>16</v>
      </c>
      <c r="E503" t="s">
        <v>549</v>
      </c>
      <c r="F503" t="s">
        <v>600</v>
      </c>
      <c r="G503" t="s">
        <v>68</v>
      </c>
      <c r="H503" t="s">
        <v>621</v>
      </c>
      <c r="I503" t="s">
        <v>162</v>
      </c>
      <c r="J503" t="s">
        <v>621</v>
      </c>
      <c r="K503">
        <v>5.75</v>
      </c>
      <c r="L503" t="s">
        <v>40</v>
      </c>
    </row>
    <row r="504" spans="1:12" x14ac:dyDescent="0.15">
      <c r="A504" s="34">
        <v>46120.375752314802</v>
      </c>
      <c r="B504" t="s">
        <v>224</v>
      </c>
      <c r="C504" t="s">
        <v>225</v>
      </c>
      <c r="D504" t="s">
        <v>16</v>
      </c>
      <c r="E504" t="s">
        <v>549</v>
      </c>
      <c r="F504" t="s">
        <v>612</v>
      </c>
      <c r="G504" t="s">
        <v>621</v>
      </c>
      <c r="H504" t="s">
        <v>621</v>
      </c>
      <c r="I504" t="s">
        <v>621</v>
      </c>
      <c r="J504" t="s">
        <v>621</v>
      </c>
      <c r="K504">
        <v>4.25</v>
      </c>
      <c r="L504" t="s">
        <v>623</v>
      </c>
    </row>
    <row r="505" spans="1:12" x14ac:dyDescent="0.15">
      <c r="A505" s="34">
        <v>46120.372812499998</v>
      </c>
      <c r="B505" t="s">
        <v>107</v>
      </c>
      <c r="C505" t="s">
        <v>108</v>
      </c>
      <c r="D505" t="s">
        <v>16</v>
      </c>
      <c r="E505" t="s">
        <v>549</v>
      </c>
      <c r="F505" t="s">
        <v>611</v>
      </c>
      <c r="G505" t="s">
        <v>621</v>
      </c>
      <c r="H505" t="s">
        <v>621</v>
      </c>
      <c r="I505" t="s">
        <v>621</v>
      </c>
      <c r="J505" t="s">
        <v>621</v>
      </c>
      <c r="K505">
        <v>8.5</v>
      </c>
      <c r="L505" t="s">
        <v>625</v>
      </c>
    </row>
    <row r="506" spans="1:12" x14ac:dyDescent="0.15">
      <c r="A506" s="34">
        <v>46120.371793981503</v>
      </c>
      <c r="B506" t="s">
        <v>201</v>
      </c>
      <c r="C506" t="s">
        <v>202</v>
      </c>
      <c r="D506" t="s">
        <v>16</v>
      </c>
      <c r="E506" t="s">
        <v>550</v>
      </c>
      <c r="F506" t="s">
        <v>606</v>
      </c>
      <c r="G506" t="s">
        <v>621</v>
      </c>
      <c r="H506" t="s">
        <v>621</v>
      </c>
      <c r="I506" t="s">
        <v>621</v>
      </c>
      <c r="J506" t="s">
        <v>621</v>
      </c>
      <c r="K506">
        <v>8.5</v>
      </c>
      <c r="L506" t="s">
        <v>29</v>
      </c>
    </row>
    <row r="507" spans="1:12" x14ac:dyDescent="0.15">
      <c r="A507" s="34">
        <v>46120.370833333298</v>
      </c>
      <c r="B507" t="s">
        <v>76</v>
      </c>
      <c r="C507" t="s">
        <v>77</v>
      </c>
      <c r="D507" t="s">
        <v>16</v>
      </c>
      <c r="E507" t="s">
        <v>549</v>
      </c>
      <c r="F507" t="s">
        <v>78</v>
      </c>
      <c r="G507" t="s">
        <v>621</v>
      </c>
      <c r="H507" t="s">
        <v>621</v>
      </c>
      <c r="I507" t="s">
        <v>621</v>
      </c>
      <c r="J507" t="s">
        <v>621</v>
      </c>
      <c r="K507">
        <v>8.5</v>
      </c>
      <c r="L507" t="s">
        <v>40</v>
      </c>
    </row>
    <row r="508" spans="1:12" x14ac:dyDescent="0.15">
      <c r="A508" s="34">
        <v>46120.369363425903</v>
      </c>
      <c r="B508" t="s">
        <v>290</v>
      </c>
      <c r="C508" t="s">
        <v>291</v>
      </c>
      <c r="D508" t="s">
        <v>16</v>
      </c>
      <c r="E508" t="s">
        <v>550</v>
      </c>
      <c r="F508" t="s">
        <v>585</v>
      </c>
      <c r="G508" t="s">
        <v>621</v>
      </c>
      <c r="H508" t="s">
        <v>621</v>
      </c>
      <c r="I508" t="s">
        <v>621</v>
      </c>
      <c r="J508" t="s">
        <v>621</v>
      </c>
      <c r="K508">
        <v>5.5</v>
      </c>
      <c r="L508" t="s">
        <v>624</v>
      </c>
    </row>
    <row r="509" spans="1:12" x14ac:dyDescent="0.15">
      <c r="A509" s="34">
        <v>46120.369363425903</v>
      </c>
      <c r="B509" t="s">
        <v>290</v>
      </c>
      <c r="C509" t="s">
        <v>291</v>
      </c>
      <c r="D509" t="s">
        <v>16</v>
      </c>
      <c r="E509" t="s">
        <v>550</v>
      </c>
      <c r="F509" t="s">
        <v>331</v>
      </c>
      <c r="G509" t="s">
        <v>621</v>
      </c>
      <c r="H509" t="s">
        <v>621</v>
      </c>
      <c r="I509" t="s">
        <v>621</v>
      </c>
      <c r="J509" t="s">
        <v>621</v>
      </c>
      <c r="K509">
        <v>3</v>
      </c>
      <c r="L509" t="s">
        <v>625</v>
      </c>
    </row>
    <row r="510" spans="1:12" x14ac:dyDescent="0.15">
      <c r="A510" s="34">
        <v>46120.366840277798</v>
      </c>
      <c r="B510" t="s">
        <v>79</v>
      </c>
      <c r="C510" t="s">
        <v>80</v>
      </c>
      <c r="D510" t="s">
        <v>16</v>
      </c>
      <c r="E510" t="s">
        <v>550</v>
      </c>
      <c r="F510" t="s">
        <v>605</v>
      </c>
      <c r="G510" t="s">
        <v>621</v>
      </c>
      <c r="H510" t="s">
        <v>621</v>
      </c>
      <c r="I510" t="s">
        <v>621</v>
      </c>
      <c r="J510" t="s">
        <v>621</v>
      </c>
      <c r="K510">
        <v>8.5</v>
      </c>
      <c r="L510" t="s">
        <v>66</v>
      </c>
    </row>
    <row r="511" spans="1:12" x14ac:dyDescent="0.15">
      <c r="A511" s="34">
        <v>46120.364050925898</v>
      </c>
      <c r="B511" t="s">
        <v>245</v>
      </c>
      <c r="C511" t="s">
        <v>246</v>
      </c>
      <c r="D511" t="s">
        <v>16</v>
      </c>
      <c r="E511" t="s">
        <v>550</v>
      </c>
      <c r="F511" t="s">
        <v>609</v>
      </c>
      <c r="G511" t="s">
        <v>621</v>
      </c>
      <c r="H511" t="s">
        <v>621</v>
      </c>
      <c r="I511" t="s">
        <v>621</v>
      </c>
      <c r="J511" t="s">
        <v>621</v>
      </c>
      <c r="K511">
        <v>8.5</v>
      </c>
      <c r="L511" t="s">
        <v>624</v>
      </c>
    </row>
    <row r="512" spans="1:12" x14ac:dyDescent="0.15">
      <c r="A512" s="34">
        <v>46120.348148148201</v>
      </c>
      <c r="B512" t="s">
        <v>216</v>
      </c>
      <c r="C512" t="s">
        <v>217</v>
      </c>
      <c r="D512" t="s">
        <v>16</v>
      </c>
      <c r="E512" t="s">
        <v>550</v>
      </c>
      <c r="F512" t="s">
        <v>257</v>
      </c>
      <c r="G512" t="s">
        <v>621</v>
      </c>
      <c r="H512" t="s">
        <v>621</v>
      </c>
      <c r="I512" t="s">
        <v>621</v>
      </c>
      <c r="J512" t="s">
        <v>621</v>
      </c>
      <c r="K512">
        <v>4.25</v>
      </c>
      <c r="L512" t="s">
        <v>66</v>
      </c>
    </row>
    <row r="513" spans="1:12" x14ac:dyDescent="0.15">
      <c r="A513" s="34">
        <v>46120.348078703697</v>
      </c>
      <c r="B513" t="s">
        <v>216</v>
      </c>
      <c r="C513" t="s">
        <v>217</v>
      </c>
      <c r="D513" t="s">
        <v>16</v>
      </c>
      <c r="E513" t="s">
        <v>550</v>
      </c>
      <c r="F513" t="s">
        <v>218</v>
      </c>
      <c r="G513" t="s">
        <v>621</v>
      </c>
      <c r="H513" t="s">
        <v>621</v>
      </c>
      <c r="I513" t="s">
        <v>621</v>
      </c>
      <c r="J513" t="s">
        <v>621</v>
      </c>
      <c r="K513">
        <v>4.25</v>
      </c>
      <c r="L513" t="s">
        <v>29</v>
      </c>
    </row>
    <row r="514" spans="1:12" x14ac:dyDescent="0.15">
      <c r="A514" s="34">
        <v>46120.3214814815</v>
      </c>
      <c r="B514" t="s">
        <v>219</v>
      </c>
      <c r="C514" t="s">
        <v>220</v>
      </c>
      <c r="D514" t="s">
        <v>16</v>
      </c>
      <c r="E514" t="s">
        <v>549</v>
      </c>
      <c r="F514" t="s">
        <v>602</v>
      </c>
      <c r="G514" t="s">
        <v>621</v>
      </c>
      <c r="H514" t="s">
        <v>621</v>
      </c>
      <c r="I514" t="s">
        <v>621</v>
      </c>
      <c r="J514" t="s">
        <v>621</v>
      </c>
      <c r="K514">
        <v>8.5</v>
      </c>
      <c r="L514" t="s">
        <v>29</v>
      </c>
    </row>
    <row r="515" spans="1:12" x14ac:dyDescent="0.15">
      <c r="A515" s="34">
        <v>46119.8340046296</v>
      </c>
      <c r="B515" t="s">
        <v>224</v>
      </c>
      <c r="C515" t="s">
        <v>225</v>
      </c>
      <c r="D515" t="s">
        <v>16</v>
      </c>
      <c r="E515" t="s">
        <v>549</v>
      </c>
      <c r="F515" t="s">
        <v>228</v>
      </c>
      <c r="G515" t="s">
        <v>621</v>
      </c>
      <c r="H515" t="s">
        <v>621</v>
      </c>
      <c r="I515" t="s">
        <v>621</v>
      </c>
      <c r="J515" t="s">
        <v>621</v>
      </c>
      <c r="K515">
        <v>2.8332999999999999</v>
      </c>
      <c r="L515" t="s">
        <v>29</v>
      </c>
    </row>
    <row r="516" spans="1:12" x14ac:dyDescent="0.15">
      <c r="A516" s="34">
        <v>46119.664432870399</v>
      </c>
      <c r="B516" t="s">
        <v>176</v>
      </c>
      <c r="C516" t="s">
        <v>177</v>
      </c>
      <c r="D516" t="s">
        <v>16</v>
      </c>
      <c r="E516" t="s">
        <v>549</v>
      </c>
      <c r="F516" t="s">
        <v>613</v>
      </c>
      <c r="G516" t="s">
        <v>621</v>
      </c>
      <c r="H516" t="s">
        <v>621</v>
      </c>
      <c r="I516" t="s">
        <v>621</v>
      </c>
      <c r="J516" t="s">
        <v>621</v>
      </c>
      <c r="K516">
        <v>4.25</v>
      </c>
      <c r="L516" t="s">
        <v>29</v>
      </c>
    </row>
    <row r="517" spans="1:12" x14ac:dyDescent="0.15">
      <c r="A517" s="34">
        <v>46119.577037037001</v>
      </c>
      <c r="B517" t="s">
        <v>219</v>
      </c>
      <c r="C517" t="s">
        <v>220</v>
      </c>
      <c r="D517" t="s">
        <v>16</v>
      </c>
      <c r="E517" t="s">
        <v>549</v>
      </c>
      <c r="F517" t="s">
        <v>261</v>
      </c>
      <c r="G517" t="s">
        <v>621</v>
      </c>
      <c r="H517" t="s">
        <v>621</v>
      </c>
      <c r="I517" t="s">
        <v>621</v>
      </c>
      <c r="J517" t="s">
        <v>621</v>
      </c>
      <c r="K517">
        <v>4.25</v>
      </c>
      <c r="L517" t="s">
        <v>29</v>
      </c>
    </row>
    <row r="518" spans="1:12" x14ac:dyDescent="0.15">
      <c r="A518" s="34">
        <v>46119.576944444401</v>
      </c>
      <c r="B518" t="s">
        <v>219</v>
      </c>
      <c r="C518" t="s">
        <v>220</v>
      </c>
      <c r="D518" t="s">
        <v>16</v>
      </c>
      <c r="E518" t="s">
        <v>549</v>
      </c>
      <c r="F518" t="s">
        <v>602</v>
      </c>
      <c r="G518" t="s">
        <v>621</v>
      </c>
      <c r="H518" t="s">
        <v>621</v>
      </c>
      <c r="I518" t="s">
        <v>621</v>
      </c>
      <c r="J518" t="s">
        <v>621</v>
      </c>
      <c r="K518">
        <v>4.25</v>
      </c>
      <c r="L518" t="s">
        <v>29</v>
      </c>
    </row>
    <row r="519" spans="1:12" x14ac:dyDescent="0.15">
      <c r="A519" s="34">
        <v>46119.462372685201</v>
      </c>
      <c r="B519" t="s">
        <v>76</v>
      </c>
      <c r="C519" t="s">
        <v>77</v>
      </c>
      <c r="D519" t="s">
        <v>16</v>
      </c>
      <c r="E519" t="s">
        <v>549</v>
      </c>
      <c r="F519" t="s">
        <v>78</v>
      </c>
      <c r="G519" t="s">
        <v>621</v>
      </c>
      <c r="H519" t="s">
        <v>621</v>
      </c>
      <c r="I519" t="s">
        <v>621</v>
      </c>
      <c r="J519" t="s">
        <v>621</v>
      </c>
      <c r="K519">
        <v>8.5</v>
      </c>
      <c r="L519" t="s">
        <v>29</v>
      </c>
    </row>
    <row r="520" spans="1:12" x14ac:dyDescent="0.15">
      <c r="A520" s="34">
        <v>46119.460949074099</v>
      </c>
      <c r="B520" t="s">
        <v>138</v>
      </c>
      <c r="C520" t="s">
        <v>139</v>
      </c>
      <c r="D520" t="s">
        <v>16</v>
      </c>
      <c r="E520" t="s">
        <v>549</v>
      </c>
      <c r="F520" t="s">
        <v>140</v>
      </c>
      <c r="G520" t="s">
        <v>621</v>
      </c>
      <c r="H520" t="s">
        <v>621</v>
      </c>
      <c r="I520" t="s">
        <v>621</v>
      </c>
      <c r="J520" t="s">
        <v>621</v>
      </c>
      <c r="K520">
        <v>8.5</v>
      </c>
      <c r="L520" t="s">
        <v>29</v>
      </c>
    </row>
    <row r="521" spans="1:12" x14ac:dyDescent="0.15">
      <c r="A521" s="34">
        <v>46119.3833101852</v>
      </c>
      <c r="B521" t="s">
        <v>48</v>
      </c>
      <c r="C521" t="s">
        <v>49</v>
      </c>
      <c r="D521" t="s">
        <v>16</v>
      </c>
      <c r="E521" t="s">
        <v>549</v>
      </c>
      <c r="F521" t="s">
        <v>608</v>
      </c>
      <c r="G521" t="s">
        <v>621</v>
      </c>
      <c r="H521" t="s">
        <v>621</v>
      </c>
      <c r="I521" t="s">
        <v>621</v>
      </c>
      <c r="J521" t="s">
        <v>621</v>
      </c>
      <c r="K521">
        <v>8.5</v>
      </c>
      <c r="L521" t="s">
        <v>40</v>
      </c>
    </row>
    <row r="522" spans="1:12" x14ac:dyDescent="0.15">
      <c r="A522" s="34">
        <v>46119.379467592596</v>
      </c>
      <c r="B522" t="s">
        <v>148</v>
      </c>
      <c r="C522" t="s">
        <v>149</v>
      </c>
      <c r="D522" t="s">
        <v>16</v>
      </c>
      <c r="E522" t="s">
        <v>550</v>
      </c>
      <c r="F522" t="s">
        <v>585</v>
      </c>
      <c r="G522" t="s">
        <v>621</v>
      </c>
      <c r="H522" t="s">
        <v>621</v>
      </c>
      <c r="I522" t="s">
        <v>621</v>
      </c>
      <c r="J522" t="s">
        <v>621</v>
      </c>
      <c r="K522">
        <v>8.5</v>
      </c>
      <c r="L522" t="s">
        <v>624</v>
      </c>
    </row>
    <row r="523" spans="1:12" x14ac:dyDescent="0.15">
      <c r="A523" s="34">
        <v>46119.377905092602</v>
      </c>
      <c r="B523" t="s">
        <v>290</v>
      </c>
      <c r="C523" t="s">
        <v>291</v>
      </c>
      <c r="D523" t="s">
        <v>16</v>
      </c>
      <c r="E523" t="s">
        <v>550</v>
      </c>
      <c r="F523" t="s">
        <v>331</v>
      </c>
      <c r="G523" t="s">
        <v>621</v>
      </c>
      <c r="H523" t="s">
        <v>621</v>
      </c>
      <c r="I523" t="s">
        <v>621</v>
      </c>
      <c r="J523" t="s">
        <v>621</v>
      </c>
      <c r="K523">
        <v>2.8332999999999999</v>
      </c>
      <c r="L523" t="s">
        <v>40</v>
      </c>
    </row>
    <row r="524" spans="1:12" x14ac:dyDescent="0.15">
      <c r="A524" s="34">
        <v>46119.377824074101</v>
      </c>
      <c r="B524" t="s">
        <v>290</v>
      </c>
      <c r="C524" t="s">
        <v>291</v>
      </c>
      <c r="D524" t="s">
        <v>16</v>
      </c>
      <c r="E524" t="s">
        <v>550</v>
      </c>
      <c r="F524" t="s">
        <v>585</v>
      </c>
      <c r="G524" t="s">
        <v>621</v>
      </c>
      <c r="H524" t="s">
        <v>621</v>
      </c>
      <c r="I524" t="s">
        <v>621</v>
      </c>
      <c r="J524" t="s">
        <v>621</v>
      </c>
      <c r="K524">
        <v>2.8332999999999999</v>
      </c>
      <c r="L524" t="s">
        <v>71</v>
      </c>
    </row>
    <row r="525" spans="1:12" x14ac:dyDescent="0.15">
      <c r="A525" s="34">
        <v>46119.377627314803</v>
      </c>
      <c r="B525" t="s">
        <v>290</v>
      </c>
      <c r="C525" t="s">
        <v>291</v>
      </c>
      <c r="D525" t="s">
        <v>16</v>
      </c>
      <c r="E525" t="s">
        <v>550</v>
      </c>
      <c r="F525" t="s">
        <v>233</v>
      </c>
      <c r="G525" t="s">
        <v>621</v>
      </c>
      <c r="H525" t="s">
        <v>621</v>
      </c>
      <c r="I525" t="s">
        <v>621</v>
      </c>
      <c r="J525" t="s">
        <v>621</v>
      </c>
      <c r="K525">
        <v>2.8332999999999999</v>
      </c>
      <c r="L525" t="s">
        <v>40</v>
      </c>
    </row>
    <row r="526" spans="1:12" x14ac:dyDescent="0.15">
      <c r="A526" s="34">
        <v>46119.376562500001</v>
      </c>
      <c r="B526" t="s">
        <v>224</v>
      </c>
      <c r="C526" t="s">
        <v>225</v>
      </c>
      <c r="D526" t="s">
        <v>16</v>
      </c>
      <c r="E526" t="s">
        <v>549</v>
      </c>
      <c r="F526" t="s">
        <v>612</v>
      </c>
      <c r="G526" t="s">
        <v>621</v>
      </c>
      <c r="H526" t="s">
        <v>621</v>
      </c>
      <c r="I526" t="s">
        <v>621</v>
      </c>
      <c r="J526" t="s">
        <v>621</v>
      </c>
      <c r="K526">
        <v>2.8332999999999999</v>
      </c>
      <c r="L526" t="s">
        <v>45</v>
      </c>
    </row>
    <row r="527" spans="1:12" x14ac:dyDescent="0.15">
      <c r="A527" s="34">
        <v>46119.375439814801</v>
      </c>
      <c r="B527" t="s">
        <v>224</v>
      </c>
      <c r="C527" t="s">
        <v>225</v>
      </c>
      <c r="D527" t="s">
        <v>16</v>
      </c>
      <c r="E527" t="s">
        <v>549</v>
      </c>
      <c r="F527" t="s">
        <v>600</v>
      </c>
      <c r="G527" t="s">
        <v>68</v>
      </c>
      <c r="H527" t="s">
        <v>621</v>
      </c>
      <c r="I527" t="s">
        <v>162</v>
      </c>
      <c r="J527" t="s">
        <v>621</v>
      </c>
      <c r="K527">
        <v>4.1666999999999996</v>
      </c>
      <c r="L527" t="s">
        <v>623</v>
      </c>
    </row>
    <row r="528" spans="1:12" x14ac:dyDescent="0.15">
      <c r="A528" s="34">
        <v>46119.372650463003</v>
      </c>
      <c r="B528" t="s">
        <v>107</v>
      </c>
      <c r="C528" t="s">
        <v>108</v>
      </c>
      <c r="D528" t="s">
        <v>16</v>
      </c>
      <c r="E528" t="s">
        <v>549</v>
      </c>
      <c r="F528" t="s">
        <v>611</v>
      </c>
      <c r="G528" t="s">
        <v>621</v>
      </c>
      <c r="H528" t="s">
        <v>621</v>
      </c>
      <c r="I528" t="s">
        <v>621</v>
      </c>
      <c r="J528" t="s">
        <v>621</v>
      </c>
      <c r="K528">
        <v>8.5</v>
      </c>
      <c r="L528" t="s">
        <v>29</v>
      </c>
    </row>
    <row r="529" spans="1:12" x14ac:dyDescent="0.15">
      <c r="A529" s="34">
        <v>46119.370833333298</v>
      </c>
      <c r="B529" t="s">
        <v>176</v>
      </c>
      <c r="C529" t="s">
        <v>177</v>
      </c>
      <c r="D529" t="s">
        <v>16</v>
      </c>
      <c r="E529" t="s">
        <v>549</v>
      </c>
      <c r="F529" t="s">
        <v>601</v>
      </c>
      <c r="G529" t="s">
        <v>621</v>
      </c>
      <c r="H529" t="s">
        <v>621</v>
      </c>
      <c r="I529" t="s">
        <v>621</v>
      </c>
      <c r="J529" t="s">
        <v>621</v>
      </c>
      <c r="K529">
        <v>4.25</v>
      </c>
      <c r="L529" t="s">
        <v>625</v>
      </c>
    </row>
    <row r="530" spans="1:12" x14ac:dyDescent="0.15">
      <c r="A530" s="34">
        <v>46119.369710648098</v>
      </c>
      <c r="B530" t="s">
        <v>201</v>
      </c>
      <c r="C530" t="s">
        <v>202</v>
      </c>
      <c r="D530" t="s">
        <v>16</v>
      </c>
      <c r="E530" t="s">
        <v>550</v>
      </c>
      <c r="F530" t="s">
        <v>606</v>
      </c>
      <c r="G530" t="s">
        <v>621</v>
      </c>
      <c r="H530" t="s">
        <v>621</v>
      </c>
      <c r="I530" t="s">
        <v>621</v>
      </c>
      <c r="J530" t="s">
        <v>621</v>
      </c>
      <c r="K530">
        <v>8.5</v>
      </c>
      <c r="L530" t="s">
        <v>40</v>
      </c>
    </row>
    <row r="531" spans="1:12" x14ac:dyDescent="0.15">
      <c r="A531" s="34">
        <v>46119.3690740741</v>
      </c>
      <c r="B531" t="s">
        <v>263</v>
      </c>
      <c r="C531" t="s">
        <v>264</v>
      </c>
      <c r="D531" t="s">
        <v>16</v>
      </c>
      <c r="E531" t="s">
        <v>550</v>
      </c>
      <c r="F531" t="s">
        <v>585</v>
      </c>
      <c r="G531" t="s">
        <v>621</v>
      </c>
      <c r="H531" t="s">
        <v>621</v>
      </c>
      <c r="I531" t="s">
        <v>621</v>
      </c>
      <c r="J531" t="s">
        <v>621</v>
      </c>
      <c r="K531">
        <v>8.5</v>
      </c>
      <c r="L531" t="s">
        <v>41</v>
      </c>
    </row>
    <row r="532" spans="1:12" x14ac:dyDescent="0.15">
      <c r="A532" s="34">
        <v>46119.365104166704</v>
      </c>
      <c r="B532" t="s">
        <v>156</v>
      </c>
      <c r="C532" t="s">
        <v>157</v>
      </c>
      <c r="D532" t="s">
        <v>16</v>
      </c>
      <c r="E532" t="s">
        <v>549</v>
      </c>
      <c r="F532" t="s">
        <v>610</v>
      </c>
      <c r="G532" t="s">
        <v>621</v>
      </c>
      <c r="H532" t="s">
        <v>621</v>
      </c>
      <c r="I532" t="s">
        <v>621</v>
      </c>
      <c r="J532" t="s">
        <v>621</v>
      </c>
      <c r="K532">
        <v>8.5</v>
      </c>
      <c r="L532" t="s">
        <v>29</v>
      </c>
    </row>
    <row r="533" spans="1:12" x14ac:dyDescent="0.15">
      <c r="A533" s="34">
        <v>46119.364317129599</v>
      </c>
      <c r="B533" t="s">
        <v>57</v>
      </c>
      <c r="C533" t="s">
        <v>58</v>
      </c>
      <c r="D533" t="s">
        <v>16</v>
      </c>
      <c r="E533" t="s">
        <v>549</v>
      </c>
      <c r="F533" t="s">
        <v>601</v>
      </c>
      <c r="G533" t="s">
        <v>621</v>
      </c>
      <c r="H533" t="s">
        <v>621</v>
      </c>
      <c r="I533" t="s">
        <v>621</v>
      </c>
      <c r="J533" t="s">
        <v>621</v>
      </c>
      <c r="K533">
        <v>8.5</v>
      </c>
      <c r="L533" t="s">
        <v>40</v>
      </c>
    </row>
    <row r="534" spans="1:12" x14ac:dyDescent="0.15">
      <c r="A534" s="34">
        <v>46119.363680555602</v>
      </c>
      <c r="B534" t="s">
        <v>79</v>
      </c>
      <c r="C534" t="s">
        <v>80</v>
      </c>
      <c r="D534" t="s">
        <v>16</v>
      </c>
      <c r="E534" t="s">
        <v>550</v>
      </c>
      <c r="F534" t="s">
        <v>585</v>
      </c>
      <c r="G534" t="s">
        <v>621</v>
      </c>
      <c r="H534" t="s">
        <v>621</v>
      </c>
      <c r="I534" t="s">
        <v>621</v>
      </c>
      <c r="J534" t="s">
        <v>621</v>
      </c>
      <c r="K534">
        <v>8.5</v>
      </c>
      <c r="L534" t="s">
        <v>66</v>
      </c>
    </row>
    <row r="535" spans="1:12" x14ac:dyDescent="0.15">
      <c r="A535" s="34">
        <v>46119.362650463001</v>
      </c>
      <c r="B535" t="s">
        <v>245</v>
      </c>
      <c r="C535" t="s">
        <v>246</v>
      </c>
      <c r="D535" t="s">
        <v>16</v>
      </c>
      <c r="E535" t="s">
        <v>550</v>
      </c>
      <c r="F535" t="s">
        <v>609</v>
      </c>
      <c r="G535" t="s">
        <v>621</v>
      </c>
      <c r="H535" t="s">
        <v>621</v>
      </c>
      <c r="I535" t="s">
        <v>621</v>
      </c>
      <c r="J535" t="s">
        <v>621</v>
      </c>
      <c r="K535">
        <v>8.5</v>
      </c>
      <c r="L535" t="s">
        <v>624</v>
      </c>
    </row>
    <row r="536" spans="1:12" x14ac:dyDescent="0.15">
      <c r="A536" s="34">
        <v>46119.354166666701</v>
      </c>
      <c r="B536" t="s">
        <v>216</v>
      </c>
      <c r="C536" t="s">
        <v>217</v>
      </c>
      <c r="D536" t="s">
        <v>16</v>
      </c>
      <c r="E536" t="s">
        <v>550</v>
      </c>
      <c r="F536" t="s">
        <v>257</v>
      </c>
      <c r="G536" t="s">
        <v>621</v>
      </c>
      <c r="H536" t="s">
        <v>621</v>
      </c>
      <c r="I536" t="s">
        <v>621</v>
      </c>
      <c r="J536" t="s">
        <v>621</v>
      </c>
      <c r="K536">
        <v>4.25</v>
      </c>
      <c r="L536" t="s">
        <v>66</v>
      </c>
    </row>
    <row r="537" spans="1:12" x14ac:dyDescent="0.15">
      <c r="A537" s="34">
        <v>46119.354120370401</v>
      </c>
      <c r="B537" t="s">
        <v>216</v>
      </c>
      <c r="C537" t="s">
        <v>217</v>
      </c>
      <c r="D537" t="s">
        <v>16</v>
      </c>
      <c r="E537" t="s">
        <v>550</v>
      </c>
      <c r="F537" t="s">
        <v>218</v>
      </c>
      <c r="G537" t="s">
        <v>621</v>
      </c>
      <c r="H537" t="s">
        <v>621</v>
      </c>
      <c r="I537" t="s">
        <v>621</v>
      </c>
      <c r="J537" t="s">
        <v>621</v>
      </c>
      <c r="K537">
        <v>4.25</v>
      </c>
      <c r="L537" t="s">
        <v>29</v>
      </c>
    </row>
    <row r="538" spans="1:12" x14ac:dyDescent="0.15">
      <c r="A538" s="34">
        <v>46118.428460648203</v>
      </c>
      <c r="B538" t="s">
        <v>76</v>
      </c>
      <c r="C538" t="s">
        <v>77</v>
      </c>
      <c r="D538" t="s">
        <v>16</v>
      </c>
      <c r="E538" t="s">
        <v>549</v>
      </c>
      <c r="F538" t="s">
        <v>78</v>
      </c>
      <c r="G538" t="s">
        <v>621</v>
      </c>
      <c r="H538" t="s">
        <v>621</v>
      </c>
      <c r="I538" t="s">
        <v>621</v>
      </c>
      <c r="J538" t="s">
        <v>621</v>
      </c>
      <c r="K538">
        <v>6.6666999999999996</v>
      </c>
      <c r="L538" t="s">
        <v>41</v>
      </c>
    </row>
    <row r="539" spans="1:12" x14ac:dyDescent="0.15">
      <c r="A539" s="34">
        <v>46118.371736111098</v>
      </c>
      <c r="B539" t="s">
        <v>138</v>
      </c>
      <c r="C539" t="s">
        <v>139</v>
      </c>
      <c r="D539" t="s">
        <v>16</v>
      </c>
      <c r="E539" t="s">
        <v>549</v>
      </c>
      <c r="F539" t="s">
        <v>141</v>
      </c>
      <c r="G539" t="s">
        <v>621</v>
      </c>
      <c r="H539" t="s">
        <v>621</v>
      </c>
      <c r="I539" t="s">
        <v>621</v>
      </c>
      <c r="J539" t="s">
        <v>621</v>
      </c>
      <c r="K539">
        <v>8.5</v>
      </c>
      <c r="L539" t="s">
        <v>40</v>
      </c>
    </row>
    <row r="540" spans="1:12" x14ac:dyDescent="0.15">
      <c r="A540" s="34">
        <v>46115.670416666697</v>
      </c>
      <c r="B540" t="s">
        <v>290</v>
      </c>
      <c r="C540" t="s">
        <v>291</v>
      </c>
      <c r="D540" t="s">
        <v>16</v>
      </c>
      <c r="E540" t="s">
        <v>550</v>
      </c>
      <c r="F540" t="s">
        <v>585</v>
      </c>
      <c r="G540" t="s">
        <v>621</v>
      </c>
      <c r="H540" t="s">
        <v>621</v>
      </c>
      <c r="I540" t="s">
        <v>621</v>
      </c>
      <c r="J540" t="s">
        <v>621</v>
      </c>
      <c r="K540">
        <v>8.5</v>
      </c>
      <c r="L540" t="s">
        <v>29</v>
      </c>
    </row>
    <row r="541" spans="1:12" x14ac:dyDescent="0.15">
      <c r="A541" s="34">
        <v>46115.446550925903</v>
      </c>
      <c r="B541" t="s">
        <v>57</v>
      </c>
      <c r="C541" t="s">
        <v>58</v>
      </c>
      <c r="D541" t="s">
        <v>16</v>
      </c>
      <c r="E541" t="s">
        <v>549</v>
      </c>
      <c r="F541" t="s">
        <v>601</v>
      </c>
      <c r="G541" t="s">
        <v>621</v>
      </c>
      <c r="H541" t="s">
        <v>621</v>
      </c>
      <c r="I541" t="s">
        <v>621</v>
      </c>
      <c r="J541" t="s">
        <v>621</v>
      </c>
      <c r="K541">
        <v>8.5</v>
      </c>
      <c r="L541" t="s">
        <v>29</v>
      </c>
    </row>
    <row r="542" spans="1:12" x14ac:dyDescent="0.15">
      <c r="A542" s="34">
        <v>46115.4465277778</v>
      </c>
      <c r="B542" t="s">
        <v>138</v>
      </c>
      <c r="C542" t="s">
        <v>139</v>
      </c>
      <c r="D542" t="s">
        <v>16</v>
      </c>
      <c r="E542" t="s">
        <v>549</v>
      </c>
      <c r="F542" t="s">
        <v>261</v>
      </c>
      <c r="G542" t="s">
        <v>621</v>
      </c>
      <c r="H542" t="s">
        <v>621</v>
      </c>
      <c r="I542" t="s">
        <v>621</v>
      </c>
      <c r="J542" t="s">
        <v>621</v>
      </c>
      <c r="K542">
        <v>4.25</v>
      </c>
      <c r="L542" t="s">
        <v>29</v>
      </c>
    </row>
    <row r="543" spans="1:12" x14ac:dyDescent="0.15">
      <c r="A543" s="34">
        <v>46115.446423611102</v>
      </c>
      <c r="B543" t="s">
        <v>138</v>
      </c>
      <c r="C543" t="s">
        <v>139</v>
      </c>
      <c r="D543" t="s">
        <v>16</v>
      </c>
      <c r="E543" t="s">
        <v>549</v>
      </c>
      <c r="F543" t="s">
        <v>262</v>
      </c>
      <c r="G543" t="s">
        <v>621</v>
      </c>
      <c r="H543" t="s">
        <v>621</v>
      </c>
      <c r="I543" t="s">
        <v>621</v>
      </c>
      <c r="J543" t="s">
        <v>621</v>
      </c>
      <c r="K543">
        <v>4.25</v>
      </c>
      <c r="L543" t="s">
        <v>623</v>
      </c>
    </row>
    <row r="544" spans="1:12" x14ac:dyDescent="0.15">
      <c r="A544" s="34">
        <v>46115.436215277798</v>
      </c>
      <c r="B544" t="s">
        <v>107</v>
      </c>
      <c r="C544" t="s">
        <v>108</v>
      </c>
      <c r="D544" t="s">
        <v>16</v>
      </c>
      <c r="E544" t="s">
        <v>549</v>
      </c>
      <c r="F544" t="s">
        <v>611</v>
      </c>
      <c r="G544" t="s">
        <v>621</v>
      </c>
      <c r="H544" t="s">
        <v>621</v>
      </c>
      <c r="I544" t="s">
        <v>621</v>
      </c>
      <c r="J544" t="s">
        <v>621</v>
      </c>
      <c r="K544">
        <v>8.5</v>
      </c>
      <c r="L544" t="s">
        <v>29</v>
      </c>
    </row>
    <row r="545" spans="1:12" x14ac:dyDescent="0.15">
      <c r="A545" s="34">
        <v>46115.395462963003</v>
      </c>
      <c r="B545" t="s">
        <v>48</v>
      </c>
      <c r="C545" t="s">
        <v>49</v>
      </c>
      <c r="D545" t="s">
        <v>16</v>
      </c>
      <c r="E545" t="s">
        <v>549</v>
      </c>
      <c r="F545" t="s">
        <v>608</v>
      </c>
      <c r="G545" t="s">
        <v>621</v>
      </c>
      <c r="H545" t="s">
        <v>621</v>
      </c>
      <c r="I545" t="s">
        <v>621</v>
      </c>
      <c r="J545" t="s">
        <v>621</v>
      </c>
      <c r="K545">
        <v>8.5</v>
      </c>
      <c r="L545" t="s">
        <v>40</v>
      </c>
    </row>
    <row r="546" spans="1:12" x14ac:dyDescent="0.15">
      <c r="A546" s="34">
        <v>46115.386111111096</v>
      </c>
      <c r="B546" t="s">
        <v>148</v>
      </c>
      <c r="C546" t="s">
        <v>149</v>
      </c>
      <c r="D546" t="s">
        <v>16</v>
      </c>
      <c r="E546" t="s">
        <v>550</v>
      </c>
      <c r="F546" t="s">
        <v>585</v>
      </c>
      <c r="G546" t="s">
        <v>621</v>
      </c>
      <c r="H546" t="s">
        <v>621</v>
      </c>
      <c r="I546" t="s">
        <v>621</v>
      </c>
      <c r="J546" t="s">
        <v>621</v>
      </c>
      <c r="K546">
        <v>4.25</v>
      </c>
      <c r="L546" t="s">
        <v>40</v>
      </c>
    </row>
    <row r="547" spans="1:12" x14ac:dyDescent="0.15">
      <c r="A547" s="34">
        <v>46115.3851041667</v>
      </c>
      <c r="B547" t="s">
        <v>148</v>
      </c>
      <c r="C547" t="s">
        <v>149</v>
      </c>
      <c r="D547" t="s">
        <v>16</v>
      </c>
      <c r="E547" t="s">
        <v>550</v>
      </c>
      <c r="F547" t="s">
        <v>265</v>
      </c>
      <c r="G547" t="s">
        <v>621</v>
      </c>
      <c r="H547" t="s">
        <v>621</v>
      </c>
      <c r="I547" t="s">
        <v>621</v>
      </c>
      <c r="J547" t="s">
        <v>621</v>
      </c>
      <c r="K547">
        <v>4.25</v>
      </c>
      <c r="L547" t="s">
        <v>625</v>
      </c>
    </row>
    <row r="548" spans="1:12" x14ac:dyDescent="0.15">
      <c r="A548" s="34">
        <v>46115.375694444403</v>
      </c>
      <c r="B548" t="s">
        <v>224</v>
      </c>
      <c r="C548" t="s">
        <v>225</v>
      </c>
      <c r="D548" t="s">
        <v>16</v>
      </c>
      <c r="E548" t="s">
        <v>549</v>
      </c>
      <c r="F548" t="s">
        <v>614</v>
      </c>
      <c r="G548" t="s">
        <v>621</v>
      </c>
      <c r="H548" t="s">
        <v>621</v>
      </c>
      <c r="I548" t="s">
        <v>621</v>
      </c>
      <c r="J548" t="s">
        <v>621</v>
      </c>
      <c r="K548">
        <v>4.25</v>
      </c>
      <c r="L548" t="s">
        <v>45</v>
      </c>
    </row>
    <row r="549" spans="1:12" x14ac:dyDescent="0.15">
      <c r="A549" s="34">
        <v>46115.375555555504</v>
      </c>
      <c r="B549" t="s">
        <v>224</v>
      </c>
      <c r="C549" t="s">
        <v>225</v>
      </c>
      <c r="D549" t="s">
        <v>16</v>
      </c>
      <c r="E549" t="s">
        <v>549</v>
      </c>
      <c r="F549" t="s">
        <v>600</v>
      </c>
      <c r="G549" t="s">
        <v>68</v>
      </c>
      <c r="H549" t="s">
        <v>621</v>
      </c>
      <c r="I549" t="s">
        <v>162</v>
      </c>
      <c r="J549" t="s">
        <v>621</v>
      </c>
      <c r="K549">
        <v>4.25</v>
      </c>
      <c r="L549" t="s">
        <v>29</v>
      </c>
    </row>
    <row r="550" spans="1:12" x14ac:dyDescent="0.15">
      <c r="A550" s="34">
        <v>46115.369699074101</v>
      </c>
      <c r="B550" t="s">
        <v>76</v>
      </c>
      <c r="C550" t="s">
        <v>77</v>
      </c>
      <c r="D550" t="s">
        <v>16</v>
      </c>
      <c r="E550" t="s">
        <v>549</v>
      </c>
      <c r="F550" t="s">
        <v>140</v>
      </c>
      <c r="G550" t="s">
        <v>621</v>
      </c>
      <c r="H550" t="s">
        <v>621</v>
      </c>
      <c r="I550" t="s">
        <v>621</v>
      </c>
      <c r="J550" t="s">
        <v>621</v>
      </c>
      <c r="K550">
        <v>8.5</v>
      </c>
      <c r="L550" t="s">
        <v>40</v>
      </c>
    </row>
    <row r="551" spans="1:12" x14ac:dyDescent="0.15">
      <c r="A551" s="34">
        <v>46115.3691666667</v>
      </c>
      <c r="B551" t="s">
        <v>263</v>
      </c>
      <c r="C551" t="s">
        <v>264</v>
      </c>
      <c r="D551" t="s">
        <v>16</v>
      </c>
      <c r="E551" t="s">
        <v>550</v>
      </c>
      <c r="F551" t="s">
        <v>585</v>
      </c>
      <c r="G551" t="s">
        <v>621</v>
      </c>
      <c r="H551" t="s">
        <v>621</v>
      </c>
      <c r="I551" t="s">
        <v>621</v>
      </c>
      <c r="J551" t="s">
        <v>621</v>
      </c>
      <c r="K551">
        <v>8</v>
      </c>
      <c r="L551" t="s">
        <v>625</v>
      </c>
    </row>
    <row r="552" spans="1:12" x14ac:dyDescent="0.15">
      <c r="A552" s="34">
        <v>46115.368773148097</v>
      </c>
      <c r="B552" t="s">
        <v>201</v>
      </c>
      <c r="C552" t="s">
        <v>202</v>
      </c>
      <c r="D552" t="s">
        <v>16</v>
      </c>
      <c r="E552" t="s">
        <v>550</v>
      </c>
      <c r="F552" t="s">
        <v>615</v>
      </c>
      <c r="G552" t="s">
        <v>621</v>
      </c>
      <c r="H552" t="s">
        <v>621</v>
      </c>
      <c r="I552" t="s">
        <v>621</v>
      </c>
      <c r="J552" t="s">
        <v>621</v>
      </c>
      <c r="K552">
        <v>8.5</v>
      </c>
      <c r="L552" t="s">
        <v>40</v>
      </c>
    </row>
    <row r="553" spans="1:12" x14ac:dyDescent="0.15">
      <c r="A553" s="34">
        <v>46115.367129629602</v>
      </c>
      <c r="B553" t="s">
        <v>79</v>
      </c>
      <c r="C553" t="s">
        <v>80</v>
      </c>
      <c r="D553" t="s">
        <v>16</v>
      </c>
      <c r="E553" t="s">
        <v>550</v>
      </c>
      <c r="F553" t="s">
        <v>585</v>
      </c>
      <c r="G553" t="s">
        <v>621</v>
      </c>
      <c r="H553" t="s">
        <v>621</v>
      </c>
      <c r="I553" t="s">
        <v>621</v>
      </c>
      <c r="J553" t="s">
        <v>621</v>
      </c>
      <c r="K553">
        <v>8.5</v>
      </c>
      <c r="L553" t="s">
        <v>29</v>
      </c>
    </row>
    <row r="554" spans="1:12" x14ac:dyDescent="0.15">
      <c r="A554" s="34">
        <v>46115.365810185198</v>
      </c>
      <c r="B554" t="s">
        <v>176</v>
      </c>
      <c r="C554" t="s">
        <v>177</v>
      </c>
      <c r="D554" t="s">
        <v>16</v>
      </c>
      <c r="E554" t="s">
        <v>549</v>
      </c>
      <c r="F554" t="s">
        <v>601</v>
      </c>
      <c r="G554" t="s">
        <v>621</v>
      </c>
      <c r="H554" t="s">
        <v>621</v>
      </c>
      <c r="I554" t="s">
        <v>621</v>
      </c>
      <c r="J554" t="s">
        <v>621</v>
      </c>
      <c r="K554">
        <v>8.5</v>
      </c>
      <c r="L554" t="s">
        <v>29</v>
      </c>
    </row>
    <row r="555" spans="1:12" x14ac:dyDescent="0.15">
      <c r="A555" s="34">
        <v>46115.357592592598</v>
      </c>
      <c r="B555" t="s">
        <v>219</v>
      </c>
      <c r="C555" t="s">
        <v>220</v>
      </c>
      <c r="D555" t="s">
        <v>16</v>
      </c>
      <c r="E555" t="s">
        <v>549</v>
      </c>
      <c r="F555" t="s">
        <v>602</v>
      </c>
      <c r="G555" t="s">
        <v>621</v>
      </c>
      <c r="H555" t="s">
        <v>621</v>
      </c>
      <c r="I555" t="s">
        <v>621</v>
      </c>
      <c r="J555" t="s">
        <v>621</v>
      </c>
      <c r="K555">
        <v>8.5</v>
      </c>
      <c r="L555" t="s">
        <v>624</v>
      </c>
    </row>
    <row r="556" spans="1:12" x14ac:dyDescent="0.15">
      <c r="A556" s="34">
        <v>46115.354467592602</v>
      </c>
      <c r="B556" t="s">
        <v>216</v>
      </c>
      <c r="C556" t="s">
        <v>217</v>
      </c>
      <c r="D556" t="s">
        <v>16</v>
      </c>
      <c r="E556" t="s">
        <v>550</v>
      </c>
      <c r="F556" t="s">
        <v>257</v>
      </c>
      <c r="G556" t="s">
        <v>621</v>
      </c>
      <c r="H556" t="s">
        <v>621</v>
      </c>
      <c r="I556" t="s">
        <v>621</v>
      </c>
      <c r="J556" t="s">
        <v>621</v>
      </c>
      <c r="K556">
        <v>4.25</v>
      </c>
      <c r="L556" t="s">
        <v>66</v>
      </c>
    </row>
    <row r="557" spans="1:12" x14ac:dyDescent="0.15">
      <c r="A557" s="34">
        <v>46115.354421296302</v>
      </c>
      <c r="B557" t="s">
        <v>216</v>
      </c>
      <c r="C557" t="s">
        <v>217</v>
      </c>
      <c r="D557" t="s">
        <v>16</v>
      </c>
      <c r="E557" t="s">
        <v>550</v>
      </c>
      <c r="F557" t="s">
        <v>218</v>
      </c>
      <c r="G557" t="s">
        <v>621</v>
      </c>
      <c r="H557" t="s">
        <v>621</v>
      </c>
      <c r="I557" t="s">
        <v>621</v>
      </c>
      <c r="J557" t="s">
        <v>621</v>
      </c>
      <c r="K557">
        <v>4.25</v>
      </c>
      <c r="L557" t="s">
        <v>66</v>
      </c>
    </row>
    <row r="558" spans="1:12" x14ac:dyDescent="0.15">
      <c r="A558" s="34">
        <v>46115.349849537</v>
      </c>
      <c r="B558" t="s">
        <v>245</v>
      </c>
      <c r="C558" t="s">
        <v>246</v>
      </c>
      <c r="D558" t="s">
        <v>16</v>
      </c>
      <c r="E558" t="s">
        <v>550</v>
      </c>
      <c r="F558" t="s">
        <v>609</v>
      </c>
      <c r="G558" t="s">
        <v>621</v>
      </c>
      <c r="H558" t="s">
        <v>621</v>
      </c>
      <c r="I558" t="s">
        <v>621</v>
      </c>
      <c r="J558" t="s">
        <v>621</v>
      </c>
      <c r="K558">
        <v>8.5</v>
      </c>
      <c r="L558" t="s">
        <v>29</v>
      </c>
    </row>
    <row r="559" spans="1:12" x14ac:dyDescent="0.15">
      <c r="A559" s="34">
        <v>46114.697013888901</v>
      </c>
      <c r="B559" t="s">
        <v>48</v>
      </c>
      <c r="C559" t="s">
        <v>49</v>
      </c>
      <c r="D559" t="s">
        <v>16</v>
      </c>
      <c r="E559" t="s">
        <v>549</v>
      </c>
      <c r="F559" t="s">
        <v>608</v>
      </c>
      <c r="G559" t="s">
        <v>621</v>
      </c>
      <c r="H559" t="s">
        <v>621</v>
      </c>
      <c r="I559" t="s">
        <v>621</v>
      </c>
      <c r="J559" t="s">
        <v>621</v>
      </c>
      <c r="K559">
        <v>8.5</v>
      </c>
      <c r="L559" t="s">
        <v>623</v>
      </c>
    </row>
    <row r="560" spans="1:12" x14ac:dyDescent="0.15">
      <c r="A560" s="34">
        <v>46114.617013888899</v>
      </c>
      <c r="B560" t="s">
        <v>107</v>
      </c>
      <c r="C560" t="s">
        <v>108</v>
      </c>
      <c r="D560" t="s">
        <v>16</v>
      </c>
      <c r="E560" t="s">
        <v>549</v>
      </c>
      <c r="F560" t="s">
        <v>611</v>
      </c>
      <c r="G560" t="s">
        <v>621</v>
      </c>
      <c r="H560" t="s">
        <v>621</v>
      </c>
      <c r="I560" t="s">
        <v>621</v>
      </c>
      <c r="J560" t="s">
        <v>621</v>
      </c>
      <c r="K560">
        <v>8.5</v>
      </c>
      <c r="L560" t="s">
        <v>40</v>
      </c>
    </row>
    <row r="561" spans="1:12" x14ac:dyDescent="0.15">
      <c r="A561" s="34">
        <v>46114.561030092598</v>
      </c>
      <c r="B561" t="s">
        <v>263</v>
      </c>
      <c r="C561" t="s">
        <v>264</v>
      </c>
      <c r="D561" t="s">
        <v>16</v>
      </c>
      <c r="E561" t="s">
        <v>550</v>
      </c>
      <c r="F561" t="s">
        <v>585</v>
      </c>
      <c r="G561" t="s">
        <v>621</v>
      </c>
      <c r="H561" t="s">
        <v>621</v>
      </c>
      <c r="I561" t="s">
        <v>621</v>
      </c>
      <c r="J561" t="s">
        <v>621</v>
      </c>
      <c r="K561">
        <v>8.5</v>
      </c>
      <c r="L561" t="s">
        <v>29</v>
      </c>
    </row>
    <row r="562" spans="1:12" x14ac:dyDescent="0.15">
      <c r="A562" s="34">
        <v>46114.444930555597</v>
      </c>
      <c r="B562" t="s">
        <v>176</v>
      </c>
      <c r="C562" t="s">
        <v>177</v>
      </c>
      <c r="D562" t="s">
        <v>16</v>
      </c>
      <c r="E562" t="s">
        <v>549</v>
      </c>
      <c r="F562" t="s">
        <v>601</v>
      </c>
      <c r="G562" t="s">
        <v>621</v>
      </c>
      <c r="H562" t="s">
        <v>621</v>
      </c>
      <c r="I562" t="s">
        <v>621</v>
      </c>
      <c r="J562" t="s">
        <v>621</v>
      </c>
      <c r="K562">
        <v>4.25</v>
      </c>
      <c r="L562" t="s">
        <v>29</v>
      </c>
    </row>
    <row r="563" spans="1:12" x14ac:dyDescent="0.15">
      <c r="A563" s="34">
        <v>46114.413136574098</v>
      </c>
      <c r="B563" t="s">
        <v>76</v>
      </c>
      <c r="C563" t="s">
        <v>77</v>
      </c>
      <c r="D563" t="s">
        <v>16</v>
      </c>
      <c r="E563" t="s">
        <v>549</v>
      </c>
      <c r="F563" t="s">
        <v>140</v>
      </c>
      <c r="G563" t="s">
        <v>621</v>
      </c>
      <c r="H563" t="s">
        <v>621</v>
      </c>
      <c r="I563" t="s">
        <v>621</v>
      </c>
      <c r="J563" t="s">
        <v>621</v>
      </c>
      <c r="K563">
        <v>8.5</v>
      </c>
      <c r="L563" t="s">
        <v>29</v>
      </c>
    </row>
    <row r="564" spans="1:12" x14ac:dyDescent="0.15">
      <c r="A564" s="34">
        <v>46114.408553240697</v>
      </c>
      <c r="B564" t="s">
        <v>57</v>
      </c>
      <c r="C564" t="s">
        <v>58</v>
      </c>
      <c r="D564" t="s">
        <v>16</v>
      </c>
      <c r="E564" t="s">
        <v>549</v>
      </c>
      <c r="F564" t="s">
        <v>601</v>
      </c>
      <c r="G564" t="s">
        <v>621</v>
      </c>
      <c r="H564" t="s">
        <v>621</v>
      </c>
      <c r="I564" t="s">
        <v>621</v>
      </c>
      <c r="J564" t="s">
        <v>621</v>
      </c>
      <c r="K564">
        <v>4.25</v>
      </c>
      <c r="L564" t="s">
        <v>45</v>
      </c>
    </row>
    <row r="565" spans="1:12" x14ac:dyDescent="0.15">
      <c r="A565" s="34">
        <v>46114.408506944397</v>
      </c>
      <c r="B565" t="s">
        <v>57</v>
      </c>
      <c r="C565" t="s">
        <v>58</v>
      </c>
      <c r="D565" t="s">
        <v>16</v>
      </c>
      <c r="E565" t="s">
        <v>549</v>
      </c>
      <c r="F565" t="s">
        <v>600</v>
      </c>
      <c r="G565" t="s">
        <v>68</v>
      </c>
      <c r="H565" t="s">
        <v>621</v>
      </c>
      <c r="I565" t="s">
        <v>162</v>
      </c>
      <c r="J565" t="s">
        <v>621</v>
      </c>
      <c r="K565">
        <v>4.25</v>
      </c>
      <c r="L565" t="s">
        <v>45</v>
      </c>
    </row>
    <row r="566" spans="1:12" x14ac:dyDescent="0.15">
      <c r="A566" s="34">
        <v>46114.408414351798</v>
      </c>
      <c r="B566" t="s">
        <v>176</v>
      </c>
      <c r="C566" t="s">
        <v>177</v>
      </c>
      <c r="D566" t="s">
        <v>16</v>
      </c>
      <c r="E566" t="s">
        <v>549</v>
      </c>
      <c r="F566" t="s">
        <v>600</v>
      </c>
      <c r="G566" t="s">
        <v>68</v>
      </c>
      <c r="H566" t="s">
        <v>621</v>
      </c>
      <c r="I566" t="s">
        <v>162</v>
      </c>
      <c r="J566" t="s">
        <v>621</v>
      </c>
      <c r="K566">
        <v>4.25</v>
      </c>
      <c r="L566" t="s">
        <v>71</v>
      </c>
    </row>
    <row r="567" spans="1:12" x14ac:dyDescent="0.15">
      <c r="A567" s="34">
        <v>46114.395185185203</v>
      </c>
      <c r="B567" t="s">
        <v>290</v>
      </c>
      <c r="C567" t="s">
        <v>291</v>
      </c>
      <c r="D567" t="s">
        <v>16</v>
      </c>
      <c r="E567" t="s">
        <v>550</v>
      </c>
      <c r="F567" t="s">
        <v>233</v>
      </c>
      <c r="G567" t="s">
        <v>621</v>
      </c>
      <c r="H567" t="s">
        <v>621</v>
      </c>
      <c r="I567" t="s">
        <v>621</v>
      </c>
      <c r="J567" t="s">
        <v>621</v>
      </c>
      <c r="K567">
        <v>2.8332999999999999</v>
      </c>
      <c r="L567" t="s">
        <v>624</v>
      </c>
    </row>
    <row r="568" spans="1:12" x14ac:dyDescent="0.15">
      <c r="A568" s="34">
        <v>46114.395069444399</v>
      </c>
      <c r="B568" t="s">
        <v>290</v>
      </c>
      <c r="C568" t="s">
        <v>291</v>
      </c>
      <c r="D568" t="s">
        <v>16</v>
      </c>
      <c r="E568" t="s">
        <v>550</v>
      </c>
      <c r="F568" t="s">
        <v>257</v>
      </c>
      <c r="G568" t="s">
        <v>621</v>
      </c>
      <c r="H568" t="s">
        <v>621</v>
      </c>
      <c r="I568" t="s">
        <v>621</v>
      </c>
      <c r="J568" t="s">
        <v>621</v>
      </c>
      <c r="K568">
        <v>2.8332999999999999</v>
      </c>
      <c r="L568" t="s">
        <v>40</v>
      </c>
    </row>
    <row r="569" spans="1:12" x14ac:dyDescent="0.15">
      <c r="A569" s="34">
        <v>46114.394479166702</v>
      </c>
      <c r="B569" t="s">
        <v>290</v>
      </c>
      <c r="C569" t="s">
        <v>291</v>
      </c>
      <c r="D569" t="s">
        <v>16</v>
      </c>
      <c r="E569" t="s">
        <v>550</v>
      </c>
      <c r="F569" t="s">
        <v>265</v>
      </c>
      <c r="G569" t="s">
        <v>621</v>
      </c>
      <c r="H569" t="s">
        <v>621</v>
      </c>
      <c r="I569" t="s">
        <v>621</v>
      </c>
      <c r="J569" t="s">
        <v>621</v>
      </c>
      <c r="K569">
        <v>2.8332999999999999</v>
      </c>
      <c r="L569" t="s">
        <v>66</v>
      </c>
    </row>
    <row r="570" spans="1:12" x14ac:dyDescent="0.15">
      <c r="A570" s="34">
        <v>46114.381666666697</v>
      </c>
      <c r="B570" t="s">
        <v>148</v>
      </c>
      <c r="C570" t="s">
        <v>149</v>
      </c>
      <c r="D570" t="s">
        <v>16</v>
      </c>
      <c r="E570" t="s">
        <v>550</v>
      </c>
      <c r="F570" t="s">
        <v>609</v>
      </c>
      <c r="G570" t="s">
        <v>621</v>
      </c>
      <c r="H570" t="s">
        <v>621</v>
      </c>
      <c r="I570" t="s">
        <v>621</v>
      </c>
      <c r="J570" t="s">
        <v>621</v>
      </c>
      <c r="K570">
        <v>8.5</v>
      </c>
      <c r="L570" t="s">
        <v>29</v>
      </c>
    </row>
    <row r="571" spans="1:12" x14ac:dyDescent="0.15">
      <c r="A571" s="34">
        <v>46114.375520833302</v>
      </c>
      <c r="B571" t="s">
        <v>224</v>
      </c>
      <c r="C571" t="s">
        <v>225</v>
      </c>
      <c r="D571" t="s">
        <v>16</v>
      </c>
      <c r="E571" t="s">
        <v>549</v>
      </c>
      <c r="F571" t="s">
        <v>228</v>
      </c>
      <c r="G571" t="s">
        <v>621</v>
      </c>
      <c r="H571" t="s">
        <v>621</v>
      </c>
      <c r="I571" t="s">
        <v>621</v>
      </c>
      <c r="J571" t="s">
        <v>621</v>
      </c>
      <c r="K571">
        <v>4.25</v>
      </c>
      <c r="L571" t="s">
        <v>45</v>
      </c>
    </row>
    <row r="572" spans="1:12" x14ac:dyDescent="0.15">
      <c r="A572" s="34">
        <v>46114.375347222202</v>
      </c>
      <c r="B572" t="s">
        <v>224</v>
      </c>
      <c r="C572" t="s">
        <v>225</v>
      </c>
      <c r="D572" t="s">
        <v>16</v>
      </c>
      <c r="E572" t="s">
        <v>549</v>
      </c>
      <c r="F572" t="s">
        <v>600</v>
      </c>
      <c r="G572" t="s">
        <v>68</v>
      </c>
      <c r="H572" t="s">
        <v>621</v>
      </c>
      <c r="I572" t="s">
        <v>162</v>
      </c>
      <c r="J572" t="s">
        <v>621</v>
      </c>
      <c r="K572">
        <v>4.25</v>
      </c>
      <c r="L572" t="s">
        <v>625</v>
      </c>
    </row>
    <row r="573" spans="1:12" x14ac:dyDescent="0.15">
      <c r="A573" s="34">
        <v>46114.3683564815</v>
      </c>
      <c r="B573" t="s">
        <v>201</v>
      </c>
      <c r="C573" t="s">
        <v>202</v>
      </c>
      <c r="D573" t="s">
        <v>16</v>
      </c>
      <c r="E573" t="s">
        <v>550</v>
      </c>
      <c r="F573" t="s">
        <v>615</v>
      </c>
      <c r="G573" t="s">
        <v>621</v>
      </c>
      <c r="H573" t="s">
        <v>621</v>
      </c>
      <c r="I573" t="s">
        <v>621</v>
      </c>
      <c r="J573" t="s">
        <v>621</v>
      </c>
      <c r="K573">
        <v>8.5</v>
      </c>
      <c r="L573" t="s">
        <v>625</v>
      </c>
    </row>
    <row r="574" spans="1:12" x14ac:dyDescent="0.15">
      <c r="A574" s="34">
        <v>46114.357962962997</v>
      </c>
      <c r="B574" t="s">
        <v>79</v>
      </c>
      <c r="C574" t="s">
        <v>80</v>
      </c>
      <c r="D574" t="s">
        <v>16</v>
      </c>
      <c r="E574" t="s">
        <v>550</v>
      </c>
      <c r="F574" t="s">
        <v>605</v>
      </c>
      <c r="G574" t="s">
        <v>621</v>
      </c>
      <c r="H574" t="s">
        <v>621</v>
      </c>
      <c r="I574" t="s">
        <v>621</v>
      </c>
      <c r="J574" t="s">
        <v>621</v>
      </c>
      <c r="K574">
        <v>8.5</v>
      </c>
      <c r="L574" t="s">
        <v>66</v>
      </c>
    </row>
    <row r="575" spans="1:12" x14ac:dyDescent="0.15">
      <c r="A575" s="34">
        <v>46114.355173611097</v>
      </c>
      <c r="B575" t="s">
        <v>245</v>
      </c>
      <c r="C575" t="s">
        <v>246</v>
      </c>
      <c r="D575" t="s">
        <v>16</v>
      </c>
      <c r="E575" t="s">
        <v>550</v>
      </c>
      <c r="F575" t="s">
        <v>609</v>
      </c>
      <c r="G575" t="s">
        <v>621</v>
      </c>
      <c r="H575" t="s">
        <v>621</v>
      </c>
      <c r="I575" t="s">
        <v>621</v>
      </c>
      <c r="J575" t="s">
        <v>621</v>
      </c>
      <c r="K575">
        <v>8.5</v>
      </c>
      <c r="L575" t="s">
        <v>29</v>
      </c>
    </row>
    <row r="576" spans="1:12" x14ac:dyDescent="0.15">
      <c r="A576" s="34">
        <v>46114.350173611099</v>
      </c>
      <c r="B576" t="s">
        <v>219</v>
      </c>
      <c r="C576" t="s">
        <v>220</v>
      </c>
      <c r="D576" t="s">
        <v>16</v>
      </c>
      <c r="E576" t="s">
        <v>549</v>
      </c>
      <c r="F576" t="s">
        <v>602</v>
      </c>
      <c r="G576" t="s">
        <v>621</v>
      </c>
      <c r="H576" t="s">
        <v>621</v>
      </c>
      <c r="I576" t="s">
        <v>621</v>
      </c>
      <c r="J576" t="s">
        <v>621</v>
      </c>
      <c r="K576">
        <v>8.5</v>
      </c>
      <c r="L576" t="s">
        <v>624</v>
      </c>
    </row>
    <row r="577" spans="1:12" x14ac:dyDescent="0.15">
      <c r="A577" s="34">
        <v>46114.344837962999</v>
      </c>
      <c r="B577" t="s">
        <v>216</v>
      </c>
      <c r="C577" t="s">
        <v>217</v>
      </c>
      <c r="D577" t="s">
        <v>16</v>
      </c>
      <c r="E577" t="s">
        <v>550</v>
      </c>
      <c r="F577" t="s">
        <v>257</v>
      </c>
      <c r="G577" t="s">
        <v>621</v>
      </c>
      <c r="H577" t="s">
        <v>621</v>
      </c>
      <c r="I577" t="s">
        <v>621</v>
      </c>
      <c r="J577" t="s">
        <v>621</v>
      </c>
      <c r="K577">
        <v>4.25</v>
      </c>
      <c r="L577" t="s">
        <v>66</v>
      </c>
    </row>
    <row r="578" spans="1:12" x14ac:dyDescent="0.15">
      <c r="A578" s="34">
        <v>46114.344780092601</v>
      </c>
      <c r="B578" t="s">
        <v>216</v>
      </c>
      <c r="C578" t="s">
        <v>217</v>
      </c>
      <c r="D578" t="s">
        <v>16</v>
      </c>
      <c r="E578" t="s">
        <v>550</v>
      </c>
      <c r="F578" t="s">
        <v>218</v>
      </c>
      <c r="G578" t="s">
        <v>621</v>
      </c>
      <c r="H578" t="s">
        <v>621</v>
      </c>
      <c r="I578" t="s">
        <v>621</v>
      </c>
      <c r="J578" t="s">
        <v>621</v>
      </c>
      <c r="K578">
        <v>4.25</v>
      </c>
      <c r="L578" t="s">
        <v>625</v>
      </c>
    </row>
    <row r="579" spans="1:12" x14ac:dyDescent="0.15">
      <c r="A579" s="34">
        <v>46113.693252314799</v>
      </c>
      <c r="B579" t="s">
        <v>290</v>
      </c>
      <c r="C579" t="s">
        <v>291</v>
      </c>
      <c r="D579" t="s">
        <v>16</v>
      </c>
      <c r="E579" t="s">
        <v>550</v>
      </c>
      <c r="F579" t="s">
        <v>311</v>
      </c>
      <c r="G579" t="s">
        <v>621</v>
      </c>
      <c r="H579" t="s">
        <v>621</v>
      </c>
      <c r="I579" t="s">
        <v>621</v>
      </c>
      <c r="J579" t="s">
        <v>621</v>
      </c>
      <c r="K579">
        <v>4.25</v>
      </c>
      <c r="L579" t="s">
        <v>40</v>
      </c>
    </row>
    <row r="580" spans="1:12" x14ac:dyDescent="0.15">
      <c r="A580" s="34">
        <v>46113.693101851903</v>
      </c>
      <c r="B580" t="s">
        <v>290</v>
      </c>
      <c r="C580" t="s">
        <v>291</v>
      </c>
      <c r="D580" t="s">
        <v>16</v>
      </c>
      <c r="E580" t="s">
        <v>550</v>
      </c>
      <c r="F580" t="s">
        <v>585</v>
      </c>
      <c r="G580" t="s">
        <v>621</v>
      </c>
      <c r="H580" t="s">
        <v>621</v>
      </c>
      <c r="I580" t="s">
        <v>621</v>
      </c>
      <c r="J580" t="s">
        <v>621</v>
      </c>
      <c r="K580">
        <v>4.25</v>
      </c>
      <c r="L580" t="s">
        <v>29</v>
      </c>
    </row>
    <row r="581" spans="1:12" x14ac:dyDescent="0.15">
      <c r="A581" s="34">
        <v>46113.597974536999</v>
      </c>
      <c r="B581" t="s">
        <v>76</v>
      </c>
      <c r="C581" t="s">
        <v>77</v>
      </c>
      <c r="D581" t="s">
        <v>16</v>
      </c>
      <c r="E581" t="s">
        <v>549</v>
      </c>
      <c r="F581" t="s">
        <v>78</v>
      </c>
      <c r="G581" t="s">
        <v>621</v>
      </c>
      <c r="H581" t="s">
        <v>621</v>
      </c>
      <c r="I581" t="s">
        <v>621</v>
      </c>
      <c r="J581" t="s">
        <v>621</v>
      </c>
      <c r="K581">
        <v>8.5</v>
      </c>
      <c r="L581" t="s">
        <v>29</v>
      </c>
    </row>
    <row r="582" spans="1:12" x14ac:dyDescent="0.15">
      <c r="A582" s="34">
        <v>46113.4210185185</v>
      </c>
      <c r="B582" t="s">
        <v>138</v>
      </c>
      <c r="C582" t="s">
        <v>139</v>
      </c>
      <c r="D582" t="s">
        <v>16</v>
      </c>
      <c r="E582" t="s">
        <v>549</v>
      </c>
      <c r="F582" t="s">
        <v>261</v>
      </c>
      <c r="G582" t="s">
        <v>621</v>
      </c>
      <c r="H582" t="s">
        <v>621</v>
      </c>
      <c r="I582" t="s">
        <v>621</v>
      </c>
      <c r="J582" t="s">
        <v>621</v>
      </c>
      <c r="K582">
        <v>4.25</v>
      </c>
      <c r="L582" t="s">
        <v>45</v>
      </c>
    </row>
    <row r="583" spans="1:12" x14ac:dyDescent="0.15">
      <c r="A583" s="34">
        <v>46113.420856481498</v>
      </c>
      <c r="B583" t="s">
        <v>138</v>
      </c>
      <c r="C583" t="s">
        <v>139</v>
      </c>
      <c r="D583" t="s">
        <v>16</v>
      </c>
      <c r="E583" t="s">
        <v>549</v>
      </c>
      <c r="F583" t="s">
        <v>600</v>
      </c>
      <c r="G583" t="s">
        <v>68</v>
      </c>
      <c r="H583" t="s">
        <v>621</v>
      </c>
      <c r="I583" t="s">
        <v>162</v>
      </c>
      <c r="J583" t="s">
        <v>621</v>
      </c>
      <c r="K583">
        <v>4.25</v>
      </c>
      <c r="L583" t="s">
        <v>66</v>
      </c>
    </row>
    <row r="584" spans="1:12" x14ac:dyDescent="0.15">
      <c r="A584" s="34">
        <v>46113.4078703704</v>
      </c>
      <c r="B584" t="s">
        <v>245</v>
      </c>
      <c r="C584" t="s">
        <v>246</v>
      </c>
      <c r="D584" t="s">
        <v>16</v>
      </c>
      <c r="E584" t="s">
        <v>550</v>
      </c>
      <c r="F584" t="s">
        <v>609</v>
      </c>
      <c r="G584" t="s">
        <v>621</v>
      </c>
      <c r="H584" t="s">
        <v>621</v>
      </c>
      <c r="I584" t="s">
        <v>621</v>
      </c>
      <c r="J584" t="s">
        <v>621</v>
      </c>
      <c r="K584">
        <v>4.25</v>
      </c>
      <c r="L584" t="s">
        <v>623</v>
      </c>
    </row>
    <row r="585" spans="1:12" x14ac:dyDescent="0.15">
      <c r="A585" s="34">
        <v>46113.399675925903</v>
      </c>
      <c r="B585" t="s">
        <v>107</v>
      </c>
      <c r="C585" t="s">
        <v>108</v>
      </c>
      <c r="D585" t="s">
        <v>16</v>
      </c>
      <c r="E585" t="s">
        <v>549</v>
      </c>
      <c r="F585" t="s">
        <v>611</v>
      </c>
      <c r="G585" t="s">
        <v>621</v>
      </c>
      <c r="H585" t="s">
        <v>621</v>
      </c>
      <c r="I585" t="s">
        <v>621</v>
      </c>
      <c r="J585" t="s">
        <v>621</v>
      </c>
      <c r="K585">
        <v>8.5</v>
      </c>
      <c r="L585" t="s">
        <v>29</v>
      </c>
    </row>
    <row r="586" spans="1:12" x14ac:dyDescent="0.15">
      <c r="A586" s="34">
        <v>46113.398773148103</v>
      </c>
      <c r="B586" t="s">
        <v>48</v>
      </c>
      <c r="C586" t="s">
        <v>49</v>
      </c>
      <c r="D586" t="s">
        <v>16</v>
      </c>
      <c r="E586" t="s">
        <v>549</v>
      </c>
      <c r="F586" t="s">
        <v>608</v>
      </c>
      <c r="G586" t="s">
        <v>621</v>
      </c>
      <c r="H586" t="s">
        <v>621</v>
      </c>
      <c r="I586" t="s">
        <v>621</v>
      </c>
      <c r="J586" t="s">
        <v>621</v>
      </c>
      <c r="K586">
        <v>8.5</v>
      </c>
      <c r="L586" t="s">
        <v>45</v>
      </c>
    </row>
    <row r="587" spans="1:12" x14ac:dyDescent="0.15">
      <c r="A587" s="34">
        <v>46113.393298611103</v>
      </c>
      <c r="B587" t="s">
        <v>57</v>
      </c>
      <c r="C587" t="s">
        <v>58</v>
      </c>
      <c r="D587" t="s">
        <v>16</v>
      </c>
      <c r="E587" t="s">
        <v>549</v>
      </c>
      <c r="F587" t="s">
        <v>600</v>
      </c>
      <c r="G587" t="s">
        <v>68</v>
      </c>
      <c r="H587" t="s">
        <v>621</v>
      </c>
      <c r="I587" t="s">
        <v>162</v>
      </c>
      <c r="J587" t="s">
        <v>621</v>
      </c>
      <c r="K587">
        <v>4.25</v>
      </c>
      <c r="L587" t="s">
        <v>29</v>
      </c>
    </row>
    <row r="588" spans="1:12" x14ac:dyDescent="0.15">
      <c r="A588" s="34">
        <v>46113.393229166701</v>
      </c>
      <c r="B588" t="s">
        <v>57</v>
      </c>
      <c r="C588" t="s">
        <v>58</v>
      </c>
      <c r="D588" t="s">
        <v>16</v>
      </c>
      <c r="E588" t="s">
        <v>549</v>
      </c>
      <c r="F588" t="s">
        <v>601</v>
      </c>
      <c r="G588" t="s">
        <v>621</v>
      </c>
      <c r="H588" t="s">
        <v>621</v>
      </c>
      <c r="I588" t="s">
        <v>621</v>
      </c>
      <c r="J588" t="s">
        <v>621</v>
      </c>
      <c r="K588">
        <v>4.25</v>
      </c>
      <c r="L588" t="s">
        <v>40</v>
      </c>
    </row>
    <row r="589" spans="1:12" x14ac:dyDescent="0.15">
      <c r="A589" s="34">
        <v>46113.383472222202</v>
      </c>
      <c r="B589" t="s">
        <v>263</v>
      </c>
      <c r="C589" t="s">
        <v>264</v>
      </c>
      <c r="D589" t="s">
        <v>16</v>
      </c>
      <c r="E589" t="s">
        <v>550</v>
      </c>
      <c r="F589" t="s">
        <v>265</v>
      </c>
      <c r="G589" t="s">
        <v>621</v>
      </c>
      <c r="H589" t="s">
        <v>621</v>
      </c>
      <c r="I589" t="s">
        <v>621</v>
      </c>
      <c r="J589" t="s">
        <v>621</v>
      </c>
      <c r="K589">
        <v>4.25</v>
      </c>
      <c r="L589" t="s">
        <v>40</v>
      </c>
    </row>
    <row r="590" spans="1:12" x14ac:dyDescent="0.15">
      <c r="A590" s="34">
        <v>46113.3832175926</v>
      </c>
      <c r="B590" t="s">
        <v>263</v>
      </c>
      <c r="C590" t="s">
        <v>264</v>
      </c>
      <c r="D590" t="s">
        <v>16</v>
      </c>
      <c r="E590" t="s">
        <v>550</v>
      </c>
      <c r="F590" t="s">
        <v>585</v>
      </c>
      <c r="G590" t="s">
        <v>621</v>
      </c>
      <c r="H590" t="s">
        <v>621</v>
      </c>
      <c r="I590" t="s">
        <v>621</v>
      </c>
      <c r="J590" t="s">
        <v>621</v>
      </c>
      <c r="K590">
        <v>4.25</v>
      </c>
      <c r="L590" t="s">
        <v>45</v>
      </c>
    </row>
    <row r="591" spans="1:12" x14ac:dyDescent="0.15">
      <c r="A591" s="34">
        <v>46113.381006944401</v>
      </c>
      <c r="B591" t="s">
        <v>224</v>
      </c>
      <c r="C591" t="s">
        <v>225</v>
      </c>
      <c r="D591" t="s">
        <v>16</v>
      </c>
      <c r="E591" t="s">
        <v>549</v>
      </c>
      <c r="F591" t="s">
        <v>600</v>
      </c>
      <c r="G591" t="s">
        <v>68</v>
      </c>
      <c r="H591" t="s">
        <v>621</v>
      </c>
      <c r="I591" t="s">
        <v>162</v>
      </c>
      <c r="J591" t="s">
        <v>621</v>
      </c>
      <c r="K591">
        <v>2.1166999999999998</v>
      </c>
      <c r="L591" t="s">
        <v>625</v>
      </c>
    </row>
    <row r="592" spans="1:12" x14ac:dyDescent="0.15">
      <c r="A592" s="34">
        <v>46113.375833333303</v>
      </c>
      <c r="B592" t="s">
        <v>224</v>
      </c>
      <c r="C592" t="s">
        <v>225</v>
      </c>
      <c r="D592" t="s">
        <v>16</v>
      </c>
      <c r="E592" t="s">
        <v>549</v>
      </c>
      <c r="F592" t="s">
        <v>614</v>
      </c>
      <c r="G592" t="s">
        <v>621</v>
      </c>
      <c r="H592" t="s">
        <v>621</v>
      </c>
      <c r="I592" t="s">
        <v>621</v>
      </c>
      <c r="J592" t="s">
        <v>621</v>
      </c>
      <c r="K592">
        <v>2.1166999999999998</v>
      </c>
      <c r="L592" t="s">
        <v>29</v>
      </c>
    </row>
    <row r="593" spans="1:12" x14ac:dyDescent="0.15">
      <c r="A593" s="34">
        <v>46113.375729166699</v>
      </c>
      <c r="B593" t="s">
        <v>224</v>
      </c>
      <c r="C593" t="s">
        <v>225</v>
      </c>
      <c r="D593" t="s">
        <v>16</v>
      </c>
      <c r="E593" t="s">
        <v>549</v>
      </c>
      <c r="F593" t="s">
        <v>228</v>
      </c>
      <c r="G593" t="s">
        <v>621</v>
      </c>
      <c r="H593" t="s">
        <v>621</v>
      </c>
      <c r="I593" t="s">
        <v>621</v>
      </c>
      <c r="J593" t="s">
        <v>621</v>
      </c>
      <c r="K593">
        <v>2.1166999999999998</v>
      </c>
      <c r="L593" t="s">
        <v>41</v>
      </c>
    </row>
    <row r="594" spans="1:12" x14ac:dyDescent="0.15">
      <c r="A594" s="34">
        <v>46113.375694444403</v>
      </c>
      <c r="B594" t="s">
        <v>224</v>
      </c>
      <c r="C594" t="s">
        <v>225</v>
      </c>
      <c r="D594" t="s">
        <v>16</v>
      </c>
      <c r="E594" t="s">
        <v>549</v>
      </c>
      <c r="F594" t="s">
        <v>141</v>
      </c>
      <c r="G594" t="s">
        <v>621</v>
      </c>
      <c r="H594" t="s">
        <v>621</v>
      </c>
      <c r="I594" t="s">
        <v>621</v>
      </c>
      <c r="J594" t="s">
        <v>621</v>
      </c>
      <c r="K594">
        <v>2.15</v>
      </c>
      <c r="L594" t="s">
        <v>40</v>
      </c>
    </row>
    <row r="595" spans="1:12" x14ac:dyDescent="0.15">
      <c r="A595" s="34">
        <v>46113.375162037002</v>
      </c>
      <c r="B595" t="s">
        <v>148</v>
      </c>
      <c r="C595" t="s">
        <v>149</v>
      </c>
      <c r="D595" t="s">
        <v>16</v>
      </c>
      <c r="E595" t="s">
        <v>550</v>
      </c>
      <c r="F595" t="s">
        <v>585</v>
      </c>
      <c r="G595" t="s">
        <v>621</v>
      </c>
      <c r="H595" t="s">
        <v>621</v>
      </c>
      <c r="I595" t="s">
        <v>621</v>
      </c>
      <c r="J595" t="s">
        <v>621</v>
      </c>
      <c r="K595">
        <v>8.5</v>
      </c>
      <c r="L595" t="s">
        <v>40</v>
      </c>
    </row>
    <row r="596" spans="1:12" x14ac:dyDescent="0.15">
      <c r="A596" s="34">
        <v>46113.372650463003</v>
      </c>
      <c r="B596" t="s">
        <v>79</v>
      </c>
      <c r="C596" t="s">
        <v>80</v>
      </c>
      <c r="D596" t="s">
        <v>16</v>
      </c>
      <c r="E596" t="s">
        <v>550</v>
      </c>
      <c r="F596" t="s">
        <v>585</v>
      </c>
      <c r="G596" t="s">
        <v>621</v>
      </c>
      <c r="H596" t="s">
        <v>621</v>
      </c>
      <c r="I596" t="s">
        <v>621</v>
      </c>
      <c r="J596" t="s">
        <v>621</v>
      </c>
      <c r="K596">
        <v>8.5</v>
      </c>
      <c r="L596" t="s">
        <v>625</v>
      </c>
    </row>
    <row r="597" spans="1:12" x14ac:dyDescent="0.15">
      <c r="A597" s="34">
        <v>46113.368587962999</v>
      </c>
      <c r="B597" t="s">
        <v>201</v>
      </c>
      <c r="C597" t="s">
        <v>202</v>
      </c>
      <c r="D597" t="s">
        <v>16</v>
      </c>
      <c r="E597" t="s">
        <v>550</v>
      </c>
      <c r="F597" t="s">
        <v>615</v>
      </c>
      <c r="G597" t="s">
        <v>621</v>
      </c>
      <c r="H597" t="s">
        <v>621</v>
      </c>
      <c r="I597" t="s">
        <v>621</v>
      </c>
      <c r="J597" t="s">
        <v>621</v>
      </c>
      <c r="K597">
        <v>8.5</v>
      </c>
      <c r="L597" t="s">
        <v>29</v>
      </c>
    </row>
    <row r="598" spans="1:12" x14ac:dyDescent="0.15">
      <c r="A598" s="34">
        <v>46113.363460648201</v>
      </c>
      <c r="B598" t="s">
        <v>176</v>
      </c>
      <c r="C598" t="s">
        <v>177</v>
      </c>
      <c r="D598" t="s">
        <v>16</v>
      </c>
      <c r="E598" t="s">
        <v>549</v>
      </c>
      <c r="F598" t="s">
        <v>613</v>
      </c>
      <c r="G598" t="s">
        <v>621</v>
      </c>
      <c r="H598" t="s">
        <v>621</v>
      </c>
      <c r="I598" t="s">
        <v>621</v>
      </c>
      <c r="J598" t="s">
        <v>621</v>
      </c>
      <c r="K598">
        <v>8.5</v>
      </c>
      <c r="L598" t="s">
        <v>625</v>
      </c>
    </row>
    <row r="599" spans="1:12" x14ac:dyDescent="0.15">
      <c r="A599" s="34">
        <v>46113.363067129598</v>
      </c>
      <c r="B599" t="s">
        <v>219</v>
      </c>
      <c r="C599" t="s">
        <v>220</v>
      </c>
      <c r="D599" t="s">
        <v>16</v>
      </c>
      <c r="E599" t="s">
        <v>549</v>
      </c>
      <c r="F599" t="s">
        <v>616</v>
      </c>
      <c r="G599" t="s">
        <v>621</v>
      </c>
      <c r="H599" t="s">
        <v>621</v>
      </c>
      <c r="I599" t="s">
        <v>621</v>
      </c>
      <c r="J599" t="s">
        <v>621</v>
      </c>
      <c r="K599">
        <v>8.5</v>
      </c>
      <c r="L599" t="s">
        <v>40</v>
      </c>
    </row>
    <row r="600" spans="1:12" x14ac:dyDescent="0.15">
      <c r="A600" s="34">
        <v>46113.355277777802</v>
      </c>
      <c r="B600" t="s">
        <v>245</v>
      </c>
      <c r="C600" t="s">
        <v>246</v>
      </c>
      <c r="D600" t="s">
        <v>16</v>
      </c>
      <c r="E600" t="s">
        <v>550</v>
      </c>
      <c r="F600" t="s">
        <v>585</v>
      </c>
      <c r="G600" t="s">
        <v>621</v>
      </c>
      <c r="H600" t="s">
        <v>621</v>
      </c>
      <c r="I600" t="s">
        <v>621</v>
      </c>
      <c r="J600" t="s">
        <v>621</v>
      </c>
      <c r="K600">
        <v>4.25</v>
      </c>
      <c r="L600" t="s">
        <v>624</v>
      </c>
    </row>
    <row r="601" spans="1:12" x14ac:dyDescent="0.15">
      <c r="A601" s="34">
        <v>46113.345196759299</v>
      </c>
      <c r="B601" t="s">
        <v>216</v>
      </c>
      <c r="C601" t="s">
        <v>217</v>
      </c>
      <c r="D601" t="s">
        <v>16</v>
      </c>
      <c r="E601" t="s">
        <v>550</v>
      </c>
      <c r="F601" t="s">
        <v>257</v>
      </c>
      <c r="G601" t="s">
        <v>621</v>
      </c>
      <c r="H601" t="s">
        <v>621</v>
      </c>
      <c r="I601" t="s">
        <v>621</v>
      </c>
      <c r="J601" t="s">
        <v>621</v>
      </c>
      <c r="K601">
        <v>4.25</v>
      </c>
      <c r="L601" t="s">
        <v>66</v>
      </c>
    </row>
    <row r="602" spans="1:12" x14ac:dyDescent="0.15">
      <c r="A602" s="34">
        <v>46113.345150462999</v>
      </c>
      <c r="B602" t="s">
        <v>216</v>
      </c>
      <c r="C602" t="s">
        <v>217</v>
      </c>
      <c r="D602" t="s">
        <v>16</v>
      </c>
      <c r="E602" t="s">
        <v>550</v>
      </c>
      <c r="F602" t="s">
        <v>218</v>
      </c>
      <c r="G602" t="s">
        <v>621</v>
      </c>
      <c r="H602" t="s">
        <v>621</v>
      </c>
      <c r="I602" t="s">
        <v>621</v>
      </c>
      <c r="J602" t="s">
        <v>621</v>
      </c>
      <c r="K602">
        <v>4.25</v>
      </c>
      <c r="L602" t="s">
        <v>29</v>
      </c>
    </row>
    <row r="603" spans="1:12" x14ac:dyDescent="0.15">
      <c r="A603" s="34">
        <v>46112.5786226852</v>
      </c>
      <c r="B603" t="s">
        <v>48</v>
      </c>
      <c r="C603" t="s">
        <v>49</v>
      </c>
      <c r="D603" t="s">
        <v>16</v>
      </c>
      <c r="E603" t="s">
        <v>549</v>
      </c>
      <c r="F603" t="s">
        <v>608</v>
      </c>
      <c r="G603" t="s">
        <v>621</v>
      </c>
      <c r="H603" t="s">
        <v>621</v>
      </c>
      <c r="I603" t="s">
        <v>621</v>
      </c>
      <c r="J603" t="s">
        <v>621</v>
      </c>
      <c r="K603">
        <v>8.5</v>
      </c>
      <c r="L603" t="s">
        <v>623</v>
      </c>
    </row>
    <row r="604" spans="1:12" x14ac:dyDescent="0.15">
      <c r="A604" s="34">
        <v>46112.450312499997</v>
      </c>
      <c r="B604" t="s">
        <v>107</v>
      </c>
      <c r="C604" t="s">
        <v>108</v>
      </c>
      <c r="D604" t="s">
        <v>16</v>
      </c>
      <c r="E604" t="s">
        <v>549</v>
      </c>
      <c r="F604" t="s">
        <v>611</v>
      </c>
      <c r="G604" t="s">
        <v>621</v>
      </c>
      <c r="H604" t="s">
        <v>621</v>
      </c>
      <c r="I604" t="s">
        <v>621</v>
      </c>
      <c r="J604" t="s">
        <v>621</v>
      </c>
      <c r="K604">
        <v>8.5</v>
      </c>
      <c r="L604" t="s">
        <v>29</v>
      </c>
    </row>
    <row r="605" spans="1:12" x14ac:dyDescent="0.15">
      <c r="A605" s="34">
        <v>46112.441215277802</v>
      </c>
      <c r="B605" t="s">
        <v>57</v>
      </c>
      <c r="C605" t="s">
        <v>58</v>
      </c>
      <c r="D605" t="s">
        <v>16</v>
      </c>
      <c r="E605" t="s">
        <v>549</v>
      </c>
      <c r="F605" t="s">
        <v>601</v>
      </c>
      <c r="G605" t="s">
        <v>621</v>
      </c>
      <c r="H605" t="s">
        <v>621</v>
      </c>
      <c r="I605" t="s">
        <v>621</v>
      </c>
      <c r="J605" t="s">
        <v>621</v>
      </c>
      <c r="K605">
        <v>8.5</v>
      </c>
      <c r="L605" t="s">
        <v>40</v>
      </c>
    </row>
    <row r="606" spans="1:12" x14ac:dyDescent="0.15">
      <c r="A606" s="34">
        <v>46112.394745370402</v>
      </c>
      <c r="B606" t="s">
        <v>263</v>
      </c>
      <c r="C606" t="s">
        <v>264</v>
      </c>
      <c r="D606" t="s">
        <v>16</v>
      </c>
      <c r="E606" t="s">
        <v>550</v>
      </c>
      <c r="F606" t="s">
        <v>265</v>
      </c>
      <c r="G606" t="s">
        <v>621</v>
      </c>
      <c r="H606" t="s">
        <v>621</v>
      </c>
      <c r="I606" t="s">
        <v>621</v>
      </c>
      <c r="J606" t="s">
        <v>621</v>
      </c>
      <c r="K606">
        <v>2.8332999999999999</v>
      </c>
      <c r="L606" t="s">
        <v>45</v>
      </c>
    </row>
    <row r="607" spans="1:12" x14ac:dyDescent="0.15">
      <c r="A607" s="34">
        <v>46112.394293981502</v>
      </c>
      <c r="B607" t="s">
        <v>263</v>
      </c>
      <c r="C607" t="s">
        <v>264</v>
      </c>
      <c r="D607" t="s">
        <v>16</v>
      </c>
      <c r="E607" t="s">
        <v>550</v>
      </c>
      <c r="F607" t="s">
        <v>591</v>
      </c>
      <c r="G607" t="s">
        <v>621</v>
      </c>
      <c r="H607" t="s">
        <v>621</v>
      </c>
      <c r="I607" t="s">
        <v>621</v>
      </c>
      <c r="J607" t="s">
        <v>621</v>
      </c>
      <c r="K607">
        <v>2.8332999999999999</v>
      </c>
      <c r="L607" t="s">
        <v>40</v>
      </c>
    </row>
    <row r="608" spans="1:12" x14ac:dyDescent="0.15">
      <c r="A608" s="34">
        <v>46112.394062500003</v>
      </c>
      <c r="B608" t="s">
        <v>263</v>
      </c>
      <c r="C608" t="s">
        <v>264</v>
      </c>
      <c r="D608" t="s">
        <v>16</v>
      </c>
      <c r="E608" t="s">
        <v>550</v>
      </c>
      <c r="F608" t="s">
        <v>585</v>
      </c>
      <c r="G608" t="s">
        <v>621</v>
      </c>
      <c r="H608" t="s">
        <v>621</v>
      </c>
      <c r="I608" t="s">
        <v>621</v>
      </c>
      <c r="J608" t="s">
        <v>621</v>
      </c>
      <c r="K608">
        <v>2.8332999999999999</v>
      </c>
      <c r="L608" t="s">
        <v>40</v>
      </c>
    </row>
    <row r="609" spans="1:12" x14ac:dyDescent="0.15">
      <c r="A609" s="34">
        <v>46112.379259259302</v>
      </c>
      <c r="B609" t="s">
        <v>148</v>
      </c>
      <c r="C609" t="s">
        <v>149</v>
      </c>
      <c r="D609" t="s">
        <v>16</v>
      </c>
      <c r="E609" t="s">
        <v>550</v>
      </c>
      <c r="F609" t="s">
        <v>585</v>
      </c>
      <c r="G609" t="s">
        <v>621</v>
      </c>
      <c r="H609" t="s">
        <v>621</v>
      </c>
      <c r="I609" t="s">
        <v>621</v>
      </c>
      <c r="J609" t="s">
        <v>621</v>
      </c>
      <c r="K609">
        <v>8.5</v>
      </c>
      <c r="L609" t="s">
        <v>45</v>
      </c>
    </row>
    <row r="610" spans="1:12" x14ac:dyDescent="0.15">
      <c r="A610" s="34">
        <v>46112.378310185202</v>
      </c>
      <c r="B610" t="s">
        <v>224</v>
      </c>
      <c r="C610" t="s">
        <v>225</v>
      </c>
      <c r="D610" t="s">
        <v>16</v>
      </c>
      <c r="E610" t="s">
        <v>549</v>
      </c>
      <c r="F610" t="s">
        <v>600</v>
      </c>
      <c r="G610" t="s">
        <v>68</v>
      </c>
      <c r="H610" t="s">
        <v>621</v>
      </c>
      <c r="I610" t="s">
        <v>162</v>
      </c>
      <c r="J610" t="s">
        <v>621</v>
      </c>
      <c r="K610">
        <v>3</v>
      </c>
      <c r="L610" t="s">
        <v>29</v>
      </c>
    </row>
    <row r="611" spans="1:12" x14ac:dyDescent="0.15">
      <c r="A611" s="34">
        <v>46112.376435185201</v>
      </c>
      <c r="B611" t="s">
        <v>224</v>
      </c>
      <c r="C611" t="s">
        <v>225</v>
      </c>
      <c r="D611" t="s">
        <v>16</v>
      </c>
      <c r="E611" t="s">
        <v>549</v>
      </c>
      <c r="F611" t="s">
        <v>228</v>
      </c>
      <c r="G611" t="s">
        <v>621</v>
      </c>
      <c r="H611" t="s">
        <v>621</v>
      </c>
      <c r="I611" t="s">
        <v>621</v>
      </c>
      <c r="J611" t="s">
        <v>621</v>
      </c>
      <c r="K611">
        <v>1.6833</v>
      </c>
      <c r="L611" t="s">
        <v>41</v>
      </c>
    </row>
    <row r="612" spans="1:12" x14ac:dyDescent="0.15">
      <c r="A612" s="34">
        <v>46112.376435185201</v>
      </c>
      <c r="B612" t="s">
        <v>224</v>
      </c>
      <c r="C612" t="s">
        <v>225</v>
      </c>
      <c r="D612" t="s">
        <v>16</v>
      </c>
      <c r="E612" t="s">
        <v>549</v>
      </c>
      <c r="F612" t="s">
        <v>141</v>
      </c>
      <c r="G612" t="s">
        <v>621</v>
      </c>
      <c r="H612" t="s">
        <v>621</v>
      </c>
      <c r="I612" t="s">
        <v>621</v>
      </c>
      <c r="J612" t="s">
        <v>621</v>
      </c>
      <c r="K612">
        <v>2</v>
      </c>
      <c r="L612" t="s">
        <v>29</v>
      </c>
    </row>
    <row r="613" spans="1:12" x14ac:dyDescent="0.15">
      <c r="A613" s="34">
        <v>46112.375243055503</v>
      </c>
      <c r="B613" t="s">
        <v>76</v>
      </c>
      <c r="C613" t="s">
        <v>77</v>
      </c>
      <c r="D613" t="s">
        <v>16</v>
      </c>
      <c r="E613" t="s">
        <v>549</v>
      </c>
      <c r="F613" t="s">
        <v>78</v>
      </c>
      <c r="G613" t="s">
        <v>621</v>
      </c>
      <c r="H613" t="s">
        <v>621</v>
      </c>
      <c r="I613" t="s">
        <v>621</v>
      </c>
      <c r="J613" t="s">
        <v>621</v>
      </c>
      <c r="K613">
        <v>8.5</v>
      </c>
      <c r="L613" t="s">
        <v>29</v>
      </c>
    </row>
    <row r="614" spans="1:12" x14ac:dyDescent="0.15">
      <c r="A614" s="34">
        <v>46112.3727083333</v>
      </c>
      <c r="B614" t="s">
        <v>138</v>
      </c>
      <c r="C614" t="s">
        <v>139</v>
      </c>
      <c r="D614" t="s">
        <v>16</v>
      </c>
      <c r="E614" t="s">
        <v>549</v>
      </c>
      <c r="F614" t="s">
        <v>261</v>
      </c>
      <c r="G614" t="s">
        <v>621</v>
      </c>
      <c r="H614" t="s">
        <v>621</v>
      </c>
      <c r="I614" t="s">
        <v>621</v>
      </c>
      <c r="J614" t="s">
        <v>621</v>
      </c>
      <c r="K614">
        <v>8.5</v>
      </c>
      <c r="L614" t="s">
        <v>40</v>
      </c>
    </row>
    <row r="615" spans="1:12" x14ac:dyDescent="0.15">
      <c r="A615" s="34">
        <v>46112.372395833299</v>
      </c>
      <c r="B615" t="s">
        <v>290</v>
      </c>
      <c r="C615" t="s">
        <v>291</v>
      </c>
      <c r="D615" t="s">
        <v>16</v>
      </c>
      <c r="E615" t="s">
        <v>550</v>
      </c>
      <c r="F615" t="s">
        <v>585</v>
      </c>
      <c r="G615" t="s">
        <v>621</v>
      </c>
      <c r="H615" t="s">
        <v>621</v>
      </c>
      <c r="I615" t="s">
        <v>621</v>
      </c>
      <c r="J615" t="s">
        <v>621</v>
      </c>
      <c r="K615">
        <v>8.5</v>
      </c>
      <c r="L615" t="s">
        <v>625</v>
      </c>
    </row>
    <row r="616" spans="1:12" x14ac:dyDescent="0.15">
      <c r="A616" s="34">
        <v>46112.368946759299</v>
      </c>
      <c r="B616" t="s">
        <v>201</v>
      </c>
      <c r="C616" t="s">
        <v>202</v>
      </c>
      <c r="D616" t="s">
        <v>16</v>
      </c>
      <c r="E616" t="s">
        <v>550</v>
      </c>
      <c r="F616" t="s">
        <v>615</v>
      </c>
      <c r="G616" t="s">
        <v>621</v>
      </c>
      <c r="H616" t="s">
        <v>621</v>
      </c>
      <c r="I616" t="s">
        <v>621</v>
      </c>
      <c r="J616" t="s">
        <v>621</v>
      </c>
      <c r="K616">
        <v>8.5</v>
      </c>
      <c r="L616" t="s">
        <v>40</v>
      </c>
    </row>
    <row r="617" spans="1:12" x14ac:dyDescent="0.15">
      <c r="A617" s="34">
        <v>46112.365601851903</v>
      </c>
      <c r="B617" t="s">
        <v>245</v>
      </c>
      <c r="C617" t="s">
        <v>246</v>
      </c>
      <c r="D617" t="s">
        <v>16</v>
      </c>
      <c r="E617" t="s">
        <v>550</v>
      </c>
      <c r="F617" t="s">
        <v>585</v>
      </c>
      <c r="G617" t="s">
        <v>621</v>
      </c>
      <c r="H617" t="s">
        <v>621</v>
      </c>
      <c r="I617" t="s">
        <v>621</v>
      </c>
      <c r="J617" t="s">
        <v>621</v>
      </c>
      <c r="K617">
        <v>8.5</v>
      </c>
      <c r="L617" t="s">
        <v>29</v>
      </c>
    </row>
    <row r="618" spans="1:12" x14ac:dyDescent="0.15">
      <c r="A618" s="34">
        <v>46112.362916666701</v>
      </c>
      <c r="B618" t="s">
        <v>176</v>
      </c>
      <c r="C618" t="s">
        <v>177</v>
      </c>
      <c r="D618" t="s">
        <v>16</v>
      </c>
      <c r="E618" t="s">
        <v>549</v>
      </c>
      <c r="F618" t="s">
        <v>613</v>
      </c>
      <c r="G618" t="s">
        <v>621</v>
      </c>
      <c r="H618" t="s">
        <v>621</v>
      </c>
      <c r="I618" t="s">
        <v>621</v>
      </c>
      <c r="J618" t="s">
        <v>621</v>
      </c>
      <c r="K618">
        <v>8.5</v>
      </c>
      <c r="L618" t="s">
        <v>66</v>
      </c>
    </row>
    <row r="619" spans="1:12" x14ac:dyDescent="0.15">
      <c r="A619" s="34">
        <v>46112.362604166701</v>
      </c>
      <c r="B619" t="s">
        <v>79</v>
      </c>
      <c r="C619" t="s">
        <v>80</v>
      </c>
      <c r="D619" t="s">
        <v>16</v>
      </c>
      <c r="E619" t="s">
        <v>550</v>
      </c>
      <c r="F619" t="s">
        <v>617</v>
      </c>
      <c r="G619" t="s">
        <v>621</v>
      </c>
      <c r="H619" t="s">
        <v>621</v>
      </c>
      <c r="I619" t="s">
        <v>621</v>
      </c>
      <c r="J619" t="s">
        <v>621</v>
      </c>
      <c r="K619">
        <v>8.5</v>
      </c>
      <c r="L619" t="s">
        <v>624</v>
      </c>
    </row>
    <row r="620" spans="1:12" x14ac:dyDescent="0.15">
      <c r="A620" s="34">
        <v>46112.361030092601</v>
      </c>
      <c r="B620" t="s">
        <v>216</v>
      </c>
      <c r="C620" t="s">
        <v>217</v>
      </c>
      <c r="D620" t="s">
        <v>16</v>
      </c>
      <c r="E620" t="s">
        <v>550</v>
      </c>
      <c r="F620" t="s">
        <v>257</v>
      </c>
      <c r="G620" t="s">
        <v>621</v>
      </c>
      <c r="H620" t="s">
        <v>621</v>
      </c>
      <c r="I620" t="s">
        <v>621</v>
      </c>
      <c r="J620" t="s">
        <v>621</v>
      </c>
      <c r="K620">
        <v>4.25</v>
      </c>
      <c r="L620" t="s">
        <v>66</v>
      </c>
    </row>
    <row r="621" spans="1:12" x14ac:dyDescent="0.15">
      <c r="A621" s="34">
        <v>46112.360972222203</v>
      </c>
      <c r="B621" t="s">
        <v>216</v>
      </c>
      <c r="C621" t="s">
        <v>217</v>
      </c>
      <c r="D621" t="s">
        <v>16</v>
      </c>
      <c r="E621" t="s">
        <v>550</v>
      </c>
      <c r="F621" t="s">
        <v>218</v>
      </c>
      <c r="G621" t="s">
        <v>621</v>
      </c>
      <c r="H621" t="s">
        <v>621</v>
      </c>
      <c r="I621" t="s">
        <v>621</v>
      </c>
      <c r="J621" t="s">
        <v>621</v>
      </c>
      <c r="K621">
        <v>4.25</v>
      </c>
      <c r="L621" t="s">
        <v>29</v>
      </c>
    </row>
    <row r="622" spans="1:12" x14ac:dyDescent="0.15">
      <c r="A622" s="34">
        <v>46112.355046296303</v>
      </c>
      <c r="B622" t="s">
        <v>219</v>
      </c>
      <c r="C622" t="s">
        <v>220</v>
      </c>
      <c r="D622" t="s">
        <v>16</v>
      </c>
      <c r="E622" t="s">
        <v>549</v>
      </c>
      <c r="F622" t="s">
        <v>140</v>
      </c>
      <c r="G622" t="s">
        <v>621</v>
      </c>
      <c r="H622" t="s">
        <v>621</v>
      </c>
      <c r="I622" t="s">
        <v>621</v>
      </c>
      <c r="J622" t="s">
        <v>621</v>
      </c>
      <c r="K622">
        <v>8.5</v>
      </c>
      <c r="L622" t="s">
        <v>624</v>
      </c>
    </row>
    <row r="623" spans="1:12" x14ac:dyDescent="0.15">
      <c r="A623" s="34">
        <v>46111.505081018498</v>
      </c>
      <c r="B623" t="s">
        <v>76</v>
      </c>
      <c r="C623" t="s">
        <v>77</v>
      </c>
      <c r="D623" t="s">
        <v>16</v>
      </c>
      <c r="E623" t="s">
        <v>549</v>
      </c>
      <c r="F623" t="s">
        <v>260</v>
      </c>
      <c r="G623" t="s">
        <v>621</v>
      </c>
      <c r="H623" t="s">
        <v>621</v>
      </c>
      <c r="I623" t="s">
        <v>621</v>
      </c>
      <c r="J623" t="s">
        <v>621</v>
      </c>
      <c r="K623">
        <v>8.5</v>
      </c>
      <c r="L623" t="s">
        <v>40</v>
      </c>
    </row>
    <row r="624" spans="1:12" x14ac:dyDescent="0.15">
      <c r="A624" s="34">
        <v>46111.467071759304</v>
      </c>
      <c r="B624" t="s">
        <v>245</v>
      </c>
      <c r="C624" t="s">
        <v>246</v>
      </c>
      <c r="D624" t="s">
        <v>16</v>
      </c>
      <c r="E624" t="s">
        <v>550</v>
      </c>
      <c r="F624" t="s">
        <v>585</v>
      </c>
      <c r="G624" t="s">
        <v>621</v>
      </c>
      <c r="H624" t="s">
        <v>621</v>
      </c>
      <c r="I624" t="s">
        <v>621</v>
      </c>
      <c r="J624" t="s">
        <v>621</v>
      </c>
      <c r="K624">
        <v>4.25</v>
      </c>
      <c r="L624" t="s">
        <v>623</v>
      </c>
    </row>
    <row r="625" spans="1:12" x14ac:dyDescent="0.15">
      <c r="A625" s="34">
        <v>46111.459212962996</v>
      </c>
      <c r="B625" t="s">
        <v>107</v>
      </c>
      <c r="C625" t="s">
        <v>108</v>
      </c>
      <c r="D625" t="s">
        <v>16</v>
      </c>
      <c r="E625" t="s">
        <v>549</v>
      </c>
      <c r="F625" t="s">
        <v>611</v>
      </c>
      <c r="G625" t="s">
        <v>621</v>
      </c>
      <c r="H625" t="s">
        <v>621</v>
      </c>
      <c r="I625" t="s">
        <v>621</v>
      </c>
      <c r="J625" t="s">
        <v>621</v>
      </c>
      <c r="K625">
        <v>8.5</v>
      </c>
      <c r="L625" t="s">
        <v>625</v>
      </c>
    </row>
    <row r="626" spans="1:12" x14ac:dyDescent="0.15">
      <c r="A626" s="34">
        <v>46111.448703703703</v>
      </c>
      <c r="B626" t="s">
        <v>201</v>
      </c>
      <c r="C626" t="s">
        <v>202</v>
      </c>
      <c r="D626" t="s">
        <v>16</v>
      </c>
      <c r="E626" t="s">
        <v>550</v>
      </c>
      <c r="F626" t="s">
        <v>615</v>
      </c>
      <c r="G626" t="s">
        <v>621</v>
      </c>
      <c r="H626" t="s">
        <v>621</v>
      </c>
      <c r="I626" t="s">
        <v>621</v>
      </c>
      <c r="J626" t="s">
        <v>621</v>
      </c>
      <c r="K626">
        <v>8.5</v>
      </c>
      <c r="L626" t="s">
        <v>29</v>
      </c>
    </row>
    <row r="627" spans="1:12" x14ac:dyDescent="0.15">
      <c r="A627" s="34">
        <v>46111.443518518499</v>
      </c>
      <c r="B627" t="s">
        <v>48</v>
      </c>
      <c r="C627" t="s">
        <v>49</v>
      </c>
      <c r="D627" t="s">
        <v>16</v>
      </c>
      <c r="E627" t="s">
        <v>549</v>
      </c>
      <c r="F627" t="s">
        <v>608</v>
      </c>
      <c r="G627" t="s">
        <v>621</v>
      </c>
      <c r="H627" t="s">
        <v>621</v>
      </c>
      <c r="I627" t="s">
        <v>621</v>
      </c>
      <c r="J627" t="s">
        <v>621</v>
      </c>
      <c r="K627">
        <v>8.5</v>
      </c>
      <c r="L627" t="s">
        <v>41</v>
      </c>
    </row>
    <row r="628" spans="1:12" x14ac:dyDescent="0.15">
      <c r="A628" s="34">
        <v>46111.428726851896</v>
      </c>
      <c r="B628" t="s">
        <v>263</v>
      </c>
      <c r="C628" t="s">
        <v>264</v>
      </c>
      <c r="D628" t="s">
        <v>16</v>
      </c>
      <c r="E628" t="s">
        <v>550</v>
      </c>
      <c r="F628" t="s">
        <v>150</v>
      </c>
      <c r="G628" t="s">
        <v>621</v>
      </c>
      <c r="H628" t="s">
        <v>621</v>
      </c>
      <c r="I628" t="s">
        <v>621</v>
      </c>
      <c r="J628" t="s">
        <v>621</v>
      </c>
      <c r="K628">
        <v>2.8332999999999999</v>
      </c>
      <c r="L628" t="s">
        <v>40</v>
      </c>
    </row>
    <row r="629" spans="1:12" x14ac:dyDescent="0.15">
      <c r="A629" s="34">
        <v>46111.428483796299</v>
      </c>
      <c r="B629" t="s">
        <v>263</v>
      </c>
      <c r="C629" t="s">
        <v>264</v>
      </c>
      <c r="D629" t="s">
        <v>16</v>
      </c>
      <c r="E629" t="s">
        <v>550</v>
      </c>
      <c r="F629" t="s">
        <v>585</v>
      </c>
      <c r="G629" t="s">
        <v>621</v>
      </c>
      <c r="H629" t="s">
        <v>621</v>
      </c>
      <c r="I629" t="s">
        <v>621</v>
      </c>
      <c r="J629" t="s">
        <v>621</v>
      </c>
      <c r="K629">
        <v>2.8332999999999999</v>
      </c>
      <c r="L629" t="s">
        <v>45</v>
      </c>
    </row>
    <row r="630" spans="1:12" x14ac:dyDescent="0.15">
      <c r="A630" s="34">
        <v>46111.428310185198</v>
      </c>
      <c r="B630" t="s">
        <v>263</v>
      </c>
      <c r="C630" t="s">
        <v>264</v>
      </c>
      <c r="D630" t="s">
        <v>16</v>
      </c>
      <c r="E630" t="s">
        <v>550</v>
      </c>
      <c r="F630" t="s">
        <v>591</v>
      </c>
      <c r="G630" t="s">
        <v>621</v>
      </c>
      <c r="H630" t="s">
        <v>621</v>
      </c>
      <c r="I630" t="s">
        <v>621</v>
      </c>
      <c r="J630" t="s">
        <v>621</v>
      </c>
      <c r="K630">
        <v>2.8332999999999999</v>
      </c>
      <c r="L630" t="s">
        <v>40</v>
      </c>
    </row>
    <row r="631" spans="1:12" x14ac:dyDescent="0.15">
      <c r="A631" s="34">
        <v>46111.425844907397</v>
      </c>
      <c r="B631" t="s">
        <v>290</v>
      </c>
      <c r="C631" t="s">
        <v>291</v>
      </c>
      <c r="D631" t="s">
        <v>16</v>
      </c>
      <c r="E631" t="s">
        <v>550</v>
      </c>
      <c r="F631" t="s">
        <v>585</v>
      </c>
      <c r="G631" t="s">
        <v>621</v>
      </c>
      <c r="H631" t="s">
        <v>621</v>
      </c>
      <c r="I631" t="s">
        <v>621</v>
      </c>
      <c r="J631" t="s">
        <v>621</v>
      </c>
      <c r="K631">
        <v>8.5</v>
      </c>
      <c r="L631" t="s">
        <v>29</v>
      </c>
    </row>
    <row r="632" spans="1:12" x14ac:dyDescent="0.15">
      <c r="A632" s="34">
        <v>46111.424444444398</v>
      </c>
      <c r="B632" t="s">
        <v>176</v>
      </c>
      <c r="C632" t="s">
        <v>177</v>
      </c>
      <c r="D632" t="s">
        <v>16</v>
      </c>
      <c r="E632" t="s">
        <v>549</v>
      </c>
      <c r="F632" t="s">
        <v>613</v>
      </c>
      <c r="G632" t="s">
        <v>621</v>
      </c>
      <c r="H632" t="s">
        <v>621</v>
      </c>
      <c r="I632" t="s">
        <v>621</v>
      </c>
      <c r="J632" t="s">
        <v>621</v>
      </c>
      <c r="K632">
        <v>8.5</v>
      </c>
      <c r="L632" t="s">
        <v>29</v>
      </c>
    </row>
    <row r="633" spans="1:12" x14ac:dyDescent="0.15">
      <c r="A633" s="34">
        <v>46111.406689814801</v>
      </c>
      <c r="B633" t="s">
        <v>138</v>
      </c>
      <c r="C633" t="s">
        <v>139</v>
      </c>
      <c r="D633" t="s">
        <v>16</v>
      </c>
      <c r="E633" t="s">
        <v>549</v>
      </c>
      <c r="F633" t="s">
        <v>261</v>
      </c>
      <c r="G633" t="s">
        <v>621</v>
      </c>
      <c r="H633" t="s">
        <v>621</v>
      </c>
      <c r="I633" t="s">
        <v>621</v>
      </c>
      <c r="J633" t="s">
        <v>621</v>
      </c>
      <c r="K633">
        <v>4.25</v>
      </c>
      <c r="L633" t="s">
        <v>41</v>
      </c>
    </row>
    <row r="634" spans="1:12" x14ac:dyDescent="0.15">
      <c r="A634" s="34">
        <v>46111.387951388897</v>
      </c>
      <c r="B634" t="s">
        <v>148</v>
      </c>
      <c r="C634" t="s">
        <v>149</v>
      </c>
      <c r="D634" t="s">
        <v>16</v>
      </c>
      <c r="E634" t="s">
        <v>550</v>
      </c>
      <c r="F634" t="s">
        <v>150</v>
      </c>
      <c r="G634" t="s">
        <v>621</v>
      </c>
      <c r="H634" t="s">
        <v>621</v>
      </c>
      <c r="I634" t="s">
        <v>621</v>
      </c>
      <c r="J634" t="s">
        <v>621</v>
      </c>
      <c r="K634">
        <v>8.5</v>
      </c>
      <c r="L634" t="s">
        <v>41</v>
      </c>
    </row>
    <row r="635" spans="1:12" x14ac:dyDescent="0.15">
      <c r="A635" s="34">
        <v>46111.382129629601</v>
      </c>
      <c r="B635" t="s">
        <v>156</v>
      </c>
      <c r="C635" t="s">
        <v>157</v>
      </c>
      <c r="D635" t="s">
        <v>16</v>
      </c>
      <c r="E635" t="s">
        <v>549</v>
      </c>
      <c r="F635" t="s">
        <v>610</v>
      </c>
      <c r="G635" t="s">
        <v>621</v>
      </c>
      <c r="H635" t="s">
        <v>621</v>
      </c>
      <c r="I635" t="s">
        <v>621</v>
      </c>
      <c r="J635" t="s">
        <v>621</v>
      </c>
      <c r="K635">
        <v>8.5</v>
      </c>
      <c r="L635" t="s">
        <v>29</v>
      </c>
    </row>
    <row r="636" spans="1:12" x14ac:dyDescent="0.15">
      <c r="A636" s="34">
        <v>46111.377939814804</v>
      </c>
      <c r="B636" t="s">
        <v>138</v>
      </c>
      <c r="C636" t="s">
        <v>139</v>
      </c>
      <c r="D636" t="s">
        <v>16</v>
      </c>
      <c r="E636" t="s">
        <v>549</v>
      </c>
      <c r="F636" t="s">
        <v>262</v>
      </c>
      <c r="G636" t="s">
        <v>621</v>
      </c>
      <c r="H636" t="s">
        <v>621</v>
      </c>
      <c r="I636" t="s">
        <v>621</v>
      </c>
      <c r="J636" t="s">
        <v>621</v>
      </c>
      <c r="K636">
        <v>4.25</v>
      </c>
      <c r="L636" t="s">
        <v>625</v>
      </c>
    </row>
    <row r="637" spans="1:12" x14ac:dyDescent="0.15">
      <c r="A637" s="34">
        <v>46111.374895833302</v>
      </c>
      <c r="B637" t="s">
        <v>224</v>
      </c>
      <c r="C637" t="s">
        <v>225</v>
      </c>
      <c r="D637" t="s">
        <v>16</v>
      </c>
      <c r="E637" t="s">
        <v>549</v>
      </c>
      <c r="F637" t="s">
        <v>614</v>
      </c>
      <c r="G637" t="s">
        <v>621</v>
      </c>
      <c r="H637" t="s">
        <v>621</v>
      </c>
      <c r="I637" t="s">
        <v>621</v>
      </c>
      <c r="J637" t="s">
        <v>621</v>
      </c>
      <c r="K637">
        <v>2.8332999999999999</v>
      </c>
      <c r="L637" t="s">
        <v>66</v>
      </c>
    </row>
    <row r="638" spans="1:12" x14ac:dyDescent="0.15">
      <c r="A638" s="34">
        <v>46111.373344907399</v>
      </c>
      <c r="B638" t="s">
        <v>79</v>
      </c>
      <c r="C638" t="s">
        <v>80</v>
      </c>
      <c r="D638" t="s">
        <v>16</v>
      </c>
      <c r="E638" t="s">
        <v>550</v>
      </c>
      <c r="F638" t="s">
        <v>617</v>
      </c>
      <c r="G638" t="s">
        <v>621</v>
      </c>
      <c r="H638" t="s">
        <v>621</v>
      </c>
      <c r="I638" t="s">
        <v>621</v>
      </c>
      <c r="J638" t="s">
        <v>621</v>
      </c>
      <c r="K638">
        <v>8.5</v>
      </c>
      <c r="L638" t="s">
        <v>29</v>
      </c>
    </row>
    <row r="639" spans="1:12" x14ac:dyDescent="0.15">
      <c r="A639" s="34">
        <v>46111.372974537</v>
      </c>
      <c r="B639" t="s">
        <v>224</v>
      </c>
      <c r="C639" t="s">
        <v>225</v>
      </c>
      <c r="D639" t="s">
        <v>16</v>
      </c>
      <c r="E639" t="s">
        <v>549</v>
      </c>
      <c r="F639" t="s">
        <v>228</v>
      </c>
      <c r="G639" t="s">
        <v>621</v>
      </c>
      <c r="H639" t="s">
        <v>621</v>
      </c>
      <c r="I639" t="s">
        <v>621</v>
      </c>
      <c r="J639" t="s">
        <v>621</v>
      </c>
      <c r="K639">
        <v>2.8332999999999999</v>
      </c>
      <c r="L639" t="s">
        <v>41</v>
      </c>
    </row>
    <row r="640" spans="1:12" x14ac:dyDescent="0.15">
      <c r="A640" s="34">
        <v>46111.372824074097</v>
      </c>
      <c r="B640" t="s">
        <v>224</v>
      </c>
      <c r="C640" t="s">
        <v>225</v>
      </c>
      <c r="D640" t="s">
        <v>16</v>
      </c>
      <c r="E640" t="s">
        <v>549</v>
      </c>
      <c r="F640" t="s">
        <v>141</v>
      </c>
      <c r="G640" t="s">
        <v>621</v>
      </c>
      <c r="H640" t="s">
        <v>621</v>
      </c>
      <c r="I640" t="s">
        <v>621</v>
      </c>
      <c r="J640" t="s">
        <v>621</v>
      </c>
      <c r="K640">
        <v>2.8332999999999999</v>
      </c>
      <c r="L640" t="s">
        <v>41</v>
      </c>
    </row>
    <row r="641" spans="1:12" x14ac:dyDescent="0.15">
      <c r="A641" s="34">
        <v>46111.367581018501</v>
      </c>
      <c r="B641" t="s">
        <v>245</v>
      </c>
      <c r="C641" t="s">
        <v>246</v>
      </c>
      <c r="D641" t="s">
        <v>16</v>
      </c>
      <c r="E641" t="s">
        <v>550</v>
      </c>
      <c r="F641" t="s">
        <v>150</v>
      </c>
      <c r="G641" t="s">
        <v>621</v>
      </c>
      <c r="H641" t="s">
        <v>621</v>
      </c>
      <c r="I641" t="s">
        <v>621</v>
      </c>
      <c r="J641" t="s">
        <v>621</v>
      </c>
      <c r="K641">
        <v>4.25</v>
      </c>
      <c r="L641" t="s">
        <v>29</v>
      </c>
    </row>
    <row r="642" spans="1:12" x14ac:dyDescent="0.15">
      <c r="A642" s="34">
        <v>46111.353506944397</v>
      </c>
      <c r="B642" t="s">
        <v>219</v>
      </c>
      <c r="C642" t="s">
        <v>220</v>
      </c>
      <c r="D642" t="s">
        <v>16</v>
      </c>
      <c r="E642" t="s">
        <v>549</v>
      </c>
      <c r="F642" t="s">
        <v>140</v>
      </c>
      <c r="G642" t="s">
        <v>621</v>
      </c>
      <c r="H642" t="s">
        <v>621</v>
      </c>
      <c r="I642" t="s">
        <v>621</v>
      </c>
      <c r="J642" t="s">
        <v>621</v>
      </c>
      <c r="K642">
        <v>8.5</v>
      </c>
      <c r="L642" t="s">
        <v>29</v>
      </c>
    </row>
    <row r="643" spans="1:12" x14ac:dyDescent="0.15">
      <c r="A643" s="34">
        <v>46108.894155092603</v>
      </c>
      <c r="B643" t="s">
        <v>224</v>
      </c>
      <c r="C643" t="s">
        <v>225</v>
      </c>
      <c r="D643" t="s">
        <v>16</v>
      </c>
      <c r="E643" t="s">
        <v>549</v>
      </c>
      <c r="F643" t="s">
        <v>228</v>
      </c>
      <c r="G643" t="s">
        <v>621</v>
      </c>
      <c r="H643" t="s">
        <v>621</v>
      </c>
      <c r="I643" t="s">
        <v>621</v>
      </c>
      <c r="J643" t="s">
        <v>621</v>
      </c>
      <c r="K643">
        <v>4.25</v>
      </c>
      <c r="L643" t="s">
        <v>41</v>
      </c>
    </row>
    <row r="644" spans="1:12" x14ac:dyDescent="0.15">
      <c r="A644" s="34">
        <v>46108.894097222197</v>
      </c>
      <c r="B644" t="s">
        <v>224</v>
      </c>
      <c r="C644" t="s">
        <v>225</v>
      </c>
      <c r="D644" t="s">
        <v>16</v>
      </c>
      <c r="E644" t="s">
        <v>549</v>
      </c>
      <c r="F644" t="s">
        <v>141</v>
      </c>
      <c r="G644" t="s">
        <v>621</v>
      </c>
      <c r="H644" t="s">
        <v>621</v>
      </c>
      <c r="I644" t="s">
        <v>621</v>
      </c>
      <c r="J644" t="s">
        <v>621</v>
      </c>
      <c r="K644">
        <v>4.25</v>
      </c>
      <c r="L644" t="s">
        <v>29</v>
      </c>
    </row>
    <row r="645" spans="1:12" x14ac:dyDescent="0.15">
      <c r="A645" s="34">
        <v>46108.634131944404</v>
      </c>
      <c r="B645" t="s">
        <v>138</v>
      </c>
      <c r="C645" t="s">
        <v>139</v>
      </c>
      <c r="D645" t="s">
        <v>16</v>
      </c>
      <c r="E645" t="s">
        <v>549</v>
      </c>
      <c r="F645" t="s">
        <v>262</v>
      </c>
      <c r="G645" t="s">
        <v>621</v>
      </c>
      <c r="H645" t="s">
        <v>621</v>
      </c>
      <c r="I645" t="s">
        <v>621</v>
      </c>
      <c r="J645" t="s">
        <v>621</v>
      </c>
      <c r="K645">
        <v>4.25</v>
      </c>
      <c r="L645" t="s">
        <v>41</v>
      </c>
    </row>
    <row r="646" spans="1:12" x14ac:dyDescent="0.15">
      <c r="A646" s="34">
        <v>46108.633923611102</v>
      </c>
      <c r="B646" t="s">
        <v>138</v>
      </c>
      <c r="C646" t="s">
        <v>139</v>
      </c>
      <c r="D646" t="s">
        <v>16</v>
      </c>
      <c r="E646" t="s">
        <v>549</v>
      </c>
      <c r="F646" t="s">
        <v>141</v>
      </c>
      <c r="G646" t="s">
        <v>621</v>
      </c>
      <c r="H646" t="s">
        <v>621</v>
      </c>
      <c r="I646" t="s">
        <v>621</v>
      </c>
      <c r="J646" t="s">
        <v>621</v>
      </c>
      <c r="K646">
        <v>4.25</v>
      </c>
      <c r="L646" t="s">
        <v>624</v>
      </c>
    </row>
    <row r="647" spans="1:12" x14ac:dyDescent="0.15">
      <c r="A647" s="34">
        <v>46108.433807870402</v>
      </c>
      <c r="B647" t="s">
        <v>176</v>
      </c>
      <c r="C647" t="s">
        <v>177</v>
      </c>
      <c r="D647" t="s">
        <v>16</v>
      </c>
      <c r="E647" t="s">
        <v>549</v>
      </c>
      <c r="F647" t="s">
        <v>59</v>
      </c>
      <c r="G647" t="s">
        <v>621</v>
      </c>
      <c r="H647" t="s">
        <v>621</v>
      </c>
      <c r="I647" t="s">
        <v>621</v>
      </c>
      <c r="J647" t="s">
        <v>621</v>
      </c>
      <c r="K647">
        <v>8.5</v>
      </c>
      <c r="L647" t="s">
        <v>41</v>
      </c>
    </row>
    <row r="648" spans="1:12" x14ac:dyDescent="0.15">
      <c r="A648" s="34">
        <v>46108.433321759301</v>
      </c>
      <c r="B648" t="s">
        <v>148</v>
      </c>
      <c r="C648" t="s">
        <v>149</v>
      </c>
      <c r="D648" t="s">
        <v>16</v>
      </c>
      <c r="E648" t="s">
        <v>550</v>
      </c>
      <c r="F648" t="s">
        <v>150</v>
      </c>
      <c r="G648" t="s">
        <v>621</v>
      </c>
      <c r="H648" t="s">
        <v>621</v>
      </c>
      <c r="I648" t="s">
        <v>621</v>
      </c>
      <c r="J648" t="s">
        <v>621</v>
      </c>
      <c r="K648">
        <v>8.5</v>
      </c>
      <c r="L648" t="s">
        <v>29</v>
      </c>
    </row>
    <row r="649" spans="1:12" x14ac:dyDescent="0.15">
      <c r="A649" s="34">
        <v>46108.422256944403</v>
      </c>
      <c r="B649" t="s">
        <v>76</v>
      </c>
      <c r="C649" t="s">
        <v>77</v>
      </c>
      <c r="D649" t="s">
        <v>16</v>
      </c>
      <c r="E649" t="s">
        <v>549</v>
      </c>
      <c r="F649" t="s">
        <v>140</v>
      </c>
      <c r="G649" t="s">
        <v>621</v>
      </c>
      <c r="H649" t="s">
        <v>621</v>
      </c>
      <c r="I649" t="s">
        <v>621</v>
      </c>
      <c r="J649" t="s">
        <v>621</v>
      </c>
      <c r="K649">
        <v>8.5</v>
      </c>
      <c r="L649" t="s">
        <v>45</v>
      </c>
    </row>
    <row r="650" spans="1:12" x14ac:dyDescent="0.15">
      <c r="A650" s="34">
        <v>46108.376712963</v>
      </c>
      <c r="B650" t="s">
        <v>263</v>
      </c>
      <c r="C650" t="s">
        <v>264</v>
      </c>
      <c r="D650" t="s">
        <v>16</v>
      </c>
      <c r="E650" t="s">
        <v>550</v>
      </c>
      <c r="F650" t="s">
        <v>591</v>
      </c>
      <c r="G650" t="s">
        <v>621</v>
      </c>
      <c r="H650" t="s">
        <v>621</v>
      </c>
      <c r="I650" t="s">
        <v>621</v>
      </c>
      <c r="J650" t="s">
        <v>621</v>
      </c>
      <c r="K650">
        <v>8.5</v>
      </c>
      <c r="L650" t="s">
        <v>624</v>
      </c>
    </row>
    <row r="651" spans="1:12" x14ac:dyDescent="0.15">
      <c r="A651" s="34">
        <v>46108.369212963</v>
      </c>
      <c r="B651" t="s">
        <v>107</v>
      </c>
      <c r="C651" t="s">
        <v>108</v>
      </c>
      <c r="D651" t="s">
        <v>16</v>
      </c>
      <c r="E651" t="s">
        <v>549</v>
      </c>
      <c r="F651" t="s">
        <v>59</v>
      </c>
      <c r="G651" t="s">
        <v>621</v>
      </c>
      <c r="H651" t="s">
        <v>621</v>
      </c>
      <c r="I651" t="s">
        <v>621</v>
      </c>
      <c r="J651" t="s">
        <v>621</v>
      </c>
      <c r="K651">
        <v>4.25</v>
      </c>
      <c r="L651" t="s">
        <v>42</v>
      </c>
    </row>
    <row r="652" spans="1:12" x14ac:dyDescent="0.15">
      <c r="A652" s="34">
        <v>46108.3691203704</v>
      </c>
      <c r="B652" t="s">
        <v>107</v>
      </c>
      <c r="C652" t="s">
        <v>108</v>
      </c>
      <c r="D652" t="s">
        <v>16</v>
      </c>
      <c r="E652" t="s">
        <v>549</v>
      </c>
      <c r="F652" t="s">
        <v>109</v>
      </c>
      <c r="G652" t="s">
        <v>621</v>
      </c>
      <c r="H652" t="s">
        <v>621</v>
      </c>
      <c r="I652" t="s">
        <v>621</v>
      </c>
      <c r="J652" t="s">
        <v>621</v>
      </c>
      <c r="K652">
        <v>4.25</v>
      </c>
      <c r="L652" t="s">
        <v>35</v>
      </c>
    </row>
    <row r="653" spans="1:12" x14ac:dyDescent="0.15">
      <c r="A653" s="34">
        <v>46108.369062500002</v>
      </c>
      <c r="B653" t="s">
        <v>156</v>
      </c>
      <c r="C653" t="s">
        <v>157</v>
      </c>
      <c r="D653" t="s">
        <v>16</v>
      </c>
      <c r="E653" t="s">
        <v>549</v>
      </c>
      <c r="F653" t="s">
        <v>158</v>
      </c>
      <c r="G653" t="s">
        <v>621</v>
      </c>
      <c r="H653" t="s">
        <v>621</v>
      </c>
      <c r="I653" t="s">
        <v>621</v>
      </c>
      <c r="J653" t="s">
        <v>621</v>
      </c>
      <c r="K653">
        <v>8.5</v>
      </c>
      <c r="L653" t="s">
        <v>40</v>
      </c>
    </row>
    <row r="654" spans="1:12" x14ac:dyDescent="0.15">
      <c r="A654" s="34">
        <v>46108.363912036999</v>
      </c>
      <c r="B654" t="s">
        <v>79</v>
      </c>
      <c r="C654" t="s">
        <v>80</v>
      </c>
      <c r="D654" t="s">
        <v>16</v>
      </c>
      <c r="E654" t="s">
        <v>550</v>
      </c>
      <c r="F654" t="s">
        <v>203</v>
      </c>
      <c r="G654" t="s">
        <v>621</v>
      </c>
      <c r="H654" t="s">
        <v>621</v>
      </c>
      <c r="I654" t="s">
        <v>621</v>
      </c>
      <c r="J654" t="s">
        <v>621</v>
      </c>
      <c r="K654">
        <v>8.5</v>
      </c>
      <c r="L654" t="s">
        <v>40</v>
      </c>
    </row>
    <row r="655" spans="1:12" x14ac:dyDescent="0.15">
      <c r="A655" s="34">
        <v>46108.358020833301</v>
      </c>
      <c r="B655" t="s">
        <v>201</v>
      </c>
      <c r="C655" t="s">
        <v>202</v>
      </c>
      <c r="D655" t="s">
        <v>16</v>
      </c>
      <c r="E655" t="s">
        <v>550</v>
      </c>
      <c r="F655" t="s">
        <v>203</v>
      </c>
      <c r="G655" t="s">
        <v>621</v>
      </c>
      <c r="H655" t="s">
        <v>621</v>
      </c>
      <c r="I655" t="s">
        <v>621</v>
      </c>
      <c r="J655" t="s">
        <v>621</v>
      </c>
      <c r="K655">
        <v>8.5</v>
      </c>
      <c r="L655" t="s">
        <v>66</v>
      </c>
    </row>
    <row r="656" spans="1:12" x14ac:dyDescent="0.15">
      <c r="A656" s="34">
        <v>46108.355289351799</v>
      </c>
      <c r="B656" t="s">
        <v>245</v>
      </c>
      <c r="C656" t="s">
        <v>246</v>
      </c>
      <c r="D656" t="s">
        <v>16</v>
      </c>
      <c r="E656" t="s">
        <v>550</v>
      </c>
      <c r="F656" t="s">
        <v>268</v>
      </c>
      <c r="G656" t="s">
        <v>621</v>
      </c>
      <c r="H656" t="s">
        <v>621</v>
      </c>
      <c r="I656" t="s">
        <v>621</v>
      </c>
      <c r="J656" t="s">
        <v>621</v>
      </c>
      <c r="K656">
        <v>8.5</v>
      </c>
      <c r="L656" t="s">
        <v>35</v>
      </c>
    </row>
    <row r="657" spans="1:12" x14ac:dyDescent="0.15">
      <c r="A657" s="34">
        <v>46108.326296296298</v>
      </c>
      <c r="B657" t="s">
        <v>219</v>
      </c>
      <c r="C657" t="s">
        <v>220</v>
      </c>
      <c r="D657" t="s">
        <v>16</v>
      </c>
      <c r="E657" t="s">
        <v>549</v>
      </c>
      <c r="F657" t="s">
        <v>618</v>
      </c>
      <c r="G657" t="s">
        <v>621</v>
      </c>
      <c r="H657" t="s">
        <v>621</v>
      </c>
      <c r="I657" t="s">
        <v>621</v>
      </c>
      <c r="J657" t="s">
        <v>621</v>
      </c>
      <c r="K657">
        <v>8.5</v>
      </c>
      <c r="L657" t="s">
        <v>29</v>
      </c>
    </row>
    <row r="658" spans="1:12" x14ac:dyDescent="0.15">
      <c r="A658" s="34">
        <v>46107.595891203702</v>
      </c>
      <c r="B658" t="s">
        <v>76</v>
      </c>
      <c r="C658" t="s">
        <v>77</v>
      </c>
      <c r="D658" t="s">
        <v>16</v>
      </c>
      <c r="E658" t="s">
        <v>549</v>
      </c>
      <c r="F658" t="s">
        <v>78</v>
      </c>
      <c r="G658" t="s">
        <v>621</v>
      </c>
      <c r="H658" t="s">
        <v>621</v>
      </c>
      <c r="I658" t="s">
        <v>621</v>
      </c>
      <c r="J658" t="s">
        <v>621</v>
      </c>
      <c r="K658">
        <v>8.5</v>
      </c>
      <c r="L658" t="s">
        <v>35</v>
      </c>
    </row>
    <row r="659" spans="1:12" x14ac:dyDescent="0.15">
      <c r="A659" s="34">
        <v>46107.568090277797</v>
      </c>
      <c r="B659" t="s">
        <v>156</v>
      </c>
      <c r="C659" t="s">
        <v>157</v>
      </c>
      <c r="D659" t="s">
        <v>16</v>
      </c>
      <c r="E659" t="s">
        <v>549</v>
      </c>
      <c r="F659" t="s">
        <v>158</v>
      </c>
      <c r="G659" t="s">
        <v>621</v>
      </c>
      <c r="H659" t="s">
        <v>621</v>
      </c>
      <c r="I659" t="s">
        <v>621</v>
      </c>
      <c r="J659" t="s">
        <v>621</v>
      </c>
      <c r="K659">
        <v>8.5</v>
      </c>
      <c r="L659" t="s">
        <v>29</v>
      </c>
    </row>
    <row r="660" spans="1:12" x14ac:dyDescent="0.15">
      <c r="A660" s="34">
        <v>46107.471643518496</v>
      </c>
      <c r="B660" t="s">
        <v>138</v>
      </c>
      <c r="C660" t="s">
        <v>139</v>
      </c>
      <c r="D660" t="s">
        <v>16</v>
      </c>
      <c r="E660" t="s">
        <v>549</v>
      </c>
      <c r="F660" t="s">
        <v>261</v>
      </c>
      <c r="G660" t="s">
        <v>621</v>
      </c>
      <c r="H660" t="s">
        <v>621</v>
      </c>
      <c r="I660" t="s">
        <v>621</v>
      </c>
      <c r="J660" t="s">
        <v>621</v>
      </c>
      <c r="K660">
        <v>8.5</v>
      </c>
      <c r="L660" t="s">
        <v>29</v>
      </c>
    </row>
    <row r="661" spans="1:12" x14ac:dyDescent="0.15">
      <c r="A661" s="34">
        <v>46107.450543981497</v>
      </c>
      <c r="B661" t="s">
        <v>224</v>
      </c>
      <c r="C661" t="s">
        <v>225</v>
      </c>
      <c r="D661" t="s">
        <v>16</v>
      </c>
      <c r="E661" t="s">
        <v>549</v>
      </c>
      <c r="F661" t="s">
        <v>228</v>
      </c>
      <c r="G661" t="s">
        <v>621</v>
      </c>
      <c r="H661" t="s">
        <v>621</v>
      </c>
      <c r="I661" t="s">
        <v>621</v>
      </c>
      <c r="J661" t="s">
        <v>621</v>
      </c>
      <c r="K661">
        <v>4.25</v>
      </c>
      <c r="L661" t="s">
        <v>41</v>
      </c>
    </row>
    <row r="662" spans="1:12" x14ac:dyDescent="0.15">
      <c r="A662" s="34">
        <v>46107.450474537</v>
      </c>
      <c r="B662" t="s">
        <v>224</v>
      </c>
      <c r="C662" t="s">
        <v>225</v>
      </c>
      <c r="D662" t="s">
        <v>16</v>
      </c>
      <c r="E662" t="s">
        <v>549</v>
      </c>
      <c r="F662" t="s">
        <v>141</v>
      </c>
      <c r="G662" t="s">
        <v>621</v>
      </c>
      <c r="H662" t="s">
        <v>621</v>
      </c>
      <c r="I662" t="s">
        <v>621</v>
      </c>
      <c r="J662" t="s">
        <v>621</v>
      </c>
      <c r="K662">
        <v>4.25</v>
      </c>
      <c r="L662" t="s">
        <v>42</v>
      </c>
    </row>
    <row r="663" spans="1:12" x14ac:dyDescent="0.15">
      <c r="A663" s="34">
        <v>46107.432523148098</v>
      </c>
      <c r="B663" t="s">
        <v>107</v>
      </c>
      <c r="C663" t="s">
        <v>108</v>
      </c>
      <c r="D663" t="s">
        <v>16</v>
      </c>
      <c r="E663" t="s">
        <v>549</v>
      </c>
      <c r="F663" t="s">
        <v>109</v>
      </c>
      <c r="G663" t="s">
        <v>621</v>
      </c>
      <c r="H663" t="s">
        <v>621</v>
      </c>
      <c r="I663" t="s">
        <v>621</v>
      </c>
      <c r="J663" t="s">
        <v>621</v>
      </c>
      <c r="K663">
        <v>4.25</v>
      </c>
      <c r="L663" t="s">
        <v>624</v>
      </c>
    </row>
    <row r="664" spans="1:12" x14ac:dyDescent="0.15">
      <c r="A664" s="34">
        <v>46107.432407407403</v>
      </c>
      <c r="B664" t="s">
        <v>176</v>
      </c>
      <c r="C664" t="s">
        <v>177</v>
      </c>
      <c r="D664" t="s">
        <v>16</v>
      </c>
      <c r="E664" t="s">
        <v>549</v>
      </c>
      <c r="F664" t="s">
        <v>59</v>
      </c>
      <c r="G664" t="s">
        <v>621</v>
      </c>
      <c r="H664" t="s">
        <v>621</v>
      </c>
      <c r="I664" t="s">
        <v>621</v>
      </c>
      <c r="J664" t="s">
        <v>621</v>
      </c>
      <c r="K664">
        <v>8.5</v>
      </c>
      <c r="L664" t="s">
        <v>624</v>
      </c>
    </row>
    <row r="665" spans="1:12" x14ac:dyDescent="0.15">
      <c r="A665" s="34">
        <v>46107.4323842593</v>
      </c>
      <c r="B665" t="s">
        <v>107</v>
      </c>
      <c r="C665" t="s">
        <v>108</v>
      </c>
      <c r="D665" t="s">
        <v>16</v>
      </c>
      <c r="E665" t="s">
        <v>549</v>
      </c>
      <c r="F665" t="s">
        <v>59</v>
      </c>
      <c r="G665" t="s">
        <v>621</v>
      </c>
      <c r="H665" t="s">
        <v>621</v>
      </c>
      <c r="I665" t="s">
        <v>621</v>
      </c>
      <c r="J665" t="s">
        <v>621</v>
      </c>
      <c r="K665">
        <v>4.25</v>
      </c>
      <c r="L665" t="s">
        <v>35</v>
      </c>
    </row>
    <row r="666" spans="1:12" x14ac:dyDescent="0.15">
      <c r="A666" s="34">
        <v>46107.408344907402</v>
      </c>
      <c r="B666" t="s">
        <v>48</v>
      </c>
      <c r="C666" t="s">
        <v>49</v>
      </c>
      <c r="D666" t="s">
        <v>16</v>
      </c>
      <c r="E666" t="s">
        <v>549</v>
      </c>
      <c r="F666" t="s">
        <v>619</v>
      </c>
      <c r="G666" t="s">
        <v>621</v>
      </c>
      <c r="H666" t="s">
        <v>621</v>
      </c>
      <c r="I666" t="s">
        <v>51</v>
      </c>
      <c r="J666" t="s">
        <v>621</v>
      </c>
      <c r="K666">
        <v>8.5</v>
      </c>
      <c r="L666" t="s">
        <v>35</v>
      </c>
    </row>
    <row r="667" spans="1:12" x14ac:dyDescent="0.15">
      <c r="A667" s="34">
        <v>46107.3930555556</v>
      </c>
      <c r="B667" t="s">
        <v>79</v>
      </c>
      <c r="C667" t="s">
        <v>80</v>
      </c>
      <c r="D667" t="s">
        <v>16</v>
      </c>
      <c r="E667" t="s">
        <v>550</v>
      </c>
      <c r="F667" t="s">
        <v>620</v>
      </c>
      <c r="G667" t="s">
        <v>621</v>
      </c>
      <c r="H667" t="s">
        <v>621</v>
      </c>
      <c r="I667" t="s">
        <v>621</v>
      </c>
      <c r="J667" t="s">
        <v>621</v>
      </c>
      <c r="K667">
        <v>4.25</v>
      </c>
      <c r="L667" t="s">
        <v>40</v>
      </c>
    </row>
    <row r="668" spans="1:12" x14ac:dyDescent="0.15">
      <c r="A668" s="34">
        <v>46107.391608796301</v>
      </c>
      <c r="B668" t="s">
        <v>79</v>
      </c>
      <c r="C668" t="s">
        <v>80</v>
      </c>
      <c r="D668" t="s">
        <v>16</v>
      </c>
      <c r="E668" t="s">
        <v>550</v>
      </c>
      <c r="F668" t="s">
        <v>203</v>
      </c>
      <c r="G668" t="s">
        <v>621</v>
      </c>
      <c r="H668" t="s">
        <v>621</v>
      </c>
      <c r="I668" t="s">
        <v>621</v>
      </c>
      <c r="J668" t="s">
        <v>621</v>
      </c>
      <c r="K668">
        <v>4.25</v>
      </c>
      <c r="L668" t="s">
        <v>41</v>
      </c>
    </row>
    <row r="669" spans="1:12" x14ac:dyDescent="0.15">
      <c r="A669" s="34">
        <v>46107.379131944399</v>
      </c>
      <c r="B669" t="s">
        <v>148</v>
      </c>
      <c r="C669" t="s">
        <v>149</v>
      </c>
      <c r="D669" t="s">
        <v>16</v>
      </c>
      <c r="E669" t="s">
        <v>550</v>
      </c>
      <c r="F669" t="s">
        <v>150</v>
      </c>
      <c r="G669" t="s">
        <v>621</v>
      </c>
      <c r="H669" t="s">
        <v>621</v>
      </c>
      <c r="I669" t="s">
        <v>621</v>
      </c>
      <c r="J669" t="s">
        <v>621</v>
      </c>
      <c r="K669">
        <v>8.5</v>
      </c>
      <c r="L669" t="s">
        <v>40</v>
      </c>
    </row>
    <row r="670" spans="1:12" x14ac:dyDescent="0.15">
      <c r="A670" s="34">
        <v>46107.372499999998</v>
      </c>
      <c r="B670" t="s">
        <v>201</v>
      </c>
      <c r="C670" t="s">
        <v>202</v>
      </c>
      <c r="D670" t="s">
        <v>16</v>
      </c>
      <c r="E670" t="s">
        <v>550</v>
      </c>
      <c r="F670" t="s">
        <v>203</v>
      </c>
      <c r="G670" t="s">
        <v>621</v>
      </c>
      <c r="H670" t="s">
        <v>621</v>
      </c>
      <c r="I670" t="s">
        <v>621</v>
      </c>
      <c r="J670" t="s">
        <v>621</v>
      </c>
      <c r="K670">
        <v>8.5</v>
      </c>
      <c r="L670" t="s">
        <v>45</v>
      </c>
    </row>
    <row r="671" spans="1:12" x14ac:dyDescent="0.15">
      <c r="A671" s="34">
        <v>46107.372025463003</v>
      </c>
      <c r="B671" t="s">
        <v>263</v>
      </c>
      <c r="C671" t="s">
        <v>264</v>
      </c>
      <c r="D671" t="s">
        <v>16</v>
      </c>
      <c r="E671" t="s">
        <v>550</v>
      </c>
      <c r="F671" t="s">
        <v>591</v>
      </c>
      <c r="G671" t="s">
        <v>621</v>
      </c>
      <c r="H671" t="s">
        <v>621</v>
      </c>
      <c r="I671" t="s">
        <v>621</v>
      </c>
      <c r="J671" t="s">
        <v>621</v>
      </c>
      <c r="K671">
        <v>8.5</v>
      </c>
      <c r="L671" t="s">
        <v>66</v>
      </c>
    </row>
    <row r="672" spans="1:12" x14ac:dyDescent="0.15">
      <c r="A672" s="34">
        <v>46107.366620370398</v>
      </c>
      <c r="B672" t="s">
        <v>216</v>
      </c>
      <c r="C672" t="s">
        <v>217</v>
      </c>
      <c r="D672" t="s">
        <v>16</v>
      </c>
      <c r="E672" t="s">
        <v>550</v>
      </c>
      <c r="F672" t="s">
        <v>218</v>
      </c>
      <c r="G672" t="s">
        <v>621</v>
      </c>
      <c r="H672" t="s">
        <v>621</v>
      </c>
      <c r="I672" t="s">
        <v>621</v>
      </c>
      <c r="J672" t="s">
        <v>621</v>
      </c>
      <c r="K672">
        <v>8.5</v>
      </c>
      <c r="L672" t="s">
        <v>66</v>
      </c>
    </row>
    <row r="673" spans="1:11" x14ac:dyDescent="0.15">
      <c r="A673" s="34">
        <v>46107.356157407397</v>
      </c>
      <c r="B673" t="s">
        <v>245</v>
      </c>
      <c r="C673" t="s">
        <v>246</v>
      </c>
      <c r="D673" t="s">
        <v>16</v>
      </c>
      <c r="E673" t="s">
        <v>550</v>
      </c>
      <c r="F673" t="s">
        <v>268</v>
      </c>
      <c r="G673" t="s">
        <v>621</v>
      </c>
      <c r="H673" t="s">
        <v>621</v>
      </c>
      <c r="I673" t="s">
        <v>621</v>
      </c>
      <c r="J673" t="s">
        <v>621</v>
      </c>
      <c r="K673">
        <v>8.5</v>
      </c>
    </row>
  </sheetData>
  <autoFilter ref="A1:L218" xr:uid="{00000000-0009-0000-0000-000001000000}"/>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0"/>
  <sheetViews>
    <sheetView workbookViewId="0">
      <selection activeCell="G16" sqref="G16"/>
    </sheetView>
  </sheetViews>
  <sheetFormatPr defaultColWidth="8.875" defaultRowHeight="18.75" x14ac:dyDescent="0.15"/>
  <cols>
    <col min="1" max="1" width="16.375" style="3" customWidth="1"/>
    <col min="2" max="2" width="19.75" style="3" customWidth="1"/>
    <col min="3" max="3" width="10.375" style="4" hidden="1" customWidth="1"/>
    <col min="4" max="4" width="11" style="5" customWidth="1"/>
    <col min="5" max="5" width="11.75" style="5" customWidth="1"/>
    <col min="6" max="6" width="11" style="5" customWidth="1"/>
    <col min="7" max="7" width="16.125" style="6" customWidth="1"/>
    <col min="8" max="8" width="11.125" style="4" hidden="1" customWidth="1"/>
    <col min="9" max="9" width="15.5" style="5" customWidth="1"/>
    <col min="10" max="10" width="17.75" style="7" customWidth="1"/>
    <col min="11" max="11" width="7" style="3" hidden="1" customWidth="1"/>
    <col min="12" max="16384" width="8.875" style="2"/>
  </cols>
  <sheetData>
    <row r="1" spans="1:11" s="1" customFormat="1" ht="39" customHeight="1" x14ac:dyDescent="0.15">
      <c r="A1" s="8" t="s">
        <v>335</v>
      </c>
      <c r="B1" s="8" t="s">
        <v>336</v>
      </c>
      <c r="C1" s="9" t="s">
        <v>337</v>
      </c>
      <c r="D1" s="9" t="s">
        <v>19</v>
      </c>
      <c r="E1" s="9" t="s">
        <v>20</v>
      </c>
      <c r="F1" s="9" t="s">
        <v>338</v>
      </c>
      <c r="G1" s="10" t="s">
        <v>339</v>
      </c>
      <c r="H1" s="9" t="s">
        <v>340</v>
      </c>
      <c r="I1" s="9" t="s">
        <v>341</v>
      </c>
      <c r="J1" s="9" t="s">
        <v>342</v>
      </c>
      <c r="K1" s="24"/>
    </row>
    <row r="2" spans="1:11" ht="41.1" customHeight="1" x14ac:dyDescent="0.15">
      <c r="A2" s="11" t="s">
        <v>13</v>
      </c>
      <c r="B2" s="11" t="s">
        <v>13</v>
      </c>
      <c r="C2" s="12">
        <v>0</v>
      </c>
      <c r="D2" s="13" t="s">
        <v>343</v>
      </c>
      <c r="E2" s="13" t="s">
        <v>344</v>
      </c>
      <c r="F2" s="13" t="s">
        <v>345</v>
      </c>
      <c r="G2" s="14" t="s">
        <v>345</v>
      </c>
      <c r="H2" s="12">
        <v>0</v>
      </c>
      <c r="I2" s="13" t="s">
        <v>346</v>
      </c>
      <c r="J2" s="12" t="s">
        <v>347</v>
      </c>
      <c r="K2" s="3">
        <f t="shared" ref="K2:K65" si="0">C2+H2</f>
        <v>0</v>
      </c>
    </row>
    <row r="3" spans="1:11" x14ac:dyDescent="0.15">
      <c r="A3" s="11" t="s">
        <v>13</v>
      </c>
      <c r="B3" s="11" t="s">
        <v>13</v>
      </c>
      <c r="C3" s="12">
        <v>0</v>
      </c>
      <c r="D3" s="13" t="s">
        <v>348</v>
      </c>
      <c r="E3" s="13" t="s">
        <v>349</v>
      </c>
      <c r="F3" s="13" t="s">
        <v>345</v>
      </c>
      <c r="G3" s="14" t="s">
        <v>233</v>
      </c>
      <c r="H3" s="12">
        <v>1</v>
      </c>
      <c r="I3" s="13"/>
      <c r="J3" s="12" t="s">
        <v>350</v>
      </c>
      <c r="K3" s="3">
        <f t="shared" si="0"/>
        <v>1</v>
      </c>
    </row>
    <row r="4" spans="1:11" x14ac:dyDescent="0.15">
      <c r="A4" s="11" t="s">
        <v>13</v>
      </c>
      <c r="B4" s="11" t="s">
        <v>13</v>
      </c>
      <c r="C4" s="12">
        <v>0</v>
      </c>
      <c r="D4" s="13" t="s">
        <v>351</v>
      </c>
      <c r="E4" s="13" t="s">
        <v>352</v>
      </c>
      <c r="F4" s="13" t="s">
        <v>345</v>
      </c>
      <c r="G4" s="14" t="s">
        <v>233</v>
      </c>
      <c r="H4" s="12">
        <v>1</v>
      </c>
      <c r="I4" s="13"/>
      <c r="J4" s="12" t="s">
        <v>350</v>
      </c>
      <c r="K4" s="3">
        <f t="shared" si="0"/>
        <v>1</v>
      </c>
    </row>
    <row r="5" spans="1:11" x14ac:dyDescent="0.15">
      <c r="A5" s="11" t="s">
        <v>13</v>
      </c>
      <c r="B5" s="11" t="s">
        <v>13</v>
      </c>
      <c r="C5" s="12">
        <v>0</v>
      </c>
      <c r="D5" s="13" t="s">
        <v>353</v>
      </c>
      <c r="E5" s="13" t="s">
        <v>354</v>
      </c>
      <c r="F5" s="13" t="s">
        <v>345</v>
      </c>
      <c r="G5" s="14" t="s">
        <v>233</v>
      </c>
      <c r="H5" s="12">
        <v>1</v>
      </c>
      <c r="I5" s="13"/>
      <c r="J5" s="12" t="s">
        <v>355</v>
      </c>
      <c r="K5" s="3">
        <f t="shared" si="0"/>
        <v>1</v>
      </c>
    </row>
    <row r="6" spans="1:11" x14ac:dyDescent="0.15">
      <c r="A6" s="11" t="s">
        <v>13</v>
      </c>
      <c r="B6" s="11" t="s">
        <v>13</v>
      </c>
      <c r="C6" s="12">
        <v>0</v>
      </c>
      <c r="D6" s="13" t="s">
        <v>356</v>
      </c>
      <c r="E6" s="13" t="s">
        <v>357</v>
      </c>
      <c r="F6" s="13" t="s">
        <v>345</v>
      </c>
      <c r="G6" s="14" t="s">
        <v>233</v>
      </c>
      <c r="H6" s="12">
        <v>1</v>
      </c>
      <c r="I6" s="13"/>
      <c r="J6" s="12" t="s">
        <v>355</v>
      </c>
      <c r="K6" s="3">
        <f t="shared" si="0"/>
        <v>1</v>
      </c>
    </row>
    <row r="7" spans="1:11" x14ac:dyDescent="0.15">
      <c r="A7" s="11" t="s">
        <v>13</v>
      </c>
      <c r="B7" s="11" t="s">
        <v>13</v>
      </c>
      <c r="C7" s="12">
        <v>0</v>
      </c>
      <c r="D7" s="13" t="s">
        <v>358</v>
      </c>
      <c r="E7" s="13" t="s">
        <v>359</v>
      </c>
      <c r="F7" s="13" t="s">
        <v>345</v>
      </c>
      <c r="G7" s="14" t="s">
        <v>345</v>
      </c>
      <c r="H7" s="12">
        <v>0</v>
      </c>
      <c r="I7" s="13"/>
      <c r="J7" s="12" t="s">
        <v>360</v>
      </c>
      <c r="K7" s="3">
        <f t="shared" si="0"/>
        <v>0</v>
      </c>
    </row>
    <row r="8" spans="1:11" x14ac:dyDescent="0.15">
      <c r="A8" s="11" t="s">
        <v>13</v>
      </c>
      <c r="B8" s="11" t="s">
        <v>13</v>
      </c>
      <c r="C8" s="12">
        <v>0</v>
      </c>
      <c r="D8" s="13" t="s">
        <v>361</v>
      </c>
      <c r="E8" s="13" t="s">
        <v>362</v>
      </c>
      <c r="F8" s="13" t="s">
        <v>345</v>
      </c>
      <c r="G8" s="14" t="s">
        <v>345</v>
      </c>
      <c r="H8" s="12">
        <v>0</v>
      </c>
      <c r="I8" s="13"/>
      <c r="J8" s="12" t="s">
        <v>360</v>
      </c>
      <c r="K8" s="3">
        <f t="shared" si="0"/>
        <v>0</v>
      </c>
    </row>
    <row r="9" spans="1:11" x14ac:dyDescent="0.15">
      <c r="A9" s="11" t="s">
        <v>13</v>
      </c>
      <c r="B9" s="11" t="s">
        <v>13</v>
      </c>
      <c r="C9" s="12">
        <v>0</v>
      </c>
      <c r="D9" s="13" t="s">
        <v>363</v>
      </c>
      <c r="E9" s="13" t="s">
        <v>364</v>
      </c>
      <c r="F9" s="13" t="s">
        <v>345</v>
      </c>
      <c r="G9" s="14" t="s">
        <v>345</v>
      </c>
      <c r="H9" s="12">
        <v>0</v>
      </c>
      <c r="I9" s="13"/>
      <c r="J9" s="12" t="s">
        <v>360</v>
      </c>
      <c r="K9" s="3">
        <f t="shared" si="0"/>
        <v>0</v>
      </c>
    </row>
    <row r="10" spans="1:11" x14ac:dyDescent="0.15">
      <c r="A10" s="11" t="s">
        <v>13</v>
      </c>
      <c r="B10" s="11" t="s">
        <v>13</v>
      </c>
      <c r="C10" s="12">
        <v>0</v>
      </c>
      <c r="D10" s="13" t="s">
        <v>365</v>
      </c>
      <c r="E10" s="13" t="s">
        <v>366</v>
      </c>
      <c r="F10" s="13" t="s">
        <v>345</v>
      </c>
      <c r="G10" s="14" t="s">
        <v>345</v>
      </c>
      <c r="H10" s="12">
        <v>0</v>
      </c>
      <c r="I10" s="13"/>
      <c r="J10" s="12" t="s">
        <v>367</v>
      </c>
      <c r="K10" s="3">
        <f t="shared" si="0"/>
        <v>0</v>
      </c>
    </row>
    <row r="11" spans="1:11" x14ac:dyDescent="0.15">
      <c r="A11" s="11" t="s">
        <v>13</v>
      </c>
      <c r="B11" s="11" t="s">
        <v>13</v>
      </c>
      <c r="C11" s="12">
        <v>0</v>
      </c>
      <c r="D11" s="13" t="s">
        <v>368</v>
      </c>
      <c r="E11" s="13" t="s">
        <v>369</v>
      </c>
      <c r="F11" s="13" t="s">
        <v>345</v>
      </c>
      <c r="G11" s="14" t="s">
        <v>345</v>
      </c>
      <c r="H11" s="12">
        <v>0</v>
      </c>
      <c r="I11" s="13"/>
      <c r="J11" s="12" t="s">
        <v>367</v>
      </c>
      <c r="K11" s="3">
        <f t="shared" si="0"/>
        <v>0</v>
      </c>
    </row>
    <row r="12" spans="1:11" x14ac:dyDescent="0.15">
      <c r="A12" s="11" t="s">
        <v>13</v>
      </c>
      <c r="B12" s="11" t="s">
        <v>13</v>
      </c>
      <c r="C12" s="12">
        <v>0</v>
      </c>
      <c r="D12" s="13" t="s">
        <v>370</v>
      </c>
      <c r="E12" s="13" t="s">
        <v>371</v>
      </c>
      <c r="F12" s="13" t="s">
        <v>345</v>
      </c>
      <c r="G12" s="14" t="s">
        <v>345</v>
      </c>
      <c r="H12" s="12">
        <v>0</v>
      </c>
      <c r="I12" s="13"/>
      <c r="J12" s="12" t="s">
        <v>367</v>
      </c>
      <c r="K12" s="3">
        <f t="shared" si="0"/>
        <v>0</v>
      </c>
    </row>
    <row r="13" spans="1:11" ht="20.100000000000001" customHeight="1" x14ac:dyDescent="0.15">
      <c r="A13" s="15" t="s">
        <v>11</v>
      </c>
      <c r="B13" s="15" t="s">
        <v>30</v>
      </c>
      <c r="C13" s="16">
        <v>1</v>
      </c>
      <c r="D13" s="17" t="s">
        <v>372</v>
      </c>
      <c r="E13" s="17" t="s">
        <v>373</v>
      </c>
      <c r="F13" s="17" t="s">
        <v>247</v>
      </c>
      <c r="G13" s="18" t="s">
        <v>347</v>
      </c>
      <c r="H13" s="16">
        <v>1</v>
      </c>
      <c r="I13" s="17" t="s">
        <v>346</v>
      </c>
      <c r="J13" s="25" t="s">
        <v>347</v>
      </c>
      <c r="K13" s="3">
        <f t="shared" si="0"/>
        <v>2</v>
      </c>
    </row>
    <row r="14" spans="1:11" ht="20.100000000000001" customHeight="1" x14ac:dyDescent="0.15">
      <c r="A14" s="15" t="s">
        <v>11</v>
      </c>
      <c r="B14" s="15" t="s">
        <v>30</v>
      </c>
      <c r="C14" s="16">
        <v>1</v>
      </c>
      <c r="D14" s="17" t="s">
        <v>60</v>
      </c>
      <c r="E14" s="17" t="s">
        <v>61</v>
      </c>
      <c r="F14" s="17" t="s">
        <v>247</v>
      </c>
      <c r="G14" s="18" t="s">
        <v>247</v>
      </c>
      <c r="H14" s="16">
        <v>0</v>
      </c>
      <c r="I14" s="17"/>
      <c r="J14" s="26" t="s">
        <v>374</v>
      </c>
      <c r="K14" s="3">
        <f t="shared" si="0"/>
        <v>1</v>
      </c>
    </row>
    <row r="15" spans="1:11" ht="20.100000000000001" customHeight="1" x14ac:dyDescent="0.15">
      <c r="A15" s="15" t="s">
        <v>11</v>
      </c>
      <c r="B15" s="15" t="s">
        <v>30</v>
      </c>
      <c r="C15" s="16">
        <v>1</v>
      </c>
      <c r="D15" s="17" t="s">
        <v>128</v>
      </c>
      <c r="E15" s="17" t="s">
        <v>129</v>
      </c>
      <c r="F15" s="17" t="s">
        <v>247</v>
      </c>
      <c r="G15" s="18" t="s">
        <v>247</v>
      </c>
      <c r="H15" s="16">
        <v>0</v>
      </c>
      <c r="I15" s="17"/>
      <c r="J15" s="26" t="s">
        <v>374</v>
      </c>
      <c r="K15" s="3">
        <f t="shared" si="0"/>
        <v>1</v>
      </c>
    </row>
    <row r="16" spans="1:11" ht="20.100000000000001" customHeight="1" x14ac:dyDescent="0.15">
      <c r="A16" s="15" t="s">
        <v>11</v>
      </c>
      <c r="B16" s="15" t="s">
        <v>30</v>
      </c>
      <c r="C16" s="16">
        <v>1</v>
      </c>
      <c r="D16" s="17" t="s">
        <v>210</v>
      </c>
      <c r="E16" s="17" t="s">
        <v>211</v>
      </c>
      <c r="F16" s="17" t="s">
        <v>247</v>
      </c>
      <c r="G16" s="18" t="s">
        <v>247</v>
      </c>
      <c r="H16" s="16">
        <v>0</v>
      </c>
      <c r="I16" s="17" t="s">
        <v>375</v>
      </c>
      <c r="J16" s="26" t="s">
        <v>374</v>
      </c>
      <c r="K16" s="3">
        <f t="shared" si="0"/>
        <v>1</v>
      </c>
    </row>
    <row r="17" spans="1:11" ht="20.100000000000001" customHeight="1" x14ac:dyDescent="0.15">
      <c r="A17" s="15" t="s">
        <v>11</v>
      </c>
      <c r="B17" s="15" t="s">
        <v>30</v>
      </c>
      <c r="C17" s="16">
        <v>1</v>
      </c>
      <c r="D17" s="17" t="s">
        <v>178</v>
      </c>
      <c r="E17" s="17" t="s">
        <v>179</v>
      </c>
      <c r="F17" s="17" t="s">
        <v>247</v>
      </c>
      <c r="G17" s="18" t="s">
        <v>247</v>
      </c>
      <c r="H17" s="16">
        <v>0</v>
      </c>
      <c r="I17" s="17"/>
      <c r="J17" s="25" t="s">
        <v>374</v>
      </c>
      <c r="K17" s="3">
        <f t="shared" si="0"/>
        <v>1</v>
      </c>
    </row>
    <row r="18" spans="1:11" ht="20.100000000000001" customHeight="1" x14ac:dyDescent="0.15">
      <c r="A18" s="19" t="s">
        <v>10</v>
      </c>
      <c r="B18" s="19" t="s">
        <v>10</v>
      </c>
      <c r="C18" s="20">
        <v>0</v>
      </c>
      <c r="D18" s="21" t="s">
        <v>376</v>
      </c>
      <c r="E18" s="21" t="s">
        <v>377</v>
      </c>
      <c r="F18" s="21" t="s">
        <v>347</v>
      </c>
      <c r="G18" s="22" t="s">
        <v>347</v>
      </c>
      <c r="H18" s="20">
        <v>0</v>
      </c>
      <c r="I18" s="21"/>
      <c r="J18" s="27" t="s">
        <v>347</v>
      </c>
      <c r="K18" s="3">
        <f t="shared" si="0"/>
        <v>0</v>
      </c>
    </row>
    <row r="19" spans="1:11" ht="20.100000000000001" customHeight="1" x14ac:dyDescent="0.15">
      <c r="A19" s="19" t="s">
        <v>10</v>
      </c>
      <c r="B19" s="19" t="s">
        <v>10</v>
      </c>
      <c r="C19" s="20">
        <v>0</v>
      </c>
      <c r="D19" s="21" t="s">
        <v>378</v>
      </c>
      <c r="E19" s="21" t="s">
        <v>379</v>
      </c>
      <c r="F19" s="21" t="s">
        <v>380</v>
      </c>
      <c r="G19" s="22" t="s">
        <v>381</v>
      </c>
      <c r="H19" s="20">
        <v>1</v>
      </c>
      <c r="I19" s="21"/>
      <c r="J19" s="20" t="s">
        <v>382</v>
      </c>
      <c r="K19" s="3">
        <f t="shared" si="0"/>
        <v>1</v>
      </c>
    </row>
    <row r="20" spans="1:11" ht="20.100000000000001" customHeight="1" x14ac:dyDescent="0.15">
      <c r="A20" s="19" t="s">
        <v>10</v>
      </c>
      <c r="B20" s="19" t="s">
        <v>10</v>
      </c>
      <c r="C20" s="20">
        <v>0</v>
      </c>
      <c r="D20" s="20" t="s">
        <v>90</v>
      </c>
      <c r="E20" s="21" t="s">
        <v>91</v>
      </c>
      <c r="F20" s="20" t="s">
        <v>380</v>
      </c>
      <c r="G20" s="23" t="s">
        <v>381</v>
      </c>
      <c r="H20" s="20">
        <v>1</v>
      </c>
      <c r="I20" s="21" t="s">
        <v>346</v>
      </c>
      <c r="J20" s="27" t="s">
        <v>383</v>
      </c>
      <c r="K20" s="3">
        <f t="shared" si="0"/>
        <v>1</v>
      </c>
    </row>
    <row r="21" spans="1:11" ht="20.100000000000001" customHeight="1" x14ac:dyDescent="0.15">
      <c r="A21" s="19" t="s">
        <v>10</v>
      </c>
      <c r="B21" s="19" t="s">
        <v>10</v>
      </c>
      <c r="C21" s="20">
        <v>0</v>
      </c>
      <c r="D21" s="20" t="s">
        <v>103</v>
      </c>
      <c r="E21" s="21" t="s">
        <v>104</v>
      </c>
      <c r="F21" s="20" t="s">
        <v>380</v>
      </c>
      <c r="G21" s="23" t="s">
        <v>380</v>
      </c>
      <c r="H21" s="20">
        <v>0</v>
      </c>
      <c r="I21" s="21" t="s">
        <v>375</v>
      </c>
      <c r="J21" s="27" t="s">
        <v>383</v>
      </c>
      <c r="K21" s="3">
        <f t="shared" si="0"/>
        <v>0</v>
      </c>
    </row>
    <row r="22" spans="1:11" ht="20.100000000000001" customHeight="1" x14ac:dyDescent="0.15">
      <c r="A22" s="19" t="s">
        <v>10</v>
      </c>
      <c r="B22" s="19" t="s">
        <v>10</v>
      </c>
      <c r="C22" s="20">
        <v>0</v>
      </c>
      <c r="D22" s="20" t="s">
        <v>222</v>
      </c>
      <c r="E22" s="21" t="s">
        <v>223</v>
      </c>
      <c r="F22" s="20" t="s">
        <v>380</v>
      </c>
      <c r="G22" s="23" t="s">
        <v>380</v>
      </c>
      <c r="H22" s="20">
        <v>0</v>
      </c>
      <c r="I22" s="21" t="s">
        <v>375</v>
      </c>
      <c r="J22" s="27" t="s">
        <v>383</v>
      </c>
      <c r="K22" s="3">
        <f t="shared" si="0"/>
        <v>0</v>
      </c>
    </row>
    <row r="23" spans="1:11" ht="20.100000000000001" customHeight="1" x14ac:dyDescent="0.15">
      <c r="A23" s="19" t="s">
        <v>10</v>
      </c>
      <c r="B23" s="19" t="s">
        <v>10</v>
      </c>
      <c r="C23" s="20">
        <v>0</v>
      </c>
      <c r="D23" s="20" t="s">
        <v>86</v>
      </c>
      <c r="E23" s="21" t="s">
        <v>87</v>
      </c>
      <c r="F23" s="20" t="s">
        <v>380</v>
      </c>
      <c r="G23" s="23" t="s">
        <v>381</v>
      </c>
      <c r="H23" s="20">
        <v>1</v>
      </c>
      <c r="I23" s="21"/>
      <c r="J23" s="20" t="s">
        <v>383</v>
      </c>
      <c r="K23" s="3">
        <f t="shared" si="0"/>
        <v>1</v>
      </c>
    </row>
    <row r="24" spans="1:11" ht="20.100000000000001" customHeight="1" x14ac:dyDescent="0.15">
      <c r="A24" s="19" t="s">
        <v>10</v>
      </c>
      <c r="B24" s="19" t="s">
        <v>10</v>
      </c>
      <c r="C24" s="20">
        <v>0</v>
      </c>
      <c r="D24" s="20" t="s">
        <v>255</v>
      </c>
      <c r="E24" s="21" t="s">
        <v>256</v>
      </c>
      <c r="F24" s="20" t="s">
        <v>380</v>
      </c>
      <c r="G24" s="23" t="s">
        <v>380</v>
      </c>
      <c r="H24" s="20">
        <v>0</v>
      </c>
      <c r="I24" s="21"/>
      <c r="J24" s="27" t="s">
        <v>383</v>
      </c>
      <c r="K24" s="3">
        <f t="shared" si="0"/>
        <v>0</v>
      </c>
    </row>
    <row r="25" spans="1:11" ht="20.100000000000001" customHeight="1" x14ac:dyDescent="0.15">
      <c r="A25" s="19" t="s">
        <v>10</v>
      </c>
      <c r="B25" s="19" t="s">
        <v>10</v>
      </c>
      <c r="C25" s="20">
        <v>0</v>
      </c>
      <c r="D25" s="20" t="s">
        <v>270</v>
      </c>
      <c r="E25" s="21" t="s">
        <v>271</v>
      </c>
      <c r="F25" s="20" t="s">
        <v>380</v>
      </c>
      <c r="G25" s="23" t="s">
        <v>381</v>
      </c>
      <c r="H25" s="20">
        <v>1</v>
      </c>
      <c r="I25" s="21" t="s">
        <v>375</v>
      </c>
      <c r="J25" s="20" t="s">
        <v>383</v>
      </c>
      <c r="K25" s="3">
        <f t="shared" si="0"/>
        <v>1</v>
      </c>
    </row>
    <row r="26" spans="1:11" ht="20.100000000000001" customHeight="1" x14ac:dyDescent="0.15">
      <c r="A26" s="19" t="s">
        <v>10</v>
      </c>
      <c r="B26" s="19" t="s">
        <v>10</v>
      </c>
      <c r="C26" s="20">
        <v>0</v>
      </c>
      <c r="D26" s="20" t="s">
        <v>69</v>
      </c>
      <c r="E26" s="21" t="s">
        <v>70</v>
      </c>
      <c r="F26" s="20" t="s">
        <v>380</v>
      </c>
      <c r="G26" s="23" t="s">
        <v>380</v>
      </c>
      <c r="H26" s="20">
        <v>0</v>
      </c>
      <c r="I26" s="21" t="s">
        <v>375</v>
      </c>
      <c r="J26" s="20" t="s">
        <v>383</v>
      </c>
      <c r="K26" s="3">
        <f t="shared" si="0"/>
        <v>0</v>
      </c>
    </row>
    <row r="27" spans="1:11" ht="20.100000000000001" customHeight="1" x14ac:dyDescent="0.15">
      <c r="A27" s="19" t="s">
        <v>10</v>
      </c>
      <c r="B27" s="19" t="s">
        <v>10</v>
      </c>
      <c r="C27" s="20">
        <v>0</v>
      </c>
      <c r="D27" s="20" t="s">
        <v>84</v>
      </c>
      <c r="E27" s="21" t="s">
        <v>85</v>
      </c>
      <c r="F27" s="20" t="s">
        <v>380</v>
      </c>
      <c r="G27" s="23" t="s">
        <v>380</v>
      </c>
      <c r="H27" s="20">
        <v>0</v>
      </c>
      <c r="I27" s="21"/>
      <c r="J27" s="20" t="s">
        <v>383</v>
      </c>
      <c r="K27" s="3">
        <f t="shared" si="0"/>
        <v>0</v>
      </c>
    </row>
    <row r="28" spans="1:11" ht="20.100000000000001" customHeight="1" x14ac:dyDescent="0.15">
      <c r="A28" s="19" t="s">
        <v>10</v>
      </c>
      <c r="B28" s="19" t="s">
        <v>10</v>
      </c>
      <c r="C28" s="20">
        <v>0</v>
      </c>
      <c r="D28" s="20" t="s">
        <v>146</v>
      </c>
      <c r="E28" s="21" t="s">
        <v>147</v>
      </c>
      <c r="F28" s="20" t="s">
        <v>380</v>
      </c>
      <c r="G28" s="23" t="s">
        <v>380</v>
      </c>
      <c r="H28" s="20">
        <v>0</v>
      </c>
      <c r="I28" s="21"/>
      <c r="J28" s="20" t="s">
        <v>383</v>
      </c>
      <c r="K28" s="3">
        <f t="shared" si="0"/>
        <v>0</v>
      </c>
    </row>
    <row r="29" spans="1:11" ht="20.100000000000001" customHeight="1" x14ac:dyDescent="0.15">
      <c r="A29" s="19" t="s">
        <v>10</v>
      </c>
      <c r="B29" s="19" t="s">
        <v>10</v>
      </c>
      <c r="C29" s="20">
        <v>0</v>
      </c>
      <c r="D29" s="20" t="s">
        <v>174</v>
      </c>
      <c r="E29" s="21" t="s">
        <v>175</v>
      </c>
      <c r="F29" s="20" t="s">
        <v>380</v>
      </c>
      <c r="G29" s="23" t="s">
        <v>380</v>
      </c>
      <c r="H29" s="20">
        <v>0</v>
      </c>
      <c r="I29" s="21"/>
      <c r="J29" s="20" t="s">
        <v>383</v>
      </c>
      <c r="K29" s="3">
        <f t="shared" si="0"/>
        <v>0</v>
      </c>
    </row>
    <row r="30" spans="1:11" ht="20.100000000000001" customHeight="1" x14ac:dyDescent="0.15">
      <c r="A30" s="19" t="s">
        <v>10</v>
      </c>
      <c r="B30" s="19" t="s">
        <v>10</v>
      </c>
      <c r="C30" s="20">
        <v>0</v>
      </c>
      <c r="D30" s="20" t="s">
        <v>293</v>
      </c>
      <c r="E30" s="21" t="s">
        <v>294</v>
      </c>
      <c r="F30" s="20" t="s">
        <v>380</v>
      </c>
      <c r="G30" s="23" t="s">
        <v>380</v>
      </c>
      <c r="H30" s="20">
        <v>0</v>
      </c>
      <c r="I30" s="21" t="s">
        <v>346</v>
      </c>
      <c r="J30" s="20" t="s">
        <v>384</v>
      </c>
      <c r="K30" s="3">
        <f t="shared" si="0"/>
        <v>0</v>
      </c>
    </row>
    <row r="31" spans="1:11" ht="20.100000000000001" customHeight="1" x14ac:dyDescent="0.15">
      <c r="A31" s="19" t="s">
        <v>10</v>
      </c>
      <c r="B31" s="19" t="s">
        <v>10</v>
      </c>
      <c r="C31" s="20">
        <v>0</v>
      </c>
      <c r="D31" s="20" t="s">
        <v>324</v>
      </c>
      <c r="E31" s="21" t="s">
        <v>325</v>
      </c>
      <c r="F31" s="20" t="s">
        <v>380</v>
      </c>
      <c r="G31" s="23" t="s">
        <v>380</v>
      </c>
      <c r="H31" s="20">
        <v>0</v>
      </c>
      <c r="I31" s="21"/>
      <c r="J31" s="20" t="s">
        <v>384</v>
      </c>
      <c r="K31" s="3">
        <f t="shared" si="0"/>
        <v>0</v>
      </c>
    </row>
    <row r="32" spans="1:11" ht="20.100000000000001" customHeight="1" x14ac:dyDescent="0.15">
      <c r="A32" s="19" t="s">
        <v>10</v>
      </c>
      <c r="B32" s="19" t="s">
        <v>10</v>
      </c>
      <c r="C32" s="20">
        <v>0</v>
      </c>
      <c r="D32" s="20" t="s">
        <v>94</v>
      </c>
      <c r="E32" s="21" t="s">
        <v>95</v>
      </c>
      <c r="F32" s="20" t="s">
        <v>380</v>
      </c>
      <c r="G32" s="23" t="s">
        <v>380</v>
      </c>
      <c r="H32" s="20">
        <v>0</v>
      </c>
      <c r="I32" s="21"/>
      <c r="J32" s="20" t="s">
        <v>384</v>
      </c>
      <c r="K32" s="3">
        <f t="shared" si="0"/>
        <v>0</v>
      </c>
    </row>
    <row r="33" spans="1:11" ht="20.100000000000001" customHeight="1" x14ac:dyDescent="0.15">
      <c r="A33" s="19" t="s">
        <v>10</v>
      </c>
      <c r="B33" s="19" t="s">
        <v>10</v>
      </c>
      <c r="C33" s="20">
        <v>0</v>
      </c>
      <c r="D33" s="20" t="s">
        <v>136</v>
      </c>
      <c r="E33" s="21" t="s">
        <v>137</v>
      </c>
      <c r="F33" s="20" t="s">
        <v>380</v>
      </c>
      <c r="G33" s="23" t="s">
        <v>380</v>
      </c>
      <c r="H33" s="20">
        <v>0</v>
      </c>
      <c r="I33" s="21"/>
      <c r="J33" s="20" t="s">
        <v>384</v>
      </c>
      <c r="K33" s="3">
        <f t="shared" si="0"/>
        <v>0</v>
      </c>
    </row>
    <row r="34" spans="1:11" ht="20.100000000000001" customHeight="1" x14ac:dyDescent="0.15">
      <c r="A34" s="19" t="s">
        <v>10</v>
      </c>
      <c r="B34" s="19" t="s">
        <v>10</v>
      </c>
      <c r="C34" s="20">
        <v>0</v>
      </c>
      <c r="D34" s="20" t="s">
        <v>241</v>
      </c>
      <c r="E34" s="21" t="s">
        <v>242</v>
      </c>
      <c r="F34" s="20" t="s">
        <v>380</v>
      </c>
      <c r="G34" s="23" t="s">
        <v>380</v>
      </c>
      <c r="H34" s="20">
        <v>0</v>
      </c>
      <c r="I34" s="21"/>
      <c r="J34" s="20" t="s">
        <v>384</v>
      </c>
      <c r="K34" s="3">
        <f t="shared" si="0"/>
        <v>0</v>
      </c>
    </row>
    <row r="35" spans="1:11" ht="20.100000000000001" customHeight="1" x14ac:dyDescent="0.15">
      <c r="A35" s="19" t="s">
        <v>10</v>
      </c>
      <c r="B35" s="19" t="s">
        <v>10</v>
      </c>
      <c r="C35" s="20">
        <v>0</v>
      </c>
      <c r="D35" s="20" t="s">
        <v>36</v>
      </c>
      <c r="E35" s="21" t="s">
        <v>37</v>
      </c>
      <c r="F35" s="20" t="s">
        <v>380</v>
      </c>
      <c r="G35" s="23" t="s">
        <v>380</v>
      </c>
      <c r="H35" s="20">
        <v>0</v>
      </c>
      <c r="I35" s="21"/>
      <c r="J35" s="20" t="s">
        <v>384</v>
      </c>
      <c r="K35" s="3">
        <f t="shared" si="0"/>
        <v>0</v>
      </c>
    </row>
    <row r="36" spans="1:11" ht="20.100000000000001" customHeight="1" x14ac:dyDescent="0.15">
      <c r="A36" s="19" t="s">
        <v>10</v>
      </c>
      <c r="B36" s="19" t="s">
        <v>10</v>
      </c>
      <c r="C36" s="20">
        <v>0</v>
      </c>
      <c r="D36" s="20" t="s">
        <v>72</v>
      </c>
      <c r="E36" s="21" t="s">
        <v>73</v>
      </c>
      <c r="F36" s="20" t="s">
        <v>380</v>
      </c>
      <c r="G36" s="23" t="s">
        <v>380</v>
      </c>
      <c r="H36" s="20">
        <v>0</v>
      </c>
      <c r="I36" s="21"/>
      <c r="J36" s="20" t="s">
        <v>384</v>
      </c>
      <c r="K36" s="3">
        <f t="shared" si="0"/>
        <v>0</v>
      </c>
    </row>
    <row r="37" spans="1:11" ht="20.100000000000001" customHeight="1" x14ac:dyDescent="0.15">
      <c r="A37" s="19" t="s">
        <v>10</v>
      </c>
      <c r="B37" s="19" t="s">
        <v>10</v>
      </c>
      <c r="C37" s="20">
        <v>0</v>
      </c>
      <c r="D37" s="20" t="s">
        <v>234</v>
      </c>
      <c r="E37" s="21" t="s">
        <v>235</v>
      </c>
      <c r="F37" s="20" t="s">
        <v>380</v>
      </c>
      <c r="G37" s="23" t="s">
        <v>380</v>
      </c>
      <c r="H37" s="20">
        <v>0</v>
      </c>
      <c r="I37" s="21"/>
      <c r="J37" s="20" t="s">
        <v>384</v>
      </c>
      <c r="K37" s="3">
        <f t="shared" si="0"/>
        <v>0</v>
      </c>
    </row>
    <row r="38" spans="1:11" ht="20.100000000000001" customHeight="1" x14ac:dyDescent="0.15">
      <c r="A38" s="19" t="s">
        <v>10</v>
      </c>
      <c r="B38" s="19" t="s">
        <v>10</v>
      </c>
      <c r="C38" s="20">
        <v>0</v>
      </c>
      <c r="D38" s="20" t="s">
        <v>279</v>
      </c>
      <c r="E38" s="21" t="s">
        <v>280</v>
      </c>
      <c r="F38" s="20" t="s">
        <v>380</v>
      </c>
      <c r="G38" s="23" t="s">
        <v>380</v>
      </c>
      <c r="H38" s="20">
        <v>0</v>
      </c>
      <c r="I38" s="21" t="s">
        <v>346</v>
      </c>
      <c r="J38" s="20" t="s">
        <v>385</v>
      </c>
      <c r="K38" s="3">
        <f t="shared" si="0"/>
        <v>0</v>
      </c>
    </row>
    <row r="39" spans="1:11" ht="20.100000000000001" customHeight="1" x14ac:dyDescent="0.15">
      <c r="A39" s="19" t="s">
        <v>10</v>
      </c>
      <c r="B39" s="19" t="s">
        <v>10</v>
      </c>
      <c r="C39" s="20">
        <v>0</v>
      </c>
      <c r="D39" s="20" t="s">
        <v>88</v>
      </c>
      <c r="E39" s="21" t="s">
        <v>89</v>
      </c>
      <c r="F39" s="20" t="s">
        <v>380</v>
      </c>
      <c r="G39" s="23" t="s">
        <v>380</v>
      </c>
      <c r="H39" s="20">
        <v>0</v>
      </c>
      <c r="I39" s="21"/>
      <c r="J39" s="20" t="s">
        <v>385</v>
      </c>
      <c r="K39" s="3">
        <f t="shared" si="0"/>
        <v>0</v>
      </c>
    </row>
    <row r="40" spans="1:11" ht="20.100000000000001" customHeight="1" x14ac:dyDescent="0.15">
      <c r="A40" s="19" t="s">
        <v>10</v>
      </c>
      <c r="B40" s="19" t="s">
        <v>10</v>
      </c>
      <c r="C40" s="20">
        <v>0</v>
      </c>
      <c r="D40" s="20" t="s">
        <v>253</v>
      </c>
      <c r="E40" s="21" t="s">
        <v>254</v>
      </c>
      <c r="F40" s="20" t="s">
        <v>380</v>
      </c>
      <c r="G40" s="23" t="s">
        <v>380</v>
      </c>
      <c r="H40" s="20">
        <v>0</v>
      </c>
      <c r="I40" s="21"/>
      <c r="J40" s="20" t="s">
        <v>385</v>
      </c>
      <c r="K40" s="3">
        <f t="shared" si="0"/>
        <v>0</v>
      </c>
    </row>
    <row r="41" spans="1:11" ht="20.100000000000001" customHeight="1" x14ac:dyDescent="0.15">
      <c r="A41" s="19" t="s">
        <v>10</v>
      </c>
      <c r="B41" s="19" t="s">
        <v>10</v>
      </c>
      <c r="C41" s="20">
        <v>0</v>
      </c>
      <c r="D41" s="20" t="s">
        <v>282</v>
      </c>
      <c r="E41" s="21" t="s">
        <v>283</v>
      </c>
      <c r="F41" s="20" t="s">
        <v>380</v>
      </c>
      <c r="G41" s="23" t="s">
        <v>380</v>
      </c>
      <c r="H41" s="20">
        <v>0</v>
      </c>
      <c r="I41" s="21"/>
      <c r="J41" s="20" t="s">
        <v>385</v>
      </c>
      <c r="K41" s="3">
        <f t="shared" si="0"/>
        <v>0</v>
      </c>
    </row>
    <row r="42" spans="1:11" ht="20.100000000000001" customHeight="1" x14ac:dyDescent="0.15">
      <c r="A42" s="19" t="s">
        <v>10</v>
      </c>
      <c r="B42" s="19" t="s">
        <v>10</v>
      </c>
      <c r="C42" s="20">
        <v>0</v>
      </c>
      <c r="D42" s="20" t="s">
        <v>92</v>
      </c>
      <c r="E42" s="21" t="s">
        <v>93</v>
      </c>
      <c r="F42" s="20" t="s">
        <v>380</v>
      </c>
      <c r="G42" s="23" t="s">
        <v>380</v>
      </c>
      <c r="H42" s="20">
        <v>0</v>
      </c>
      <c r="I42" s="21" t="s">
        <v>346</v>
      </c>
      <c r="J42" s="20" t="s">
        <v>386</v>
      </c>
      <c r="K42" s="3">
        <f t="shared" si="0"/>
        <v>0</v>
      </c>
    </row>
    <row r="43" spans="1:11" ht="20.100000000000001" customHeight="1" x14ac:dyDescent="0.15">
      <c r="A43" s="19" t="s">
        <v>10</v>
      </c>
      <c r="B43" s="19" t="s">
        <v>10</v>
      </c>
      <c r="C43" s="20">
        <v>0</v>
      </c>
      <c r="D43" s="20" t="s">
        <v>113</v>
      </c>
      <c r="E43" s="21" t="s">
        <v>114</v>
      </c>
      <c r="F43" s="20" t="s">
        <v>380</v>
      </c>
      <c r="G43" s="23" t="s">
        <v>380</v>
      </c>
      <c r="H43" s="20">
        <v>0</v>
      </c>
      <c r="I43" s="21" t="s">
        <v>375</v>
      </c>
      <c r="J43" s="20" t="s">
        <v>386</v>
      </c>
      <c r="K43" s="3">
        <f t="shared" si="0"/>
        <v>0</v>
      </c>
    </row>
    <row r="44" spans="1:11" ht="20.100000000000001" customHeight="1" x14ac:dyDescent="0.15">
      <c r="A44" s="19" t="s">
        <v>10</v>
      </c>
      <c r="B44" s="19" t="s">
        <v>10</v>
      </c>
      <c r="C44" s="20">
        <v>0</v>
      </c>
      <c r="D44" s="20" t="s">
        <v>152</v>
      </c>
      <c r="E44" s="21" t="s">
        <v>153</v>
      </c>
      <c r="F44" s="20" t="s">
        <v>380</v>
      </c>
      <c r="G44" s="23" t="s">
        <v>380</v>
      </c>
      <c r="H44" s="20">
        <v>0</v>
      </c>
      <c r="I44" s="21"/>
      <c r="J44" s="20" t="s">
        <v>386</v>
      </c>
      <c r="K44" s="3">
        <f t="shared" si="0"/>
        <v>0</v>
      </c>
    </row>
    <row r="45" spans="1:11" ht="20.100000000000001" customHeight="1" x14ac:dyDescent="0.15">
      <c r="A45" s="19" t="s">
        <v>10</v>
      </c>
      <c r="B45" s="19" t="s">
        <v>10</v>
      </c>
      <c r="C45" s="20">
        <v>0</v>
      </c>
      <c r="D45" s="20" t="s">
        <v>110</v>
      </c>
      <c r="E45" s="21" t="s">
        <v>111</v>
      </c>
      <c r="F45" s="20" t="s">
        <v>380</v>
      </c>
      <c r="G45" s="23" t="s">
        <v>380</v>
      </c>
      <c r="H45" s="20">
        <v>0</v>
      </c>
      <c r="I45" s="21"/>
      <c r="J45" s="20" t="s">
        <v>386</v>
      </c>
      <c r="K45" s="3">
        <f t="shared" si="0"/>
        <v>0</v>
      </c>
    </row>
    <row r="46" spans="1:11" ht="20.100000000000001" customHeight="1" x14ac:dyDescent="0.15">
      <c r="A46" s="19" t="s">
        <v>10</v>
      </c>
      <c r="B46" s="19" t="s">
        <v>10</v>
      </c>
      <c r="C46" s="20">
        <v>0</v>
      </c>
      <c r="D46" s="20" t="s">
        <v>197</v>
      </c>
      <c r="E46" s="21" t="s">
        <v>198</v>
      </c>
      <c r="F46" s="20" t="s">
        <v>380</v>
      </c>
      <c r="G46" s="23" t="s">
        <v>380</v>
      </c>
      <c r="H46" s="20">
        <v>0</v>
      </c>
      <c r="I46" s="21"/>
      <c r="J46" s="20" t="s">
        <v>386</v>
      </c>
      <c r="K46" s="3">
        <f t="shared" si="0"/>
        <v>0</v>
      </c>
    </row>
    <row r="47" spans="1:11" ht="20.100000000000001" customHeight="1" x14ac:dyDescent="0.15">
      <c r="A47" s="19" t="s">
        <v>10</v>
      </c>
      <c r="B47" s="19" t="s">
        <v>10</v>
      </c>
      <c r="C47" s="20">
        <v>0</v>
      </c>
      <c r="D47" s="20" t="s">
        <v>46</v>
      </c>
      <c r="E47" s="21" t="s">
        <v>47</v>
      </c>
      <c r="F47" s="20" t="s">
        <v>380</v>
      </c>
      <c r="G47" s="23" t="s">
        <v>380</v>
      </c>
      <c r="H47" s="20">
        <v>0</v>
      </c>
      <c r="I47" s="21"/>
      <c r="J47" s="20" t="s">
        <v>386</v>
      </c>
      <c r="K47" s="3">
        <f t="shared" si="0"/>
        <v>0</v>
      </c>
    </row>
    <row r="48" spans="1:11" ht="20.100000000000001" customHeight="1" x14ac:dyDescent="0.15">
      <c r="A48" s="19" t="s">
        <v>10</v>
      </c>
      <c r="B48" s="19" t="s">
        <v>10</v>
      </c>
      <c r="C48" s="20">
        <v>0</v>
      </c>
      <c r="D48" s="20" t="s">
        <v>306</v>
      </c>
      <c r="E48" s="21" t="s">
        <v>307</v>
      </c>
      <c r="F48" s="20" t="s">
        <v>380</v>
      </c>
      <c r="G48" s="23" t="s">
        <v>380</v>
      </c>
      <c r="H48" s="20">
        <v>0</v>
      </c>
      <c r="I48" s="21" t="s">
        <v>375</v>
      </c>
      <c r="J48" s="20" t="s">
        <v>386</v>
      </c>
      <c r="K48" s="3">
        <f t="shared" si="0"/>
        <v>0</v>
      </c>
    </row>
    <row r="49" spans="1:11" ht="20.100000000000001" customHeight="1" x14ac:dyDescent="0.15">
      <c r="A49" s="19" t="s">
        <v>10</v>
      </c>
      <c r="B49" s="19" t="s">
        <v>10</v>
      </c>
      <c r="C49" s="20">
        <v>0</v>
      </c>
      <c r="D49" s="20" t="s">
        <v>277</v>
      </c>
      <c r="E49" s="21" t="s">
        <v>278</v>
      </c>
      <c r="F49" s="20" t="s">
        <v>380</v>
      </c>
      <c r="G49" s="23" t="s">
        <v>380</v>
      </c>
      <c r="H49" s="20">
        <v>0</v>
      </c>
      <c r="I49" s="21"/>
      <c r="J49" s="20" t="s">
        <v>386</v>
      </c>
      <c r="K49" s="3">
        <f t="shared" si="0"/>
        <v>0</v>
      </c>
    </row>
    <row r="50" spans="1:11" ht="20.100000000000001" customHeight="1" x14ac:dyDescent="0.15">
      <c r="A50" s="19" t="s">
        <v>10</v>
      </c>
      <c r="B50" s="19" t="s">
        <v>10</v>
      </c>
      <c r="C50" s="20">
        <v>0</v>
      </c>
      <c r="D50" s="20" t="s">
        <v>38</v>
      </c>
      <c r="E50" s="21" t="s">
        <v>39</v>
      </c>
      <c r="F50" s="20" t="s">
        <v>380</v>
      </c>
      <c r="G50" s="23" t="s">
        <v>380</v>
      </c>
      <c r="H50" s="20">
        <v>0</v>
      </c>
      <c r="I50" s="21"/>
      <c r="J50" s="20" t="s">
        <v>386</v>
      </c>
      <c r="K50" s="3">
        <f t="shared" si="0"/>
        <v>0</v>
      </c>
    </row>
    <row r="51" spans="1:11" ht="20.100000000000001" customHeight="1" x14ac:dyDescent="0.15">
      <c r="A51" s="19" t="s">
        <v>10</v>
      </c>
      <c r="B51" s="19" t="s">
        <v>10</v>
      </c>
      <c r="C51" s="20">
        <v>0</v>
      </c>
      <c r="D51" s="20" t="s">
        <v>125</v>
      </c>
      <c r="E51" s="21" t="s">
        <v>126</v>
      </c>
      <c r="F51" s="20" t="s">
        <v>380</v>
      </c>
      <c r="G51" s="23" t="s">
        <v>380</v>
      </c>
      <c r="H51" s="20">
        <v>0</v>
      </c>
      <c r="I51" s="21"/>
      <c r="J51" s="20" t="s">
        <v>386</v>
      </c>
      <c r="K51" s="3">
        <f t="shared" si="0"/>
        <v>0</v>
      </c>
    </row>
    <row r="52" spans="1:11" ht="20.100000000000001" customHeight="1" x14ac:dyDescent="0.15">
      <c r="A52" s="19" t="s">
        <v>10</v>
      </c>
      <c r="B52" s="19" t="s">
        <v>10</v>
      </c>
      <c r="C52" s="20">
        <v>0</v>
      </c>
      <c r="D52" s="20" t="s">
        <v>195</v>
      </c>
      <c r="E52" s="21" t="s">
        <v>196</v>
      </c>
      <c r="F52" s="20" t="s">
        <v>380</v>
      </c>
      <c r="G52" s="23" t="s">
        <v>380</v>
      </c>
      <c r="H52" s="20">
        <v>0</v>
      </c>
      <c r="I52" s="21"/>
      <c r="J52" s="20" t="s">
        <v>386</v>
      </c>
      <c r="K52" s="3">
        <f t="shared" si="0"/>
        <v>0</v>
      </c>
    </row>
    <row r="53" spans="1:11" ht="20.100000000000001" customHeight="1" x14ac:dyDescent="0.15">
      <c r="A53" s="19" t="s">
        <v>10</v>
      </c>
      <c r="B53" s="19" t="s">
        <v>10</v>
      </c>
      <c r="C53" s="20">
        <v>0</v>
      </c>
      <c r="D53" s="20" t="s">
        <v>43</v>
      </c>
      <c r="E53" s="21" t="s">
        <v>44</v>
      </c>
      <c r="F53" s="20" t="s">
        <v>380</v>
      </c>
      <c r="G53" s="23" t="s">
        <v>380</v>
      </c>
      <c r="H53" s="20">
        <v>0</v>
      </c>
      <c r="I53" s="21"/>
      <c r="J53" s="20" t="s">
        <v>386</v>
      </c>
      <c r="K53" s="3">
        <f t="shared" si="0"/>
        <v>0</v>
      </c>
    </row>
    <row r="54" spans="1:11" ht="20.100000000000001" customHeight="1" x14ac:dyDescent="0.15">
      <c r="A54" s="19" t="s">
        <v>10</v>
      </c>
      <c r="B54" s="19" t="s">
        <v>10</v>
      </c>
      <c r="C54" s="20">
        <v>0</v>
      </c>
      <c r="D54" s="20" t="s">
        <v>74</v>
      </c>
      <c r="E54" s="21" t="s">
        <v>75</v>
      </c>
      <c r="F54" s="20" t="s">
        <v>380</v>
      </c>
      <c r="G54" s="23" t="s">
        <v>380</v>
      </c>
      <c r="H54" s="20">
        <v>0</v>
      </c>
      <c r="I54" s="21"/>
      <c r="J54" s="20" t="s">
        <v>386</v>
      </c>
      <c r="K54" s="3">
        <f t="shared" si="0"/>
        <v>0</v>
      </c>
    </row>
    <row r="55" spans="1:11" ht="20.100000000000001" customHeight="1" x14ac:dyDescent="0.15">
      <c r="A55" s="19" t="s">
        <v>10</v>
      </c>
      <c r="B55" s="19" t="s">
        <v>10</v>
      </c>
      <c r="C55" s="20">
        <v>0</v>
      </c>
      <c r="D55" s="20" t="s">
        <v>55</v>
      </c>
      <c r="E55" s="21" t="s">
        <v>56</v>
      </c>
      <c r="F55" s="20" t="s">
        <v>380</v>
      </c>
      <c r="G55" s="23" t="s">
        <v>380</v>
      </c>
      <c r="H55" s="20">
        <v>0</v>
      </c>
      <c r="I55" s="21" t="s">
        <v>375</v>
      </c>
      <c r="J55" s="20" t="s">
        <v>386</v>
      </c>
      <c r="K55" s="3">
        <f t="shared" si="0"/>
        <v>0</v>
      </c>
    </row>
    <row r="56" spans="1:11" ht="20.100000000000001" customHeight="1" x14ac:dyDescent="0.15">
      <c r="A56" s="19" t="s">
        <v>10</v>
      </c>
      <c r="B56" s="19" t="s">
        <v>10</v>
      </c>
      <c r="C56" s="20">
        <v>0</v>
      </c>
      <c r="D56" s="20" t="s">
        <v>284</v>
      </c>
      <c r="E56" s="21" t="s">
        <v>285</v>
      </c>
      <c r="F56" s="20" t="s">
        <v>380</v>
      </c>
      <c r="G56" s="23" t="s">
        <v>380</v>
      </c>
      <c r="H56" s="20">
        <v>0</v>
      </c>
      <c r="I56" s="21"/>
      <c r="J56" s="20" t="s">
        <v>386</v>
      </c>
      <c r="K56" s="3">
        <f t="shared" si="0"/>
        <v>0</v>
      </c>
    </row>
    <row r="57" spans="1:11" ht="20.100000000000001" customHeight="1" x14ac:dyDescent="0.15">
      <c r="A57" s="19" t="s">
        <v>10</v>
      </c>
      <c r="B57" s="19" t="s">
        <v>10</v>
      </c>
      <c r="C57" s="20">
        <v>0</v>
      </c>
      <c r="D57" s="20" t="s">
        <v>144</v>
      </c>
      <c r="E57" s="21" t="s">
        <v>145</v>
      </c>
      <c r="F57" s="20" t="s">
        <v>380</v>
      </c>
      <c r="G57" s="23" t="s">
        <v>380</v>
      </c>
      <c r="H57" s="20">
        <v>0</v>
      </c>
      <c r="I57" s="21" t="s">
        <v>346</v>
      </c>
      <c r="J57" s="20" t="s">
        <v>386</v>
      </c>
      <c r="K57" s="3">
        <f t="shared" si="0"/>
        <v>0</v>
      </c>
    </row>
    <row r="58" spans="1:11" ht="20.100000000000001" customHeight="1" x14ac:dyDescent="0.15">
      <c r="A58" s="19" t="s">
        <v>10</v>
      </c>
      <c r="B58" s="19" t="s">
        <v>10</v>
      </c>
      <c r="C58" s="20">
        <v>0</v>
      </c>
      <c r="D58" s="20" t="s">
        <v>96</v>
      </c>
      <c r="E58" s="21" t="s">
        <v>97</v>
      </c>
      <c r="F58" s="20" t="s">
        <v>380</v>
      </c>
      <c r="G58" s="23" t="s">
        <v>380</v>
      </c>
      <c r="H58" s="20">
        <v>0</v>
      </c>
      <c r="I58" s="21" t="s">
        <v>375</v>
      </c>
      <c r="J58" s="20" t="s">
        <v>386</v>
      </c>
      <c r="K58" s="3">
        <f t="shared" si="0"/>
        <v>0</v>
      </c>
    </row>
    <row r="59" spans="1:11" ht="20.100000000000001" customHeight="1" x14ac:dyDescent="0.15">
      <c r="A59" s="19" t="s">
        <v>10</v>
      </c>
      <c r="B59" s="19" t="s">
        <v>10</v>
      </c>
      <c r="C59" s="20">
        <v>0</v>
      </c>
      <c r="D59" s="20" t="s">
        <v>204</v>
      </c>
      <c r="E59" s="21" t="s">
        <v>205</v>
      </c>
      <c r="F59" s="20" t="s">
        <v>380</v>
      </c>
      <c r="G59" s="23" t="s">
        <v>380</v>
      </c>
      <c r="H59" s="20">
        <v>0</v>
      </c>
      <c r="I59" s="21"/>
      <c r="J59" s="20" t="s">
        <v>386</v>
      </c>
      <c r="K59" s="3">
        <f t="shared" si="0"/>
        <v>0</v>
      </c>
    </row>
    <row r="60" spans="1:11" ht="20.100000000000001" customHeight="1" x14ac:dyDescent="0.15">
      <c r="A60" s="19" t="s">
        <v>10</v>
      </c>
      <c r="B60" s="19" t="s">
        <v>10</v>
      </c>
      <c r="C60" s="20">
        <v>0</v>
      </c>
      <c r="D60" s="20" t="s">
        <v>160</v>
      </c>
      <c r="E60" s="21" t="s">
        <v>161</v>
      </c>
      <c r="F60" s="20" t="s">
        <v>380</v>
      </c>
      <c r="G60" s="23" t="s">
        <v>380</v>
      </c>
      <c r="H60" s="20">
        <v>0</v>
      </c>
      <c r="I60" s="21"/>
      <c r="J60" s="20" t="s">
        <v>386</v>
      </c>
      <c r="K60" s="3">
        <f t="shared" si="0"/>
        <v>0</v>
      </c>
    </row>
    <row r="61" spans="1:11" ht="20.100000000000001" customHeight="1" x14ac:dyDescent="0.15">
      <c r="A61" s="19" t="s">
        <v>10</v>
      </c>
      <c r="B61" s="19" t="s">
        <v>10</v>
      </c>
      <c r="C61" s="20">
        <v>0</v>
      </c>
      <c r="D61" s="20" t="s">
        <v>251</v>
      </c>
      <c r="E61" s="21" t="s">
        <v>252</v>
      </c>
      <c r="F61" s="20" t="s">
        <v>380</v>
      </c>
      <c r="G61" s="23" t="s">
        <v>380</v>
      </c>
      <c r="H61" s="20">
        <v>0</v>
      </c>
      <c r="I61" s="21"/>
      <c r="J61" s="20" t="s">
        <v>386</v>
      </c>
      <c r="K61" s="3">
        <f t="shared" si="0"/>
        <v>0</v>
      </c>
    </row>
    <row r="62" spans="1:11" ht="20.100000000000001" customHeight="1" x14ac:dyDescent="0.15">
      <c r="A62" s="19" t="s">
        <v>10</v>
      </c>
      <c r="B62" s="19" t="s">
        <v>10</v>
      </c>
      <c r="C62" s="20">
        <v>0</v>
      </c>
      <c r="D62" s="20" t="s">
        <v>142</v>
      </c>
      <c r="E62" s="21" t="s">
        <v>143</v>
      </c>
      <c r="F62" s="20" t="s">
        <v>380</v>
      </c>
      <c r="G62" s="23" t="s">
        <v>380</v>
      </c>
      <c r="H62" s="20">
        <v>0</v>
      </c>
      <c r="I62" s="21"/>
      <c r="J62" s="20" t="s">
        <v>386</v>
      </c>
      <c r="K62" s="3">
        <f t="shared" si="0"/>
        <v>0</v>
      </c>
    </row>
    <row r="63" spans="1:11" ht="20.100000000000001" customHeight="1" x14ac:dyDescent="0.15">
      <c r="A63" s="19" t="s">
        <v>10</v>
      </c>
      <c r="B63" s="19" t="s">
        <v>10</v>
      </c>
      <c r="C63" s="20">
        <v>0</v>
      </c>
      <c r="D63" s="20" t="s">
        <v>199</v>
      </c>
      <c r="E63" s="21" t="s">
        <v>200</v>
      </c>
      <c r="F63" s="20" t="s">
        <v>380</v>
      </c>
      <c r="G63" s="23" t="s">
        <v>380</v>
      </c>
      <c r="H63" s="20">
        <v>0</v>
      </c>
      <c r="I63" s="21" t="s">
        <v>375</v>
      </c>
      <c r="J63" s="20" t="s">
        <v>386</v>
      </c>
      <c r="K63" s="3">
        <f t="shared" si="0"/>
        <v>0</v>
      </c>
    </row>
    <row r="64" spans="1:11" ht="20.100000000000001" customHeight="1" x14ac:dyDescent="0.15">
      <c r="A64" s="19" t="s">
        <v>10</v>
      </c>
      <c r="B64" s="19" t="s">
        <v>10</v>
      </c>
      <c r="C64" s="20">
        <v>0</v>
      </c>
      <c r="D64" s="20" t="s">
        <v>105</v>
      </c>
      <c r="E64" s="21" t="s">
        <v>106</v>
      </c>
      <c r="F64" s="20" t="s">
        <v>380</v>
      </c>
      <c r="G64" s="23" t="s">
        <v>380</v>
      </c>
      <c r="H64" s="20">
        <v>0</v>
      </c>
      <c r="I64" s="21"/>
      <c r="J64" s="20" t="s">
        <v>386</v>
      </c>
      <c r="K64" s="3">
        <f t="shared" si="0"/>
        <v>0</v>
      </c>
    </row>
    <row r="65" spans="1:11" ht="20.100000000000001" customHeight="1" x14ac:dyDescent="0.15">
      <c r="A65" s="19" t="s">
        <v>10</v>
      </c>
      <c r="B65" s="19" t="s">
        <v>10</v>
      </c>
      <c r="C65" s="20">
        <v>0</v>
      </c>
      <c r="D65" s="20" t="s">
        <v>123</v>
      </c>
      <c r="E65" s="21" t="s">
        <v>124</v>
      </c>
      <c r="F65" s="20" t="s">
        <v>380</v>
      </c>
      <c r="G65" s="23" t="s">
        <v>380</v>
      </c>
      <c r="H65" s="20">
        <v>0</v>
      </c>
      <c r="I65" s="21"/>
      <c r="J65" s="20" t="s">
        <v>386</v>
      </c>
      <c r="K65" s="3">
        <f t="shared" si="0"/>
        <v>0</v>
      </c>
    </row>
    <row r="66" spans="1:11" ht="20.100000000000001" customHeight="1" x14ac:dyDescent="0.15">
      <c r="A66" s="19" t="s">
        <v>10</v>
      </c>
      <c r="B66" s="19" t="s">
        <v>10</v>
      </c>
      <c r="C66" s="20">
        <v>0</v>
      </c>
      <c r="D66" s="20" t="s">
        <v>170</v>
      </c>
      <c r="E66" s="21" t="s">
        <v>171</v>
      </c>
      <c r="F66" s="20" t="s">
        <v>380</v>
      </c>
      <c r="G66" s="23" t="s">
        <v>380</v>
      </c>
      <c r="H66" s="20">
        <v>0</v>
      </c>
      <c r="I66" s="21"/>
      <c r="J66" s="20" t="s">
        <v>386</v>
      </c>
      <c r="K66" s="3">
        <f t="shared" ref="K66:K129" si="1">C66+H66</f>
        <v>0</v>
      </c>
    </row>
    <row r="67" spans="1:11" ht="20.100000000000001" customHeight="1" x14ac:dyDescent="0.15">
      <c r="A67" s="11" t="s">
        <v>12</v>
      </c>
      <c r="B67" s="11" t="s">
        <v>12</v>
      </c>
      <c r="C67" s="12">
        <v>0</v>
      </c>
      <c r="D67" s="13" t="s">
        <v>387</v>
      </c>
      <c r="E67" s="13" t="s">
        <v>388</v>
      </c>
      <c r="F67" s="13" t="s">
        <v>380</v>
      </c>
      <c r="G67" s="14" t="s">
        <v>347</v>
      </c>
      <c r="H67" s="12">
        <v>1</v>
      </c>
      <c r="I67" s="13"/>
      <c r="J67" s="12" t="s">
        <v>347</v>
      </c>
      <c r="K67" s="3">
        <f t="shared" si="1"/>
        <v>1</v>
      </c>
    </row>
    <row r="68" spans="1:11" ht="20.100000000000001" customHeight="1" x14ac:dyDescent="0.15">
      <c r="A68" s="11" t="s">
        <v>12</v>
      </c>
      <c r="B68" s="11" t="s">
        <v>12</v>
      </c>
      <c r="C68" s="12">
        <v>0</v>
      </c>
      <c r="D68" s="13" t="s">
        <v>389</v>
      </c>
      <c r="E68" s="13" t="s">
        <v>390</v>
      </c>
      <c r="F68" s="13" t="s">
        <v>380</v>
      </c>
      <c r="G68" s="14" t="s">
        <v>391</v>
      </c>
      <c r="H68" s="12">
        <v>1</v>
      </c>
      <c r="I68" s="13" t="s">
        <v>346</v>
      </c>
      <c r="J68" s="12" t="s">
        <v>392</v>
      </c>
      <c r="K68" s="3">
        <f t="shared" si="1"/>
        <v>1</v>
      </c>
    </row>
    <row r="69" spans="1:11" ht="20.100000000000001" customHeight="1" x14ac:dyDescent="0.15">
      <c r="A69" s="11" t="s">
        <v>12</v>
      </c>
      <c r="B69" s="11" t="s">
        <v>12</v>
      </c>
      <c r="C69" s="12">
        <v>0</v>
      </c>
      <c r="D69" s="13" t="s">
        <v>187</v>
      </c>
      <c r="E69" s="13" t="s">
        <v>188</v>
      </c>
      <c r="F69" s="13" t="s">
        <v>380</v>
      </c>
      <c r="G69" s="14" t="s">
        <v>391</v>
      </c>
      <c r="H69" s="12">
        <v>1</v>
      </c>
      <c r="I69" s="13" t="s">
        <v>375</v>
      </c>
      <c r="J69" s="12" t="s">
        <v>392</v>
      </c>
      <c r="K69" s="3">
        <f t="shared" si="1"/>
        <v>1</v>
      </c>
    </row>
    <row r="70" spans="1:11" ht="20.100000000000001" customHeight="1" x14ac:dyDescent="0.15">
      <c r="A70" s="11" t="s">
        <v>12</v>
      </c>
      <c r="B70" s="11" t="s">
        <v>12</v>
      </c>
      <c r="C70" s="12">
        <v>0</v>
      </c>
      <c r="D70" s="13" t="s">
        <v>119</v>
      </c>
      <c r="E70" s="13" t="s">
        <v>120</v>
      </c>
      <c r="F70" s="13" t="s">
        <v>380</v>
      </c>
      <c r="G70" s="14" t="s">
        <v>391</v>
      </c>
      <c r="H70" s="12">
        <v>1</v>
      </c>
      <c r="I70" s="13"/>
      <c r="J70" s="12" t="s">
        <v>392</v>
      </c>
      <c r="K70" s="3">
        <f t="shared" si="1"/>
        <v>1</v>
      </c>
    </row>
    <row r="71" spans="1:11" ht="20.100000000000001" customHeight="1" x14ac:dyDescent="0.15">
      <c r="A71" s="11" t="s">
        <v>12</v>
      </c>
      <c r="B71" s="11" t="s">
        <v>12</v>
      </c>
      <c r="C71" s="12">
        <v>0</v>
      </c>
      <c r="D71" s="13" t="s">
        <v>189</v>
      </c>
      <c r="E71" s="13" t="s">
        <v>190</v>
      </c>
      <c r="F71" s="13" t="s">
        <v>380</v>
      </c>
      <c r="G71" s="14" t="s">
        <v>391</v>
      </c>
      <c r="H71" s="12">
        <v>1</v>
      </c>
      <c r="I71" s="13"/>
      <c r="J71" s="12" t="s">
        <v>392</v>
      </c>
      <c r="K71" s="3">
        <f t="shared" si="1"/>
        <v>1</v>
      </c>
    </row>
    <row r="72" spans="1:11" ht="20.100000000000001" customHeight="1" x14ac:dyDescent="0.15">
      <c r="A72" s="11" t="s">
        <v>12</v>
      </c>
      <c r="B72" s="11" t="s">
        <v>12</v>
      </c>
      <c r="C72" s="12">
        <v>0</v>
      </c>
      <c r="D72" s="13" t="s">
        <v>322</v>
      </c>
      <c r="E72" s="13" t="s">
        <v>323</v>
      </c>
      <c r="F72" s="13" t="s">
        <v>380</v>
      </c>
      <c r="G72" s="14" t="s">
        <v>391</v>
      </c>
      <c r="H72" s="12">
        <v>1</v>
      </c>
      <c r="I72" s="13" t="s">
        <v>375</v>
      </c>
      <c r="J72" s="12" t="s">
        <v>392</v>
      </c>
      <c r="K72" s="3">
        <f t="shared" si="1"/>
        <v>1</v>
      </c>
    </row>
    <row r="73" spans="1:11" ht="20.100000000000001" customHeight="1" x14ac:dyDescent="0.15">
      <c r="A73" s="11" t="s">
        <v>12</v>
      </c>
      <c r="B73" s="11" t="s">
        <v>12</v>
      </c>
      <c r="C73" s="12">
        <v>0</v>
      </c>
      <c r="D73" s="13" t="s">
        <v>258</v>
      </c>
      <c r="E73" s="13" t="s">
        <v>259</v>
      </c>
      <c r="F73" s="13" t="s">
        <v>380</v>
      </c>
      <c r="G73" s="14" t="s">
        <v>391</v>
      </c>
      <c r="H73" s="12">
        <v>1</v>
      </c>
      <c r="I73" s="13"/>
      <c r="J73" s="12" t="s">
        <v>392</v>
      </c>
      <c r="K73" s="3">
        <f t="shared" si="1"/>
        <v>1</v>
      </c>
    </row>
    <row r="74" spans="1:11" ht="20.100000000000001" customHeight="1" x14ac:dyDescent="0.15">
      <c r="A74" s="11" t="s">
        <v>12</v>
      </c>
      <c r="B74" s="11" t="s">
        <v>12</v>
      </c>
      <c r="C74" s="12">
        <v>0</v>
      </c>
      <c r="D74" s="13" t="s">
        <v>272</v>
      </c>
      <c r="E74" s="13" t="s">
        <v>273</v>
      </c>
      <c r="F74" s="13" t="s">
        <v>380</v>
      </c>
      <c r="G74" s="14" t="s">
        <v>391</v>
      </c>
      <c r="H74" s="12">
        <v>1</v>
      </c>
      <c r="I74" s="13"/>
      <c r="J74" s="12" t="s">
        <v>392</v>
      </c>
      <c r="K74" s="3">
        <f t="shared" si="1"/>
        <v>1</v>
      </c>
    </row>
    <row r="75" spans="1:11" ht="20.100000000000001" customHeight="1" x14ac:dyDescent="0.15">
      <c r="A75" s="11" t="s">
        <v>12</v>
      </c>
      <c r="B75" s="11" t="s">
        <v>12</v>
      </c>
      <c r="C75" s="12">
        <v>0</v>
      </c>
      <c r="D75" s="13" t="s">
        <v>248</v>
      </c>
      <c r="E75" s="13" t="s">
        <v>249</v>
      </c>
      <c r="F75" s="13" t="s">
        <v>380</v>
      </c>
      <c r="G75" s="14" t="s">
        <v>391</v>
      </c>
      <c r="H75" s="12">
        <v>1</v>
      </c>
      <c r="I75" s="13"/>
      <c r="J75" s="12" t="s">
        <v>392</v>
      </c>
      <c r="K75" s="3">
        <f t="shared" si="1"/>
        <v>1</v>
      </c>
    </row>
    <row r="76" spans="1:11" ht="20.100000000000001" customHeight="1" x14ac:dyDescent="0.15">
      <c r="A76" s="11" t="s">
        <v>12</v>
      </c>
      <c r="B76" s="11" t="s">
        <v>12</v>
      </c>
      <c r="C76" s="12">
        <v>0</v>
      </c>
      <c r="D76" s="13" t="s">
        <v>115</v>
      </c>
      <c r="E76" s="13" t="s">
        <v>116</v>
      </c>
      <c r="F76" s="13" t="s">
        <v>380</v>
      </c>
      <c r="G76" s="14" t="s">
        <v>391</v>
      </c>
      <c r="H76" s="12">
        <v>1</v>
      </c>
      <c r="I76" s="13" t="s">
        <v>346</v>
      </c>
      <c r="J76" s="12" t="s">
        <v>393</v>
      </c>
      <c r="K76" s="3">
        <f t="shared" si="1"/>
        <v>1</v>
      </c>
    </row>
    <row r="77" spans="1:11" ht="20.100000000000001" customHeight="1" x14ac:dyDescent="0.15">
      <c r="A77" s="11" t="s">
        <v>12</v>
      </c>
      <c r="B77" s="11" t="s">
        <v>12</v>
      </c>
      <c r="C77" s="12">
        <v>0</v>
      </c>
      <c r="D77" s="13" t="s">
        <v>394</v>
      </c>
      <c r="E77" s="13" t="s">
        <v>395</v>
      </c>
      <c r="F77" s="13" t="s">
        <v>380</v>
      </c>
      <c r="G77" s="14" t="s">
        <v>391</v>
      </c>
      <c r="H77" s="12">
        <v>1</v>
      </c>
      <c r="I77" s="13"/>
      <c r="J77" s="12" t="s">
        <v>393</v>
      </c>
      <c r="K77" s="3">
        <f t="shared" si="1"/>
        <v>1</v>
      </c>
    </row>
    <row r="78" spans="1:11" ht="20.100000000000001" customHeight="1" x14ac:dyDescent="0.15">
      <c r="A78" s="11" t="s">
        <v>12</v>
      </c>
      <c r="B78" s="11" t="s">
        <v>12</v>
      </c>
      <c r="C78" s="12">
        <v>0</v>
      </c>
      <c r="D78" s="13" t="s">
        <v>236</v>
      </c>
      <c r="E78" s="13" t="s">
        <v>237</v>
      </c>
      <c r="F78" s="13" t="s">
        <v>380</v>
      </c>
      <c r="G78" s="14" t="s">
        <v>391</v>
      </c>
      <c r="H78" s="12">
        <v>1</v>
      </c>
      <c r="I78" s="13" t="s">
        <v>375</v>
      </c>
      <c r="J78" s="12" t="s">
        <v>393</v>
      </c>
      <c r="K78" s="3">
        <f t="shared" si="1"/>
        <v>1</v>
      </c>
    </row>
    <row r="79" spans="1:11" ht="20.100000000000001" customHeight="1" x14ac:dyDescent="0.15">
      <c r="A79" s="11" t="s">
        <v>12</v>
      </c>
      <c r="B79" s="11" t="s">
        <v>12</v>
      </c>
      <c r="C79" s="12">
        <v>0</v>
      </c>
      <c r="D79" s="13" t="s">
        <v>180</v>
      </c>
      <c r="E79" s="13" t="s">
        <v>181</v>
      </c>
      <c r="F79" s="13" t="s">
        <v>380</v>
      </c>
      <c r="G79" s="14" t="s">
        <v>391</v>
      </c>
      <c r="H79" s="12">
        <v>1</v>
      </c>
      <c r="I79" s="13"/>
      <c r="J79" s="12" t="s">
        <v>393</v>
      </c>
      <c r="K79" s="3">
        <f t="shared" si="1"/>
        <v>1</v>
      </c>
    </row>
    <row r="80" spans="1:11" ht="20.100000000000001" customHeight="1" x14ac:dyDescent="0.15">
      <c r="A80" s="11" t="s">
        <v>12</v>
      </c>
      <c r="B80" s="11" t="s">
        <v>12</v>
      </c>
      <c r="C80" s="12">
        <v>0</v>
      </c>
      <c r="D80" s="13" t="s">
        <v>134</v>
      </c>
      <c r="E80" s="13" t="s">
        <v>135</v>
      </c>
      <c r="F80" s="13" t="s">
        <v>380</v>
      </c>
      <c r="G80" s="14" t="s">
        <v>391</v>
      </c>
      <c r="H80" s="12">
        <v>1</v>
      </c>
      <c r="I80" s="13"/>
      <c r="J80" s="12" t="s">
        <v>393</v>
      </c>
      <c r="K80" s="3">
        <f t="shared" si="1"/>
        <v>1</v>
      </c>
    </row>
    <row r="81" spans="1:11" ht="20.100000000000001" customHeight="1" x14ac:dyDescent="0.15">
      <c r="A81" s="11" t="s">
        <v>12</v>
      </c>
      <c r="B81" s="11" t="s">
        <v>12</v>
      </c>
      <c r="C81" s="12">
        <v>0</v>
      </c>
      <c r="D81" s="13" t="s">
        <v>396</v>
      </c>
      <c r="E81" s="13" t="s">
        <v>397</v>
      </c>
      <c r="F81" s="13" t="s">
        <v>380</v>
      </c>
      <c r="G81" s="14" t="s">
        <v>391</v>
      </c>
      <c r="H81" s="12">
        <v>1</v>
      </c>
      <c r="I81" s="13"/>
      <c r="J81" s="12" t="s">
        <v>393</v>
      </c>
      <c r="K81" s="3">
        <f t="shared" si="1"/>
        <v>1</v>
      </c>
    </row>
    <row r="82" spans="1:11" ht="20.100000000000001" customHeight="1" x14ac:dyDescent="0.15">
      <c r="A82" s="11" t="s">
        <v>12</v>
      </c>
      <c r="B82" s="11" t="s">
        <v>12</v>
      </c>
      <c r="C82" s="12">
        <v>0</v>
      </c>
      <c r="D82" s="13" t="s">
        <v>62</v>
      </c>
      <c r="E82" s="13" t="s">
        <v>63</v>
      </c>
      <c r="F82" s="13" t="s">
        <v>380</v>
      </c>
      <c r="G82" s="14" t="s">
        <v>391</v>
      </c>
      <c r="H82" s="12">
        <v>1</v>
      </c>
      <c r="I82" s="13"/>
      <c r="J82" s="12" t="s">
        <v>393</v>
      </c>
      <c r="K82" s="3">
        <f t="shared" si="1"/>
        <v>1</v>
      </c>
    </row>
    <row r="83" spans="1:11" ht="20.100000000000001" customHeight="1" x14ac:dyDescent="0.15">
      <c r="A83" s="11" t="s">
        <v>12</v>
      </c>
      <c r="B83" s="11" t="s">
        <v>12</v>
      </c>
      <c r="C83" s="12">
        <v>0</v>
      </c>
      <c r="D83" s="13" t="s">
        <v>206</v>
      </c>
      <c r="E83" s="13" t="s">
        <v>207</v>
      </c>
      <c r="F83" s="13" t="s">
        <v>380</v>
      </c>
      <c r="G83" s="14" t="s">
        <v>391</v>
      </c>
      <c r="H83" s="12">
        <v>1</v>
      </c>
      <c r="I83" s="13"/>
      <c r="J83" s="12" t="s">
        <v>393</v>
      </c>
      <c r="K83" s="3">
        <f t="shared" si="1"/>
        <v>1</v>
      </c>
    </row>
    <row r="84" spans="1:11" ht="20.100000000000001" customHeight="1" x14ac:dyDescent="0.15">
      <c r="A84" s="11" t="s">
        <v>12</v>
      </c>
      <c r="B84" s="11" t="s">
        <v>12</v>
      </c>
      <c r="C84" s="12">
        <v>0</v>
      </c>
      <c r="D84" s="13" t="s">
        <v>192</v>
      </c>
      <c r="E84" s="13" t="s">
        <v>193</v>
      </c>
      <c r="F84" s="13" t="s">
        <v>380</v>
      </c>
      <c r="G84" s="14" t="s">
        <v>391</v>
      </c>
      <c r="H84" s="12">
        <v>1</v>
      </c>
      <c r="I84" s="13"/>
      <c r="J84" s="12" t="s">
        <v>393</v>
      </c>
      <c r="K84" s="3">
        <f t="shared" si="1"/>
        <v>1</v>
      </c>
    </row>
    <row r="85" spans="1:11" ht="20.100000000000001" customHeight="1" x14ac:dyDescent="0.15">
      <c r="A85" s="11" t="s">
        <v>12</v>
      </c>
      <c r="B85" s="11" t="s">
        <v>12</v>
      </c>
      <c r="C85" s="12">
        <v>0</v>
      </c>
      <c r="D85" s="13" t="s">
        <v>82</v>
      </c>
      <c r="E85" s="13" t="s">
        <v>83</v>
      </c>
      <c r="F85" s="13" t="s">
        <v>380</v>
      </c>
      <c r="G85" s="14" t="s">
        <v>391</v>
      </c>
      <c r="H85" s="12">
        <v>1</v>
      </c>
      <c r="I85" s="13" t="s">
        <v>375</v>
      </c>
      <c r="J85" s="12" t="s">
        <v>393</v>
      </c>
      <c r="K85" s="3">
        <f t="shared" si="1"/>
        <v>1</v>
      </c>
    </row>
    <row r="86" spans="1:11" ht="20.100000000000001" customHeight="1" x14ac:dyDescent="0.15">
      <c r="A86" s="11" t="s">
        <v>12</v>
      </c>
      <c r="B86" s="11" t="s">
        <v>12</v>
      </c>
      <c r="C86" s="12">
        <v>0</v>
      </c>
      <c r="D86" s="13" t="s">
        <v>302</v>
      </c>
      <c r="E86" s="13" t="s">
        <v>303</v>
      </c>
      <c r="F86" s="13" t="s">
        <v>380</v>
      </c>
      <c r="G86" s="14" t="s">
        <v>381</v>
      </c>
      <c r="H86" s="12">
        <v>1</v>
      </c>
      <c r="I86" s="13"/>
      <c r="J86" s="12" t="s">
        <v>382</v>
      </c>
      <c r="K86" s="3">
        <f t="shared" si="1"/>
        <v>1</v>
      </c>
    </row>
    <row r="87" spans="1:11" ht="20.100000000000001" customHeight="1" x14ac:dyDescent="0.15">
      <c r="A87" s="11" t="s">
        <v>12</v>
      </c>
      <c r="B87" s="11" t="s">
        <v>12</v>
      </c>
      <c r="C87" s="12">
        <v>0</v>
      </c>
      <c r="D87" s="13" t="s">
        <v>64</v>
      </c>
      <c r="E87" s="13" t="s">
        <v>65</v>
      </c>
      <c r="F87" s="13" t="s">
        <v>380</v>
      </c>
      <c r="G87" s="14" t="s">
        <v>391</v>
      </c>
      <c r="H87" s="12">
        <v>1</v>
      </c>
      <c r="I87" s="13" t="s">
        <v>346</v>
      </c>
      <c r="J87" s="12" t="s">
        <v>386</v>
      </c>
      <c r="K87" s="3">
        <f t="shared" si="1"/>
        <v>1</v>
      </c>
    </row>
    <row r="88" spans="1:11" ht="20.100000000000001" customHeight="1" x14ac:dyDescent="0.15">
      <c r="A88" s="11" t="s">
        <v>12</v>
      </c>
      <c r="B88" s="11" t="s">
        <v>12</v>
      </c>
      <c r="C88" s="12">
        <v>0</v>
      </c>
      <c r="D88" s="13" t="s">
        <v>32</v>
      </c>
      <c r="E88" s="13" t="s">
        <v>33</v>
      </c>
      <c r="F88" s="13" t="s">
        <v>380</v>
      </c>
      <c r="G88" s="14" t="s">
        <v>391</v>
      </c>
      <c r="H88" s="12">
        <v>1</v>
      </c>
      <c r="I88" s="13" t="s">
        <v>375</v>
      </c>
      <c r="J88" s="12" t="s">
        <v>386</v>
      </c>
      <c r="K88" s="3">
        <f t="shared" si="1"/>
        <v>1</v>
      </c>
    </row>
    <row r="89" spans="1:11" ht="20.100000000000001" customHeight="1" x14ac:dyDescent="0.15">
      <c r="A89" s="11" t="s">
        <v>12</v>
      </c>
      <c r="B89" s="11" t="s">
        <v>12</v>
      </c>
      <c r="C89" s="12">
        <v>0</v>
      </c>
      <c r="D89" s="13" t="s">
        <v>98</v>
      </c>
      <c r="E89" s="13" t="s">
        <v>99</v>
      </c>
      <c r="F89" s="13" t="s">
        <v>380</v>
      </c>
      <c r="G89" s="14" t="s">
        <v>391</v>
      </c>
      <c r="H89" s="12">
        <v>1</v>
      </c>
      <c r="I89" s="13"/>
      <c r="J89" s="12" t="s">
        <v>386</v>
      </c>
      <c r="K89" s="3">
        <f t="shared" si="1"/>
        <v>1</v>
      </c>
    </row>
    <row r="90" spans="1:11" ht="20.100000000000001" customHeight="1" x14ac:dyDescent="0.15">
      <c r="A90" s="11" t="s">
        <v>12</v>
      </c>
      <c r="B90" s="11" t="s">
        <v>12</v>
      </c>
      <c r="C90" s="12">
        <v>0</v>
      </c>
      <c r="D90" s="13" t="s">
        <v>274</v>
      </c>
      <c r="E90" s="13" t="s">
        <v>275</v>
      </c>
      <c r="F90" s="13" t="s">
        <v>380</v>
      </c>
      <c r="G90" s="14" t="s">
        <v>391</v>
      </c>
      <c r="H90" s="12">
        <v>1</v>
      </c>
      <c r="I90" s="13"/>
      <c r="J90" s="12" t="s">
        <v>386</v>
      </c>
      <c r="K90" s="3">
        <f t="shared" si="1"/>
        <v>1</v>
      </c>
    </row>
    <row r="91" spans="1:11" ht="20.100000000000001" customHeight="1" x14ac:dyDescent="0.15">
      <c r="A91" s="11" t="s">
        <v>12</v>
      </c>
      <c r="B91" s="11" t="s">
        <v>12</v>
      </c>
      <c r="C91" s="12">
        <v>0</v>
      </c>
      <c r="D91" s="13" t="s">
        <v>182</v>
      </c>
      <c r="E91" s="13" t="s">
        <v>183</v>
      </c>
      <c r="F91" s="13" t="s">
        <v>380</v>
      </c>
      <c r="G91" s="14" t="s">
        <v>391</v>
      </c>
      <c r="H91" s="12">
        <v>1</v>
      </c>
      <c r="I91" s="13"/>
      <c r="J91" s="12" t="s">
        <v>386</v>
      </c>
      <c r="K91" s="3">
        <f t="shared" si="1"/>
        <v>1</v>
      </c>
    </row>
    <row r="92" spans="1:11" ht="20.100000000000001" customHeight="1" x14ac:dyDescent="0.15">
      <c r="A92" s="11" t="s">
        <v>12</v>
      </c>
      <c r="B92" s="11" t="s">
        <v>12</v>
      </c>
      <c r="C92" s="12">
        <v>0</v>
      </c>
      <c r="D92" s="13" t="s">
        <v>121</v>
      </c>
      <c r="E92" s="13" t="s">
        <v>122</v>
      </c>
      <c r="F92" s="13" t="s">
        <v>380</v>
      </c>
      <c r="G92" s="14" t="s">
        <v>391</v>
      </c>
      <c r="H92" s="12">
        <v>1</v>
      </c>
      <c r="I92" s="13" t="s">
        <v>375</v>
      </c>
      <c r="J92" s="12" t="s">
        <v>386</v>
      </c>
      <c r="K92" s="3">
        <f t="shared" si="1"/>
        <v>1</v>
      </c>
    </row>
    <row r="93" spans="1:11" ht="20.100000000000001" customHeight="1" x14ac:dyDescent="0.15">
      <c r="A93" s="11" t="s">
        <v>12</v>
      </c>
      <c r="B93" s="11" t="s">
        <v>12</v>
      </c>
      <c r="C93" s="12">
        <v>0</v>
      </c>
      <c r="D93" s="13" t="s">
        <v>132</v>
      </c>
      <c r="E93" s="13" t="s">
        <v>133</v>
      </c>
      <c r="F93" s="13" t="s">
        <v>380</v>
      </c>
      <c r="G93" s="14" t="s">
        <v>391</v>
      </c>
      <c r="H93" s="12">
        <v>1</v>
      </c>
      <c r="I93" s="13"/>
      <c r="J93" s="12" t="s">
        <v>386</v>
      </c>
      <c r="K93" s="3">
        <f t="shared" si="1"/>
        <v>1</v>
      </c>
    </row>
    <row r="94" spans="1:11" ht="20.100000000000001" customHeight="1" x14ac:dyDescent="0.15">
      <c r="A94" s="11" t="s">
        <v>12</v>
      </c>
      <c r="B94" s="11" t="s">
        <v>12</v>
      </c>
      <c r="C94" s="12">
        <v>0</v>
      </c>
      <c r="D94" s="13" t="s">
        <v>172</v>
      </c>
      <c r="E94" s="13" t="s">
        <v>173</v>
      </c>
      <c r="F94" s="13" t="s">
        <v>380</v>
      </c>
      <c r="G94" s="14" t="s">
        <v>391</v>
      </c>
      <c r="H94" s="12">
        <v>1</v>
      </c>
      <c r="I94" s="13"/>
      <c r="J94" s="12" t="s">
        <v>386</v>
      </c>
      <c r="K94" s="3">
        <f t="shared" si="1"/>
        <v>1</v>
      </c>
    </row>
    <row r="95" spans="1:11" ht="20.100000000000001" customHeight="1" x14ac:dyDescent="0.15">
      <c r="A95" s="11" t="s">
        <v>12</v>
      </c>
      <c r="B95" s="11" t="s">
        <v>10</v>
      </c>
      <c r="C95" s="12">
        <v>1</v>
      </c>
      <c r="D95" s="13" t="s">
        <v>117</v>
      </c>
      <c r="E95" s="13" t="s">
        <v>118</v>
      </c>
      <c r="F95" s="13" t="s">
        <v>380</v>
      </c>
      <c r="G95" s="14" t="s">
        <v>391</v>
      </c>
      <c r="H95" s="12">
        <v>1</v>
      </c>
      <c r="I95" s="13"/>
      <c r="J95" s="28" t="s">
        <v>386</v>
      </c>
      <c r="K95" s="3">
        <f t="shared" si="1"/>
        <v>2</v>
      </c>
    </row>
    <row r="96" spans="1:11" ht="20.100000000000001" customHeight="1" x14ac:dyDescent="0.15">
      <c r="A96" s="11" t="s">
        <v>12</v>
      </c>
      <c r="B96" s="11" t="s">
        <v>12</v>
      </c>
      <c r="C96" s="12">
        <v>0</v>
      </c>
      <c r="D96" s="13" t="s">
        <v>298</v>
      </c>
      <c r="E96" s="13" t="s">
        <v>299</v>
      </c>
      <c r="F96" s="13" t="s">
        <v>380</v>
      </c>
      <c r="G96" s="14" t="s">
        <v>381</v>
      </c>
      <c r="H96" s="12">
        <v>1</v>
      </c>
      <c r="I96" s="13" t="s">
        <v>346</v>
      </c>
      <c r="J96" s="12" t="s">
        <v>398</v>
      </c>
      <c r="K96" s="3">
        <f t="shared" si="1"/>
        <v>1</v>
      </c>
    </row>
    <row r="97" spans="1:11" ht="20.100000000000001" customHeight="1" x14ac:dyDescent="0.15">
      <c r="A97" s="11" t="s">
        <v>12</v>
      </c>
      <c r="B97" s="11" t="s">
        <v>12</v>
      </c>
      <c r="C97" s="12">
        <v>0</v>
      </c>
      <c r="D97" s="13" t="s">
        <v>266</v>
      </c>
      <c r="E97" s="13" t="s">
        <v>267</v>
      </c>
      <c r="F97" s="13" t="s">
        <v>380</v>
      </c>
      <c r="G97" s="14" t="s">
        <v>381</v>
      </c>
      <c r="H97" s="12">
        <v>1</v>
      </c>
      <c r="I97" s="13" t="s">
        <v>375</v>
      </c>
      <c r="J97" s="12" t="s">
        <v>398</v>
      </c>
      <c r="K97" s="3">
        <f t="shared" si="1"/>
        <v>1</v>
      </c>
    </row>
    <row r="98" spans="1:11" ht="20.100000000000001" customHeight="1" x14ac:dyDescent="0.15">
      <c r="A98" s="11" t="s">
        <v>12</v>
      </c>
      <c r="B98" s="11" t="s">
        <v>12</v>
      </c>
      <c r="C98" s="12">
        <v>0</v>
      </c>
      <c r="D98" s="13" t="s">
        <v>101</v>
      </c>
      <c r="E98" s="13" t="s">
        <v>102</v>
      </c>
      <c r="F98" s="13" t="s">
        <v>380</v>
      </c>
      <c r="G98" s="14" t="s">
        <v>381</v>
      </c>
      <c r="H98" s="12">
        <v>1</v>
      </c>
      <c r="I98" s="13"/>
      <c r="J98" s="12" t="s">
        <v>398</v>
      </c>
      <c r="K98" s="3">
        <f t="shared" si="1"/>
        <v>1</v>
      </c>
    </row>
    <row r="99" spans="1:11" ht="20.100000000000001" customHeight="1" x14ac:dyDescent="0.15">
      <c r="A99" s="11" t="s">
        <v>12</v>
      </c>
      <c r="B99" s="11" t="s">
        <v>12</v>
      </c>
      <c r="C99" s="12">
        <v>0</v>
      </c>
      <c r="D99" s="13" t="s">
        <v>185</v>
      </c>
      <c r="E99" s="13" t="s">
        <v>186</v>
      </c>
      <c r="F99" s="13" t="s">
        <v>380</v>
      </c>
      <c r="G99" s="14" t="s">
        <v>381</v>
      </c>
      <c r="H99" s="12">
        <v>1</v>
      </c>
      <c r="I99" s="13"/>
      <c r="J99" s="12" t="s">
        <v>398</v>
      </c>
      <c r="K99" s="3">
        <f t="shared" si="1"/>
        <v>1</v>
      </c>
    </row>
    <row r="100" spans="1:11" ht="20.100000000000001" customHeight="1" x14ac:dyDescent="0.15">
      <c r="A100" s="11" t="s">
        <v>12</v>
      </c>
      <c r="B100" s="11" t="s">
        <v>12</v>
      </c>
      <c r="C100" s="12">
        <v>0</v>
      </c>
      <c r="D100" s="13" t="s">
        <v>229</v>
      </c>
      <c r="E100" s="13" t="s">
        <v>230</v>
      </c>
      <c r="F100" s="13" t="s">
        <v>380</v>
      </c>
      <c r="G100" s="14" t="s">
        <v>381</v>
      </c>
      <c r="H100" s="12">
        <v>1</v>
      </c>
      <c r="I100" s="13"/>
      <c r="J100" s="12" t="s">
        <v>398</v>
      </c>
      <c r="K100" s="3">
        <f t="shared" si="1"/>
        <v>1</v>
      </c>
    </row>
    <row r="101" spans="1:11" ht="20.100000000000001" customHeight="1" x14ac:dyDescent="0.15">
      <c r="A101" s="19" t="s">
        <v>53</v>
      </c>
      <c r="B101" s="19" t="s">
        <v>53</v>
      </c>
      <c r="C101" s="20">
        <v>0</v>
      </c>
      <c r="D101" s="21" t="s">
        <v>399</v>
      </c>
      <c r="E101" s="21" t="s">
        <v>400</v>
      </c>
      <c r="F101" s="21" t="s">
        <v>347</v>
      </c>
      <c r="G101" s="22" t="s">
        <v>347</v>
      </c>
      <c r="H101" s="20">
        <v>0</v>
      </c>
      <c r="I101" s="21"/>
      <c r="J101" s="29" t="s">
        <v>347</v>
      </c>
      <c r="K101" s="3">
        <f t="shared" si="1"/>
        <v>0</v>
      </c>
    </row>
    <row r="102" spans="1:11" ht="20.100000000000001" customHeight="1" x14ac:dyDescent="0.15">
      <c r="A102" s="19" t="s">
        <v>53</v>
      </c>
      <c r="B102" s="19" t="s">
        <v>53</v>
      </c>
      <c r="C102" s="20">
        <v>0</v>
      </c>
      <c r="D102" s="21" t="s">
        <v>401</v>
      </c>
      <c r="E102" s="21" t="s">
        <v>402</v>
      </c>
      <c r="F102" s="21" t="s">
        <v>403</v>
      </c>
      <c r="G102" s="22" t="s">
        <v>403</v>
      </c>
      <c r="H102" s="20">
        <v>0</v>
      </c>
      <c r="I102" s="21" t="s">
        <v>346</v>
      </c>
      <c r="J102" s="21" t="s">
        <v>404</v>
      </c>
      <c r="K102" s="3">
        <f t="shared" si="1"/>
        <v>0</v>
      </c>
    </row>
    <row r="103" spans="1:11" ht="20.100000000000001" customHeight="1" x14ac:dyDescent="0.15">
      <c r="A103" s="19" t="s">
        <v>53</v>
      </c>
      <c r="B103" s="19" t="s">
        <v>53</v>
      </c>
      <c r="C103" s="20">
        <v>0</v>
      </c>
      <c r="D103" s="21" t="s">
        <v>405</v>
      </c>
      <c r="E103" s="21" t="s">
        <v>406</v>
      </c>
      <c r="F103" s="21" t="s">
        <v>403</v>
      </c>
      <c r="G103" s="22" t="s">
        <v>403</v>
      </c>
      <c r="H103" s="20">
        <v>0</v>
      </c>
      <c r="I103" s="21" t="s">
        <v>375</v>
      </c>
      <c r="J103" s="21" t="s">
        <v>404</v>
      </c>
      <c r="K103" s="3">
        <f t="shared" si="1"/>
        <v>0</v>
      </c>
    </row>
    <row r="104" spans="1:11" ht="20.100000000000001" customHeight="1" x14ac:dyDescent="0.15">
      <c r="A104" s="19" t="s">
        <v>53</v>
      </c>
      <c r="B104" s="19" t="s">
        <v>53</v>
      </c>
      <c r="C104" s="20">
        <v>0</v>
      </c>
      <c r="D104" s="21" t="s">
        <v>407</v>
      </c>
      <c r="E104" s="21" t="s">
        <v>408</v>
      </c>
      <c r="F104" s="21" t="s">
        <v>403</v>
      </c>
      <c r="G104" s="22" t="s">
        <v>403</v>
      </c>
      <c r="H104" s="20">
        <v>0</v>
      </c>
      <c r="I104" s="21"/>
      <c r="J104" s="21" t="s">
        <v>404</v>
      </c>
      <c r="K104" s="3">
        <f t="shared" si="1"/>
        <v>0</v>
      </c>
    </row>
    <row r="105" spans="1:11" ht="20.100000000000001" customHeight="1" x14ac:dyDescent="0.15">
      <c r="A105" s="19" t="s">
        <v>53</v>
      </c>
      <c r="B105" s="19" t="s">
        <v>53</v>
      </c>
      <c r="C105" s="20">
        <v>0</v>
      </c>
      <c r="D105" s="21" t="s">
        <v>409</v>
      </c>
      <c r="E105" s="21" t="s">
        <v>410</v>
      </c>
      <c r="F105" s="21" t="s">
        <v>403</v>
      </c>
      <c r="G105" s="22" t="s">
        <v>403</v>
      </c>
      <c r="H105" s="20">
        <v>0</v>
      </c>
      <c r="I105" s="21"/>
      <c r="J105" s="21" t="s">
        <v>404</v>
      </c>
      <c r="K105" s="3">
        <f t="shared" si="1"/>
        <v>0</v>
      </c>
    </row>
    <row r="106" spans="1:11" ht="20.100000000000001" customHeight="1" x14ac:dyDescent="0.15">
      <c r="A106" s="19" t="s">
        <v>53</v>
      </c>
      <c r="B106" s="19" t="s">
        <v>53</v>
      </c>
      <c r="C106" s="20">
        <v>0</v>
      </c>
      <c r="D106" s="21" t="s">
        <v>411</v>
      </c>
      <c r="E106" s="21" t="s">
        <v>412</v>
      </c>
      <c r="F106" s="21" t="s">
        <v>413</v>
      </c>
      <c r="G106" s="22" t="s">
        <v>413</v>
      </c>
      <c r="H106" s="20">
        <v>0</v>
      </c>
      <c r="I106" s="21" t="s">
        <v>346</v>
      </c>
      <c r="J106" s="21" t="s">
        <v>414</v>
      </c>
      <c r="K106" s="3">
        <f t="shared" si="1"/>
        <v>0</v>
      </c>
    </row>
    <row r="107" spans="1:11" ht="20.100000000000001" customHeight="1" x14ac:dyDescent="0.15">
      <c r="A107" s="19" t="s">
        <v>53</v>
      </c>
      <c r="B107" s="19" t="s">
        <v>53</v>
      </c>
      <c r="C107" s="20">
        <v>0</v>
      </c>
      <c r="D107" s="21" t="s">
        <v>415</v>
      </c>
      <c r="E107" s="21" t="s">
        <v>416</v>
      </c>
      <c r="F107" s="21" t="s">
        <v>413</v>
      </c>
      <c r="G107" s="22" t="s">
        <v>413</v>
      </c>
      <c r="H107" s="20">
        <v>0</v>
      </c>
      <c r="I107" s="21"/>
      <c r="J107" s="29" t="s">
        <v>414</v>
      </c>
      <c r="K107" s="3">
        <f t="shared" si="1"/>
        <v>0</v>
      </c>
    </row>
    <row r="108" spans="1:11" ht="20.100000000000001" customHeight="1" x14ac:dyDescent="0.15">
      <c r="A108" s="19" t="s">
        <v>53</v>
      </c>
      <c r="B108" s="19" t="s">
        <v>53</v>
      </c>
      <c r="C108" s="20">
        <v>0</v>
      </c>
      <c r="D108" s="21" t="s">
        <v>417</v>
      </c>
      <c r="E108" s="21" t="s">
        <v>418</v>
      </c>
      <c r="F108" s="21" t="s">
        <v>381</v>
      </c>
      <c r="G108" s="22" t="s">
        <v>381</v>
      </c>
      <c r="H108" s="20">
        <v>0</v>
      </c>
      <c r="I108" s="21" t="s">
        <v>375</v>
      </c>
      <c r="J108" s="21" t="s">
        <v>414</v>
      </c>
      <c r="K108" s="3">
        <f t="shared" si="1"/>
        <v>0</v>
      </c>
    </row>
    <row r="109" spans="1:11" ht="20.100000000000001" customHeight="1" x14ac:dyDescent="0.15">
      <c r="A109" s="11" t="s">
        <v>13</v>
      </c>
      <c r="B109" s="11" t="s">
        <v>13</v>
      </c>
      <c r="C109" s="12">
        <v>0</v>
      </c>
      <c r="D109" s="13" t="s">
        <v>419</v>
      </c>
      <c r="E109" s="13" t="s">
        <v>420</v>
      </c>
      <c r="F109" s="13" t="s">
        <v>347</v>
      </c>
      <c r="G109" s="14" t="s">
        <v>347</v>
      </c>
      <c r="H109" s="12">
        <v>0</v>
      </c>
      <c r="I109" s="13"/>
      <c r="J109" s="12" t="s">
        <v>347</v>
      </c>
      <c r="K109" s="3">
        <f t="shared" si="1"/>
        <v>0</v>
      </c>
    </row>
    <row r="110" spans="1:11" ht="20.100000000000001" customHeight="1" x14ac:dyDescent="0.15">
      <c r="A110" s="11" t="s">
        <v>13</v>
      </c>
      <c r="B110" s="11" t="s">
        <v>13</v>
      </c>
      <c r="C110" s="12">
        <v>0</v>
      </c>
      <c r="D110" s="13" t="s">
        <v>421</v>
      </c>
      <c r="E110" s="13" t="s">
        <v>422</v>
      </c>
      <c r="F110" s="13" t="s">
        <v>345</v>
      </c>
      <c r="G110" s="14" t="s">
        <v>345</v>
      </c>
      <c r="H110" s="12">
        <v>0</v>
      </c>
      <c r="I110" s="13"/>
      <c r="J110" s="12" t="s">
        <v>423</v>
      </c>
      <c r="K110" s="3">
        <f t="shared" si="1"/>
        <v>0</v>
      </c>
    </row>
    <row r="111" spans="1:11" ht="20.100000000000001" customHeight="1" x14ac:dyDescent="0.15">
      <c r="A111" s="11" t="s">
        <v>13</v>
      </c>
      <c r="B111" s="11" t="s">
        <v>13</v>
      </c>
      <c r="C111" s="12">
        <v>0</v>
      </c>
      <c r="D111" s="13" t="s">
        <v>424</v>
      </c>
      <c r="E111" s="13" t="s">
        <v>425</v>
      </c>
      <c r="F111" s="13" t="s">
        <v>345</v>
      </c>
      <c r="G111" s="14" t="s">
        <v>345</v>
      </c>
      <c r="H111" s="12">
        <v>0</v>
      </c>
      <c r="I111" s="13" t="s">
        <v>346</v>
      </c>
      <c r="J111" s="12" t="s">
        <v>423</v>
      </c>
      <c r="K111" s="3">
        <f t="shared" si="1"/>
        <v>0</v>
      </c>
    </row>
    <row r="112" spans="1:11" ht="20.100000000000001" customHeight="1" x14ac:dyDescent="0.15">
      <c r="A112" s="11" t="s">
        <v>13</v>
      </c>
      <c r="B112" s="11" t="s">
        <v>13</v>
      </c>
      <c r="C112" s="12">
        <v>0</v>
      </c>
      <c r="D112" s="13" t="s">
        <v>426</v>
      </c>
      <c r="E112" s="13" t="s">
        <v>427</v>
      </c>
      <c r="F112" s="13" t="s">
        <v>345</v>
      </c>
      <c r="G112" s="14" t="s">
        <v>345</v>
      </c>
      <c r="H112" s="12">
        <v>0</v>
      </c>
      <c r="I112" s="13"/>
      <c r="J112" s="12" t="s">
        <v>423</v>
      </c>
      <c r="K112" s="3">
        <f t="shared" si="1"/>
        <v>0</v>
      </c>
    </row>
    <row r="113" spans="1:11" ht="20.100000000000001" customHeight="1" x14ac:dyDescent="0.15">
      <c r="A113" s="11" t="s">
        <v>13</v>
      </c>
      <c r="B113" s="11" t="s">
        <v>13</v>
      </c>
      <c r="C113" s="12">
        <v>0</v>
      </c>
      <c r="D113" s="13" t="s">
        <v>428</v>
      </c>
      <c r="E113" s="13" t="s">
        <v>429</v>
      </c>
      <c r="F113" s="13" t="s">
        <v>345</v>
      </c>
      <c r="G113" s="14" t="s">
        <v>345</v>
      </c>
      <c r="H113" s="12">
        <v>0</v>
      </c>
      <c r="I113" s="13" t="s">
        <v>375</v>
      </c>
      <c r="J113" s="12" t="s">
        <v>423</v>
      </c>
      <c r="K113" s="3">
        <f t="shared" si="1"/>
        <v>0</v>
      </c>
    </row>
    <row r="114" spans="1:11" ht="20.100000000000001" customHeight="1" x14ac:dyDescent="0.15">
      <c r="A114" s="11" t="s">
        <v>13</v>
      </c>
      <c r="B114" s="11" t="s">
        <v>13</v>
      </c>
      <c r="C114" s="12">
        <v>0</v>
      </c>
      <c r="D114" s="13" t="s">
        <v>430</v>
      </c>
      <c r="E114" s="13" t="s">
        <v>431</v>
      </c>
      <c r="F114" s="13" t="s">
        <v>345</v>
      </c>
      <c r="G114" s="14" t="s">
        <v>345</v>
      </c>
      <c r="H114" s="12">
        <v>0</v>
      </c>
      <c r="I114" s="13"/>
      <c r="J114" s="12" t="s">
        <v>423</v>
      </c>
      <c r="K114" s="3">
        <f t="shared" si="1"/>
        <v>0</v>
      </c>
    </row>
    <row r="115" spans="1:11" ht="20.100000000000001" customHeight="1" x14ac:dyDescent="0.15">
      <c r="A115" s="11" t="s">
        <v>13</v>
      </c>
      <c r="B115" s="11" t="s">
        <v>13</v>
      </c>
      <c r="C115" s="12">
        <v>0</v>
      </c>
      <c r="D115" s="13" t="s">
        <v>432</v>
      </c>
      <c r="E115" s="13" t="s">
        <v>433</v>
      </c>
      <c r="F115" s="13" t="s">
        <v>345</v>
      </c>
      <c r="G115" s="14" t="s">
        <v>345</v>
      </c>
      <c r="H115" s="12">
        <v>0</v>
      </c>
      <c r="I115" s="13"/>
      <c r="J115" s="12" t="s">
        <v>423</v>
      </c>
      <c r="K115" s="3">
        <f t="shared" si="1"/>
        <v>0</v>
      </c>
    </row>
    <row r="116" spans="1:11" ht="20.100000000000001" customHeight="1" x14ac:dyDescent="0.15">
      <c r="A116" s="11" t="s">
        <v>13</v>
      </c>
      <c r="B116" s="11" t="s">
        <v>13</v>
      </c>
      <c r="C116" s="12">
        <v>0</v>
      </c>
      <c r="D116" s="13" t="s">
        <v>434</v>
      </c>
      <c r="E116" s="13" t="s">
        <v>435</v>
      </c>
      <c r="F116" s="13" t="s">
        <v>345</v>
      </c>
      <c r="G116" s="14" t="s">
        <v>345</v>
      </c>
      <c r="H116" s="12">
        <v>0</v>
      </c>
      <c r="I116" s="13" t="s">
        <v>375</v>
      </c>
      <c r="J116" s="12" t="s">
        <v>423</v>
      </c>
      <c r="K116" s="3">
        <f t="shared" si="1"/>
        <v>0</v>
      </c>
    </row>
    <row r="117" spans="1:11" ht="20.100000000000001" customHeight="1" x14ac:dyDescent="0.15">
      <c r="A117" s="11" t="s">
        <v>13</v>
      </c>
      <c r="B117" s="11" t="s">
        <v>13</v>
      </c>
      <c r="C117" s="12">
        <v>0</v>
      </c>
      <c r="D117" s="13" t="s">
        <v>436</v>
      </c>
      <c r="E117" s="13" t="s">
        <v>437</v>
      </c>
      <c r="F117" s="13" t="s">
        <v>345</v>
      </c>
      <c r="G117" s="14" t="s">
        <v>345</v>
      </c>
      <c r="H117" s="12">
        <v>0</v>
      </c>
      <c r="I117" s="13"/>
      <c r="J117" s="12" t="s">
        <v>423</v>
      </c>
      <c r="K117" s="3">
        <f t="shared" si="1"/>
        <v>0</v>
      </c>
    </row>
    <row r="118" spans="1:11" ht="20.100000000000001" customHeight="1" x14ac:dyDescent="0.15">
      <c r="A118" s="11" t="s">
        <v>13</v>
      </c>
      <c r="B118" s="11" t="s">
        <v>13</v>
      </c>
      <c r="C118" s="12">
        <v>0</v>
      </c>
      <c r="D118" s="13" t="s">
        <v>438</v>
      </c>
      <c r="E118" s="13" t="s">
        <v>439</v>
      </c>
      <c r="F118" s="13" t="s">
        <v>345</v>
      </c>
      <c r="G118" s="14" t="s">
        <v>345</v>
      </c>
      <c r="H118" s="12">
        <v>0</v>
      </c>
      <c r="I118" s="13"/>
      <c r="J118" s="12" t="s">
        <v>423</v>
      </c>
      <c r="K118" s="3">
        <f t="shared" si="1"/>
        <v>0</v>
      </c>
    </row>
    <row r="119" spans="1:11" ht="20.100000000000001" customHeight="1" x14ac:dyDescent="0.15">
      <c r="A119" s="11" t="s">
        <v>13</v>
      </c>
      <c r="B119" s="11" t="s">
        <v>13</v>
      </c>
      <c r="C119" s="12">
        <v>0</v>
      </c>
      <c r="D119" s="13" t="s">
        <v>440</v>
      </c>
      <c r="E119" s="13" t="s">
        <v>441</v>
      </c>
      <c r="F119" s="13" t="s">
        <v>345</v>
      </c>
      <c r="G119" s="14" t="s">
        <v>345</v>
      </c>
      <c r="H119" s="12">
        <v>0</v>
      </c>
      <c r="I119" s="13" t="s">
        <v>346</v>
      </c>
      <c r="J119" s="12" t="s">
        <v>442</v>
      </c>
      <c r="K119" s="3">
        <f t="shared" si="1"/>
        <v>0</v>
      </c>
    </row>
    <row r="120" spans="1:11" ht="20.100000000000001" customHeight="1" x14ac:dyDescent="0.15">
      <c r="A120" s="11" t="s">
        <v>13</v>
      </c>
      <c r="B120" s="11" t="s">
        <v>13</v>
      </c>
      <c r="C120" s="12">
        <v>0</v>
      </c>
      <c r="D120" s="13" t="s">
        <v>443</v>
      </c>
      <c r="E120" s="13" t="s">
        <v>444</v>
      </c>
      <c r="F120" s="13" t="s">
        <v>345</v>
      </c>
      <c r="G120" s="14" t="s">
        <v>345</v>
      </c>
      <c r="H120" s="12">
        <v>0</v>
      </c>
      <c r="I120" s="13"/>
      <c r="J120" s="12" t="s">
        <v>442</v>
      </c>
      <c r="K120" s="3">
        <f t="shared" si="1"/>
        <v>0</v>
      </c>
    </row>
    <row r="121" spans="1:11" ht="20.100000000000001" customHeight="1" x14ac:dyDescent="0.15">
      <c r="A121" s="11" t="s">
        <v>13</v>
      </c>
      <c r="B121" s="11" t="s">
        <v>13</v>
      </c>
      <c r="C121" s="12">
        <v>0</v>
      </c>
      <c r="D121" s="13" t="s">
        <v>445</v>
      </c>
      <c r="E121" s="13" t="s">
        <v>446</v>
      </c>
      <c r="F121" s="13" t="s">
        <v>345</v>
      </c>
      <c r="G121" s="14" t="s">
        <v>345</v>
      </c>
      <c r="H121" s="12">
        <v>0</v>
      </c>
      <c r="I121" s="13"/>
      <c r="J121" s="12" t="s">
        <v>442</v>
      </c>
      <c r="K121" s="3">
        <f t="shared" si="1"/>
        <v>0</v>
      </c>
    </row>
    <row r="122" spans="1:11" ht="20.100000000000001" customHeight="1" x14ac:dyDescent="0.15">
      <c r="A122" s="11" t="s">
        <v>13</v>
      </c>
      <c r="B122" s="11" t="s">
        <v>13</v>
      </c>
      <c r="C122" s="12">
        <v>0</v>
      </c>
      <c r="D122" s="13" t="s">
        <v>447</v>
      </c>
      <c r="E122" s="13" t="s">
        <v>448</v>
      </c>
      <c r="F122" s="13" t="s">
        <v>345</v>
      </c>
      <c r="G122" s="14" t="s">
        <v>345</v>
      </c>
      <c r="H122" s="12">
        <v>0</v>
      </c>
      <c r="I122" s="13" t="s">
        <v>375</v>
      </c>
      <c r="J122" s="12" t="s">
        <v>442</v>
      </c>
      <c r="K122" s="3">
        <f t="shared" si="1"/>
        <v>0</v>
      </c>
    </row>
    <row r="123" spans="1:11" ht="20.100000000000001" customHeight="1" x14ac:dyDescent="0.15">
      <c r="A123" s="11" t="s">
        <v>13</v>
      </c>
      <c r="B123" s="11" t="s">
        <v>13</v>
      </c>
      <c r="C123" s="12">
        <v>0</v>
      </c>
      <c r="D123" s="13" t="s">
        <v>449</v>
      </c>
      <c r="E123" s="13" t="s">
        <v>450</v>
      </c>
      <c r="F123" s="13" t="s">
        <v>345</v>
      </c>
      <c r="G123" s="14" t="s">
        <v>345</v>
      </c>
      <c r="H123" s="12">
        <v>0</v>
      </c>
      <c r="I123" s="13" t="s">
        <v>375</v>
      </c>
      <c r="J123" s="12" t="s">
        <v>442</v>
      </c>
      <c r="K123" s="3">
        <f t="shared" si="1"/>
        <v>0</v>
      </c>
    </row>
    <row r="124" spans="1:11" ht="20.100000000000001" customHeight="1" x14ac:dyDescent="0.15">
      <c r="A124" s="11" t="s">
        <v>13</v>
      </c>
      <c r="B124" s="11" t="s">
        <v>13</v>
      </c>
      <c r="C124" s="12">
        <v>0</v>
      </c>
      <c r="D124" s="13" t="s">
        <v>451</v>
      </c>
      <c r="E124" s="13" t="s">
        <v>452</v>
      </c>
      <c r="F124" s="13" t="s">
        <v>345</v>
      </c>
      <c r="G124" s="14" t="s">
        <v>345</v>
      </c>
      <c r="H124" s="12">
        <v>0</v>
      </c>
      <c r="I124" s="13"/>
      <c r="J124" s="12" t="s">
        <v>442</v>
      </c>
      <c r="K124" s="3">
        <f t="shared" si="1"/>
        <v>0</v>
      </c>
    </row>
    <row r="125" spans="1:11" ht="20.100000000000001" customHeight="1" x14ac:dyDescent="0.15">
      <c r="A125" s="11" t="s">
        <v>13</v>
      </c>
      <c r="B125" s="11" t="s">
        <v>13</v>
      </c>
      <c r="C125" s="12">
        <v>0</v>
      </c>
      <c r="D125" s="13" t="s">
        <v>453</v>
      </c>
      <c r="E125" s="13" t="s">
        <v>454</v>
      </c>
      <c r="F125" s="13" t="s">
        <v>345</v>
      </c>
      <c r="G125" s="14" t="s">
        <v>345</v>
      </c>
      <c r="H125" s="12">
        <v>0</v>
      </c>
      <c r="I125" s="13"/>
      <c r="J125" s="12" t="s">
        <v>442</v>
      </c>
      <c r="K125" s="3">
        <f t="shared" si="1"/>
        <v>0</v>
      </c>
    </row>
    <row r="126" spans="1:11" ht="20.100000000000001" customHeight="1" x14ac:dyDescent="0.15">
      <c r="A126" s="11" t="s">
        <v>13</v>
      </c>
      <c r="B126" s="11" t="s">
        <v>13</v>
      </c>
      <c r="C126" s="12">
        <v>0</v>
      </c>
      <c r="D126" s="13" t="s">
        <v>455</v>
      </c>
      <c r="E126" s="13" t="s">
        <v>456</v>
      </c>
      <c r="F126" s="13" t="s">
        <v>345</v>
      </c>
      <c r="G126" s="14" t="s">
        <v>345</v>
      </c>
      <c r="H126" s="12">
        <v>0</v>
      </c>
      <c r="I126" s="13"/>
      <c r="J126" s="12" t="s">
        <v>442</v>
      </c>
      <c r="K126" s="3">
        <f t="shared" si="1"/>
        <v>0</v>
      </c>
    </row>
    <row r="127" spans="1:11" ht="20.100000000000001" customHeight="1" x14ac:dyDescent="0.15">
      <c r="A127" s="11" t="s">
        <v>13</v>
      </c>
      <c r="B127" s="11" t="s">
        <v>13</v>
      </c>
      <c r="C127" s="12">
        <v>0</v>
      </c>
      <c r="D127" s="13" t="s">
        <v>457</v>
      </c>
      <c r="E127" s="13" t="s">
        <v>458</v>
      </c>
      <c r="F127" s="13" t="s">
        <v>345</v>
      </c>
      <c r="G127" s="14" t="s">
        <v>345</v>
      </c>
      <c r="H127" s="12">
        <v>0</v>
      </c>
      <c r="I127" s="13"/>
      <c r="J127" s="12" t="s">
        <v>442</v>
      </c>
      <c r="K127" s="3">
        <f t="shared" si="1"/>
        <v>0</v>
      </c>
    </row>
    <row r="128" spans="1:11" ht="20.100000000000001" customHeight="1" x14ac:dyDescent="0.15">
      <c r="A128" s="11" t="s">
        <v>13</v>
      </c>
      <c r="B128" s="11" t="s">
        <v>13</v>
      </c>
      <c r="C128" s="12">
        <v>0</v>
      </c>
      <c r="D128" s="13" t="s">
        <v>459</v>
      </c>
      <c r="E128" s="13" t="s">
        <v>460</v>
      </c>
      <c r="F128" s="13" t="s">
        <v>345</v>
      </c>
      <c r="G128" s="14" t="s">
        <v>345</v>
      </c>
      <c r="H128" s="12">
        <v>0</v>
      </c>
      <c r="I128" s="13"/>
      <c r="J128" s="12" t="s">
        <v>442</v>
      </c>
      <c r="K128" s="3">
        <f t="shared" si="1"/>
        <v>0</v>
      </c>
    </row>
    <row r="129" spans="1:11" ht="20.100000000000001" customHeight="1" x14ac:dyDescent="0.15">
      <c r="A129" s="11" t="s">
        <v>13</v>
      </c>
      <c r="B129" s="11" t="s">
        <v>13</v>
      </c>
      <c r="C129" s="12">
        <v>0</v>
      </c>
      <c r="D129" s="13" t="s">
        <v>461</v>
      </c>
      <c r="E129" s="13" t="s">
        <v>462</v>
      </c>
      <c r="F129" s="13" t="s">
        <v>345</v>
      </c>
      <c r="G129" s="14" t="s">
        <v>345</v>
      </c>
      <c r="H129" s="12">
        <v>0</v>
      </c>
      <c r="I129" s="13"/>
      <c r="J129" s="12" t="s">
        <v>442</v>
      </c>
      <c r="K129" s="3">
        <f t="shared" si="1"/>
        <v>0</v>
      </c>
    </row>
    <row r="130" spans="1:11" ht="20.100000000000001" customHeight="1" x14ac:dyDescent="0.15">
      <c r="A130" s="19" t="s">
        <v>463</v>
      </c>
      <c r="B130" s="19" t="s">
        <v>463</v>
      </c>
      <c r="C130" s="20">
        <v>0</v>
      </c>
      <c r="D130" s="21" t="s">
        <v>464</v>
      </c>
      <c r="E130" s="21" t="s">
        <v>465</v>
      </c>
      <c r="F130" s="21" t="s">
        <v>347</v>
      </c>
      <c r="G130" s="22" t="s">
        <v>347</v>
      </c>
      <c r="H130" s="20">
        <v>0</v>
      </c>
      <c r="I130" s="21"/>
      <c r="J130" s="20" t="s">
        <v>347</v>
      </c>
      <c r="K130" s="3">
        <f t="shared" ref="K130:K193" si="2">C130+H130</f>
        <v>0</v>
      </c>
    </row>
    <row r="131" spans="1:11" ht="20.100000000000001" customHeight="1" x14ac:dyDescent="0.15">
      <c r="A131" s="19" t="s">
        <v>463</v>
      </c>
      <c r="B131" s="19" t="s">
        <v>463</v>
      </c>
      <c r="C131" s="20">
        <v>0</v>
      </c>
      <c r="D131" s="21" t="s">
        <v>466</v>
      </c>
      <c r="E131" s="21" t="s">
        <v>467</v>
      </c>
      <c r="F131" s="21" t="s">
        <v>345</v>
      </c>
      <c r="G131" s="22" t="s">
        <v>345</v>
      </c>
      <c r="H131" s="20">
        <v>0</v>
      </c>
      <c r="I131" s="21"/>
      <c r="J131" s="20" t="s">
        <v>468</v>
      </c>
      <c r="K131" s="3">
        <f t="shared" si="2"/>
        <v>0</v>
      </c>
    </row>
    <row r="132" spans="1:11" ht="20.100000000000001" customHeight="1" x14ac:dyDescent="0.15">
      <c r="A132" s="19" t="s">
        <v>463</v>
      </c>
      <c r="B132" s="19" t="s">
        <v>463</v>
      </c>
      <c r="C132" s="20">
        <v>0</v>
      </c>
      <c r="D132" s="21" t="s">
        <v>469</v>
      </c>
      <c r="E132" s="21" t="s">
        <v>470</v>
      </c>
      <c r="F132" s="21" t="s">
        <v>345</v>
      </c>
      <c r="G132" s="22" t="s">
        <v>345</v>
      </c>
      <c r="H132" s="20">
        <v>0</v>
      </c>
      <c r="I132" s="21"/>
      <c r="J132" s="20" t="s">
        <v>468</v>
      </c>
      <c r="K132" s="3">
        <f t="shared" si="2"/>
        <v>0</v>
      </c>
    </row>
    <row r="133" spans="1:11" ht="20.100000000000001" customHeight="1" x14ac:dyDescent="0.15">
      <c r="A133" s="19" t="s">
        <v>463</v>
      </c>
      <c r="B133" s="19" t="s">
        <v>463</v>
      </c>
      <c r="C133" s="20">
        <v>0</v>
      </c>
      <c r="D133" s="21" t="s">
        <v>471</v>
      </c>
      <c r="E133" s="21" t="s">
        <v>472</v>
      </c>
      <c r="F133" s="21" t="s">
        <v>345</v>
      </c>
      <c r="G133" s="22" t="s">
        <v>345</v>
      </c>
      <c r="H133" s="20">
        <v>0</v>
      </c>
      <c r="I133" s="21"/>
      <c r="J133" s="20" t="s">
        <v>468</v>
      </c>
      <c r="K133" s="3">
        <f t="shared" si="2"/>
        <v>0</v>
      </c>
    </row>
    <row r="134" spans="1:11" ht="20.100000000000001" customHeight="1" x14ac:dyDescent="0.15">
      <c r="A134" s="19" t="s">
        <v>463</v>
      </c>
      <c r="B134" s="19" t="s">
        <v>463</v>
      </c>
      <c r="C134" s="20">
        <v>0</v>
      </c>
      <c r="D134" s="21" t="s">
        <v>473</v>
      </c>
      <c r="E134" s="21" t="s">
        <v>474</v>
      </c>
      <c r="F134" s="21" t="s">
        <v>345</v>
      </c>
      <c r="G134" s="22" t="s">
        <v>345</v>
      </c>
      <c r="H134" s="20">
        <v>0</v>
      </c>
      <c r="I134" s="21"/>
      <c r="J134" s="20" t="s">
        <v>468</v>
      </c>
      <c r="K134" s="3">
        <f t="shared" si="2"/>
        <v>0</v>
      </c>
    </row>
    <row r="135" spans="1:11" ht="20.100000000000001" customHeight="1" x14ac:dyDescent="0.15">
      <c r="A135" s="19" t="s">
        <v>463</v>
      </c>
      <c r="B135" s="19" t="s">
        <v>52</v>
      </c>
      <c r="C135" s="20">
        <v>1</v>
      </c>
      <c r="D135" s="21" t="s">
        <v>475</v>
      </c>
      <c r="E135" s="21" t="s">
        <v>476</v>
      </c>
      <c r="F135" s="21" t="s">
        <v>345</v>
      </c>
      <c r="G135" s="22" t="s">
        <v>345</v>
      </c>
      <c r="H135" s="20">
        <v>0</v>
      </c>
      <c r="I135" s="21" t="s">
        <v>346</v>
      </c>
      <c r="J135" s="20" t="s">
        <v>468</v>
      </c>
      <c r="K135" s="3">
        <f t="shared" si="2"/>
        <v>1</v>
      </c>
    </row>
    <row r="136" spans="1:11" ht="20.100000000000001" customHeight="1" x14ac:dyDescent="0.15">
      <c r="A136" s="19" t="s">
        <v>463</v>
      </c>
      <c r="B136" s="19" t="s">
        <v>52</v>
      </c>
      <c r="C136" s="20">
        <v>1</v>
      </c>
      <c r="D136" s="21" t="s">
        <v>477</v>
      </c>
      <c r="E136" s="21" t="s">
        <v>478</v>
      </c>
      <c r="F136" s="21" t="s">
        <v>345</v>
      </c>
      <c r="G136" s="22" t="s">
        <v>345</v>
      </c>
      <c r="H136" s="20">
        <v>0</v>
      </c>
      <c r="I136" s="21" t="s">
        <v>346</v>
      </c>
      <c r="J136" s="20" t="s">
        <v>468</v>
      </c>
      <c r="K136" s="3">
        <f t="shared" si="2"/>
        <v>1</v>
      </c>
    </row>
    <row r="137" spans="1:11" ht="20.100000000000001" customHeight="1" x14ac:dyDescent="0.15">
      <c r="A137" s="19" t="s">
        <v>463</v>
      </c>
      <c r="B137" s="19" t="s">
        <v>463</v>
      </c>
      <c r="C137" s="20">
        <v>0</v>
      </c>
      <c r="D137" s="21" t="s">
        <v>479</v>
      </c>
      <c r="E137" s="21" t="s">
        <v>480</v>
      </c>
      <c r="F137" s="21" t="s">
        <v>345</v>
      </c>
      <c r="G137" s="22" t="s">
        <v>345</v>
      </c>
      <c r="H137" s="20">
        <v>0</v>
      </c>
      <c r="I137" s="21" t="s">
        <v>375</v>
      </c>
      <c r="J137" s="20" t="s">
        <v>481</v>
      </c>
      <c r="K137" s="3">
        <f t="shared" si="2"/>
        <v>0</v>
      </c>
    </row>
    <row r="138" spans="1:11" ht="20.100000000000001" customHeight="1" x14ac:dyDescent="0.15">
      <c r="A138" s="19" t="s">
        <v>463</v>
      </c>
      <c r="B138" s="19" t="s">
        <v>463</v>
      </c>
      <c r="C138" s="20">
        <v>0</v>
      </c>
      <c r="D138" s="21" t="s">
        <v>482</v>
      </c>
      <c r="E138" s="21" t="s">
        <v>483</v>
      </c>
      <c r="F138" s="21" t="s">
        <v>345</v>
      </c>
      <c r="G138" s="22" t="s">
        <v>345</v>
      </c>
      <c r="H138" s="20">
        <v>0</v>
      </c>
      <c r="I138" s="21" t="s">
        <v>375</v>
      </c>
      <c r="J138" s="20" t="s">
        <v>481</v>
      </c>
      <c r="K138" s="3">
        <f t="shared" si="2"/>
        <v>0</v>
      </c>
    </row>
    <row r="139" spans="1:11" ht="20.100000000000001" customHeight="1" x14ac:dyDescent="0.15">
      <c r="A139" s="19" t="s">
        <v>463</v>
      </c>
      <c r="B139" s="19" t="s">
        <v>463</v>
      </c>
      <c r="C139" s="20">
        <v>0</v>
      </c>
      <c r="D139" s="21" t="s">
        <v>484</v>
      </c>
      <c r="E139" s="21" t="s">
        <v>485</v>
      </c>
      <c r="F139" s="21" t="s">
        <v>345</v>
      </c>
      <c r="G139" s="22" t="s">
        <v>345</v>
      </c>
      <c r="H139" s="20">
        <v>0</v>
      </c>
      <c r="I139" s="21"/>
      <c r="J139" s="20" t="s">
        <v>481</v>
      </c>
      <c r="K139" s="3">
        <f t="shared" si="2"/>
        <v>0</v>
      </c>
    </row>
    <row r="140" spans="1:11" ht="20.100000000000001" customHeight="1" x14ac:dyDescent="0.15">
      <c r="A140" s="19" t="s">
        <v>463</v>
      </c>
      <c r="B140" s="19" t="s">
        <v>463</v>
      </c>
      <c r="C140" s="20">
        <v>0</v>
      </c>
      <c r="D140" s="21" t="s">
        <v>486</v>
      </c>
      <c r="E140" s="21" t="s">
        <v>487</v>
      </c>
      <c r="F140" s="21" t="s">
        <v>345</v>
      </c>
      <c r="G140" s="22" t="s">
        <v>345</v>
      </c>
      <c r="H140" s="20">
        <v>0</v>
      </c>
      <c r="I140" s="21"/>
      <c r="J140" s="20" t="s">
        <v>481</v>
      </c>
      <c r="K140" s="3">
        <f t="shared" si="2"/>
        <v>0</v>
      </c>
    </row>
    <row r="141" spans="1:11" ht="20.100000000000001" customHeight="1" x14ac:dyDescent="0.15">
      <c r="A141" s="19" t="s">
        <v>463</v>
      </c>
      <c r="B141" s="19" t="s">
        <v>463</v>
      </c>
      <c r="C141" s="20">
        <v>0</v>
      </c>
      <c r="D141" s="21" t="s">
        <v>488</v>
      </c>
      <c r="E141" s="21" t="s">
        <v>489</v>
      </c>
      <c r="F141" s="21" t="s">
        <v>345</v>
      </c>
      <c r="G141" s="22" t="s">
        <v>345</v>
      </c>
      <c r="H141" s="20">
        <v>0</v>
      </c>
      <c r="I141" s="21"/>
      <c r="J141" s="20" t="s">
        <v>481</v>
      </c>
      <c r="K141" s="3">
        <f t="shared" si="2"/>
        <v>0</v>
      </c>
    </row>
    <row r="142" spans="1:11" ht="20.100000000000001" customHeight="1" x14ac:dyDescent="0.15">
      <c r="A142" s="19" t="s">
        <v>463</v>
      </c>
      <c r="B142" s="19" t="s">
        <v>463</v>
      </c>
      <c r="C142" s="20">
        <v>0</v>
      </c>
      <c r="D142" s="21" t="s">
        <v>490</v>
      </c>
      <c r="E142" s="21" t="s">
        <v>491</v>
      </c>
      <c r="F142" s="21" t="s">
        <v>345</v>
      </c>
      <c r="G142" s="22" t="s">
        <v>345</v>
      </c>
      <c r="H142" s="20">
        <v>0</v>
      </c>
      <c r="I142" s="21"/>
      <c r="J142" s="20" t="s">
        <v>481</v>
      </c>
      <c r="K142" s="3">
        <f t="shared" si="2"/>
        <v>0</v>
      </c>
    </row>
    <row r="143" spans="1:11" ht="20.100000000000001" customHeight="1" x14ac:dyDescent="0.15">
      <c r="A143" s="19" t="s">
        <v>463</v>
      </c>
      <c r="B143" s="19" t="s">
        <v>463</v>
      </c>
      <c r="C143" s="20">
        <v>0</v>
      </c>
      <c r="D143" s="21" t="s">
        <v>492</v>
      </c>
      <c r="E143" s="21" t="s">
        <v>493</v>
      </c>
      <c r="F143" s="21" t="s">
        <v>494</v>
      </c>
      <c r="G143" s="22" t="s">
        <v>403</v>
      </c>
      <c r="H143" s="20">
        <v>1</v>
      </c>
      <c r="I143" s="21" t="s">
        <v>346</v>
      </c>
      <c r="J143" s="20" t="s">
        <v>495</v>
      </c>
      <c r="K143" s="3">
        <f t="shared" si="2"/>
        <v>1</v>
      </c>
    </row>
    <row r="144" spans="1:11" ht="20.100000000000001" customHeight="1" x14ac:dyDescent="0.15">
      <c r="A144" s="19" t="s">
        <v>463</v>
      </c>
      <c r="B144" s="19" t="s">
        <v>463</v>
      </c>
      <c r="C144" s="20">
        <v>0</v>
      </c>
      <c r="D144" s="21" t="s">
        <v>496</v>
      </c>
      <c r="E144" s="21" t="s">
        <v>497</v>
      </c>
      <c r="F144" s="21" t="s">
        <v>494</v>
      </c>
      <c r="G144" s="22" t="s">
        <v>403</v>
      </c>
      <c r="H144" s="20">
        <v>1</v>
      </c>
      <c r="I144" s="21"/>
      <c r="J144" s="20" t="s">
        <v>495</v>
      </c>
      <c r="K144" s="3">
        <f t="shared" si="2"/>
        <v>1</v>
      </c>
    </row>
    <row r="145" spans="1:11" ht="20.100000000000001" customHeight="1" x14ac:dyDescent="0.15">
      <c r="A145" s="19" t="s">
        <v>463</v>
      </c>
      <c r="B145" s="19" t="s">
        <v>463</v>
      </c>
      <c r="C145" s="20">
        <v>0</v>
      </c>
      <c r="D145" s="21" t="s">
        <v>498</v>
      </c>
      <c r="E145" s="21" t="s">
        <v>499</v>
      </c>
      <c r="F145" s="21" t="s">
        <v>494</v>
      </c>
      <c r="G145" s="22" t="s">
        <v>403</v>
      </c>
      <c r="H145" s="20">
        <v>1</v>
      </c>
      <c r="I145" s="21"/>
      <c r="J145" s="20" t="s">
        <v>495</v>
      </c>
      <c r="K145" s="3">
        <f t="shared" si="2"/>
        <v>1</v>
      </c>
    </row>
    <row r="146" spans="1:11" ht="20.100000000000001" customHeight="1" x14ac:dyDescent="0.15">
      <c r="A146" s="19" t="s">
        <v>463</v>
      </c>
      <c r="B146" s="19" t="s">
        <v>463</v>
      </c>
      <c r="C146" s="20">
        <v>0</v>
      </c>
      <c r="D146" s="21" t="s">
        <v>500</v>
      </c>
      <c r="E146" s="21" t="s">
        <v>501</v>
      </c>
      <c r="F146" s="21" t="s">
        <v>494</v>
      </c>
      <c r="G146" s="22" t="s">
        <v>403</v>
      </c>
      <c r="H146" s="20">
        <v>1</v>
      </c>
      <c r="I146" s="21" t="s">
        <v>375</v>
      </c>
      <c r="J146" s="20" t="s">
        <v>495</v>
      </c>
      <c r="K146" s="3">
        <f t="shared" si="2"/>
        <v>1</v>
      </c>
    </row>
    <row r="147" spans="1:11" ht="20.100000000000001" customHeight="1" x14ac:dyDescent="0.15">
      <c r="A147" s="19" t="s">
        <v>463</v>
      </c>
      <c r="B147" s="19" t="s">
        <v>463</v>
      </c>
      <c r="C147" s="20">
        <v>0</v>
      </c>
      <c r="D147" s="21" t="s">
        <v>502</v>
      </c>
      <c r="E147" s="21" t="s">
        <v>503</v>
      </c>
      <c r="F147" s="21" t="s">
        <v>494</v>
      </c>
      <c r="G147" s="22" t="s">
        <v>403</v>
      </c>
      <c r="H147" s="20">
        <v>1</v>
      </c>
      <c r="I147" s="21"/>
      <c r="J147" s="20" t="s">
        <v>495</v>
      </c>
      <c r="K147" s="3">
        <f t="shared" si="2"/>
        <v>1</v>
      </c>
    </row>
    <row r="148" spans="1:11" ht="20.100000000000001" customHeight="1" x14ac:dyDescent="0.15">
      <c r="A148" s="19" t="s">
        <v>463</v>
      </c>
      <c r="B148" s="19" t="s">
        <v>463</v>
      </c>
      <c r="C148" s="20">
        <v>0</v>
      </c>
      <c r="D148" s="21" t="s">
        <v>504</v>
      </c>
      <c r="E148" s="21" t="s">
        <v>505</v>
      </c>
      <c r="F148" s="21" t="s">
        <v>494</v>
      </c>
      <c r="G148" s="22" t="s">
        <v>494</v>
      </c>
      <c r="H148" s="20">
        <v>0</v>
      </c>
      <c r="I148" s="21" t="s">
        <v>346</v>
      </c>
      <c r="J148" s="20" t="s">
        <v>494</v>
      </c>
      <c r="K148" s="3">
        <f t="shared" si="2"/>
        <v>0</v>
      </c>
    </row>
    <row r="149" spans="1:11" ht="20.100000000000001" customHeight="1" x14ac:dyDescent="0.15">
      <c r="A149" s="19" t="s">
        <v>463</v>
      </c>
      <c r="B149" s="19" t="s">
        <v>463</v>
      </c>
      <c r="C149" s="20">
        <v>0</v>
      </c>
      <c r="D149" s="21" t="s">
        <v>506</v>
      </c>
      <c r="E149" s="21" t="s">
        <v>507</v>
      </c>
      <c r="F149" s="21" t="s">
        <v>494</v>
      </c>
      <c r="G149" s="22" t="s">
        <v>494</v>
      </c>
      <c r="H149" s="20">
        <v>0</v>
      </c>
      <c r="I149" s="21"/>
      <c r="J149" s="20" t="s">
        <v>494</v>
      </c>
      <c r="K149" s="3">
        <f t="shared" si="2"/>
        <v>0</v>
      </c>
    </row>
    <row r="150" spans="1:11" ht="20.100000000000001" customHeight="1" x14ac:dyDescent="0.15">
      <c r="A150" s="19" t="s">
        <v>463</v>
      </c>
      <c r="B150" s="19" t="s">
        <v>463</v>
      </c>
      <c r="C150" s="20">
        <v>0</v>
      </c>
      <c r="D150" s="21" t="s">
        <v>508</v>
      </c>
      <c r="E150" s="21" t="s">
        <v>509</v>
      </c>
      <c r="F150" s="21" t="s">
        <v>494</v>
      </c>
      <c r="G150" s="22" t="s">
        <v>494</v>
      </c>
      <c r="H150" s="20">
        <v>0</v>
      </c>
      <c r="I150" s="21" t="s">
        <v>375</v>
      </c>
      <c r="J150" s="20" t="s">
        <v>494</v>
      </c>
      <c r="K150" s="3">
        <f t="shared" si="2"/>
        <v>0</v>
      </c>
    </row>
    <row r="151" spans="1:11" ht="20.100000000000001" customHeight="1" x14ac:dyDescent="0.15">
      <c r="A151" s="19" t="s">
        <v>463</v>
      </c>
      <c r="B151" s="19" t="s">
        <v>463</v>
      </c>
      <c r="C151" s="20">
        <v>0</v>
      </c>
      <c r="D151" s="21" t="s">
        <v>510</v>
      </c>
      <c r="E151" s="21" t="s">
        <v>511</v>
      </c>
      <c r="F151" s="21" t="s">
        <v>494</v>
      </c>
      <c r="G151" s="22" t="s">
        <v>494</v>
      </c>
      <c r="H151" s="20">
        <v>0</v>
      </c>
      <c r="I151" s="21"/>
      <c r="J151" s="20" t="s">
        <v>494</v>
      </c>
      <c r="K151" s="3">
        <f t="shared" si="2"/>
        <v>0</v>
      </c>
    </row>
    <row r="152" spans="1:11" ht="20.100000000000001" customHeight="1" x14ac:dyDescent="0.15">
      <c r="A152" s="19" t="s">
        <v>463</v>
      </c>
      <c r="B152" s="19" t="s">
        <v>463</v>
      </c>
      <c r="C152" s="20">
        <v>0</v>
      </c>
      <c r="D152" s="21" t="s">
        <v>512</v>
      </c>
      <c r="E152" s="21" t="s">
        <v>513</v>
      </c>
      <c r="F152" s="21" t="s">
        <v>494</v>
      </c>
      <c r="G152" s="22" t="s">
        <v>494</v>
      </c>
      <c r="H152" s="20">
        <v>0</v>
      </c>
      <c r="I152" s="21"/>
      <c r="J152" s="20" t="s">
        <v>494</v>
      </c>
      <c r="K152" s="3">
        <f t="shared" si="2"/>
        <v>0</v>
      </c>
    </row>
    <row r="153" spans="1:11" ht="20.100000000000001" customHeight="1" x14ac:dyDescent="0.15">
      <c r="A153" s="19" t="s">
        <v>463</v>
      </c>
      <c r="B153" s="19" t="s">
        <v>463</v>
      </c>
      <c r="C153" s="20">
        <v>0</v>
      </c>
      <c r="D153" s="21" t="s">
        <v>514</v>
      </c>
      <c r="E153" s="21" t="s">
        <v>515</v>
      </c>
      <c r="F153" s="21" t="s">
        <v>494</v>
      </c>
      <c r="G153" s="22" t="s">
        <v>494</v>
      </c>
      <c r="H153" s="20">
        <v>0</v>
      </c>
      <c r="I153" s="21"/>
      <c r="J153" s="20" t="s">
        <v>494</v>
      </c>
      <c r="K153" s="3">
        <f t="shared" si="2"/>
        <v>0</v>
      </c>
    </row>
    <row r="154" spans="1:11" ht="20.100000000000001" customHeight="1" x14ac:dyDescent="0.15">
      <c r="A154" s="19" t="s">
        <v>463</v>
      </c>
      <c r="B154" s="19" t="s">
        <v>463</v>
      </c>
      <c r="C154" s="20">
        <v>0</v>
      </c>
      <c r="D154" s="21" t="s">
        <v>516</v>
      </c>
      <c r="E154" s="21" t="s">
        <v>517</v>
      </c>
      <c r="F154" s="21" t="s">
        <v>494</v>
      </c>
      <c r="G154" s="22" t="s">
        <v>494</v>
      </c>
      <c r="H154" s="20">
        <v>0</v>
      </c>
      <c r="I154" s="21"/>
      <c r="J154" s="20" t="s">
        <v>494</v>
      </c>
      <c r="K154" s="3">
        <f t="shared" si="2"/>
        <v>0</v>
      </c>
    </row>
    <row r="155" spans="1:11" ht="20.100000000000001" customHeight="1" x14ac:dyDescent="0.15">
      <c r="A155" s="19" t="s">
        <v>463</v>
      </c>
      <c r="B155" s="19" t="s">
        <v>463</v>
      </c>
      <c r="C155" s="20">
        <v>0</v>
      </c>
      <c r="D155" s="21" t="s">
        <v>518</v>
      </c>
      <c r="E155" s="21" t="s">
        <v>519</v>
      </c>
      <c r="F155" s="21" t="s">
        <v>494</v>
      </c>
      <c r="G155" s="22" t="s">
        <v>494</v>
      </c>
      <c r="H155" s="20">
        <v>0</v>
      </c>
      <c r="I155" s="21"/>
      <c r="J155" s="20" t="s">
        <v>494</v>
      </c>
      <c r="K155" s="3">
        <f t="shared" si="2"/>
        <v>0</v>
      </c>
    </row>
    <row r="156" spans="1:11" ht="20.100000000000001" customHeight="1" x14ac:dyDescent="0.15">
      <c r="A156" s="19" t="s">
        <v>463</v>
      </c>
      <c r="B156" s="19" t="s">
        <v>463</v>
      </c>
      <c r="C156" s="20">
        <v>0</v>
      </c>
      <c r="D156" s="21" t="s">
        <v>520</v>
      </c>
      <c r="E156" s="21" t="s">
        <v>521</v>
      </c>
      <c r="F156" s="21" t="s">
        <v>494</v>
      </c>
      <c r="G156" s="22" t="s">
        <v>494</v>
      </c>
      <c r="H156" s="20">
        <v>0</v>
      </c>
      <c r="I156" s="21"/>
      <c r="J156" s="20" t="s">
        <v>494</v>
      </c>
      <c r="K156" s="3">
        <f t="shared" si="2"/>
        <v>0</v>
      </c>
    </row>
    <row r="157" spans="1:11" ht="20.100000000000001" customHeight="1" x14ac:dyDescent="0.15">
      <c r="A157" s="19" t="s">
        <v>463</v>
      </c>
      <c r="B157" s="19" t="s">
        <v>14</v>
      </c>
      <c r="C157" s="20">
        <v>1</v>
      </c>
      <c r="D157" s="21" t="s">
        <v>522</v>
      </c>
      <c r="E157" s="21">
        <v>303062</v>
      </c>
      <c r="F157" s="21" t="s">
        <v>494</v>
      </c>
      <c r="G157" s="22" t="s">
        <v>494</v>
      </c>
      <c r="H157" s="20">
        <v>0</v>
      </c>
      <c r="I157" s="21"/>
      <c r="J157" s="20" t="s">
        <v>494</v>
      </c>
      <c r="K157" s="3">
        <f t="shared" si="2"/>
        <v>1</v>
      </c>
    </row>
    <row r="158" spans="1:11" ht="20.100000000000001" customHeight="1" x14ac:dyDescent="0.15">
      <c r="A158" s="11" t="s">
        <v>523</v>
      </c>
      <c r="B158" s="11" t="s">
        <v>523</v>
      </c>
      <c r="C158" s="12">
        <v>0</v>
      </c>
      <c r="D158" s="13" t="s">
        <v>524</v>
      </c>
      <c r="E158" s="13">
        <v>304105</v>
      </c>
      <c r="F158" s="13" t="s">
        <v>347</v>
      </c>
      <c r="G158" s="14" t="s">
        <v>347</v>
      </c>
      <c r="H158" s="12">
        <v>0</v>
      </c>
      <c r="I158" s="13"/>
      <c r="J158" s="30" t="s">
        <v>347</v>
      </c>
      <c r="K158" s="3">
        <f t="shared" si="2"/>
        <v>0</v>
      </c>
    </row>
    <row r="159" spans="1:11" ht="20.100000000000001" customHeight="1" x14ac:dyDescent="0.15">
      <c r="A159" s="11" t="s">
        <v>523</v>
      </c>
      <c r="B159" s="11" t="s">
        <v>523</v>
      </c>
      <c r="C159" s="12">
        <v>0</v>
      </c>
      <c r="D159" s="13" t="s">
        <v>525</v>
      </c>
      <c r="E159" s="13">
        <v>303316</v>
      </c>
      <c r="F159" s="13" t="s">
        <v>330</v>
      </c>
      <c r="G159" s="14" t="s">
        <v>330</v>
      </c>
      <c r="H159" s="12">
        <v>1</v>
      </c>
      <c r="I159" s="13"/>
      <c r="J159" s="30" t="s">
        <v>526</v>
      </c>
      <c r="K159" s="3">
        <f t="shared" si="2"/>
        <v>1</v>
      </c>
    </row>
    <row r="160" spans="1:11" ht="20.100000000000001" customHeight="1" x14ac:dyDescent="0.15">
      <c r="A160" s="11" t="s">
        <v>523</v>
      </c>
      <c r="B160" s="11" t="s">
        <v>523</v>
      </c>
      <c r="C160" s="12">
        <v>0</v>
      </c>
      <c r="D160" s="13" t="s">
        <v>527</v>
      </c>
      <c r="E160" s="13">
        <v>305365</v>
      </c>
      <c r="F160" s="13" t="s">
        <v>330</v>
      </c>
      <c r="G160" s="14" t="s">
        <v>528</v>
      </c>
      <c r="H160" s="12">
        <v>1</v>
      </c>
      <c r="I160" s="13"/>
      <c r="J160" s="30" t="s">
        <v>526</v>
      </c>
      <c r="K160" s="3">
        <f t="shared" si="2"/>
        <v>1</v>
      </c>
    </row>
    <row r="161" spans="1:11" ht="20.100000000000001" customHeight="1" x14ac:dyDescent="0.15">
      <c r="A161" s="11" t="s">
        <v>523</v>
      </c>
      <c r="B161" s="11" t="s">
        <v>523</v>
      </c>
      <c r="C161" s="12">
        <v>0</v>
      </c>
      <c r="D161" s="13" t="s">
        <v>529</v>
      </c>
      <c r="E161" s="13">
        <v>305373</v>
      </c>
      <c r="F161" s="13" t="s">
        <v>330</v>
      </c>
      <c r="G161" s="14" t="s">
        <v>330</v>
      </c>
      <c r="H161" s="12">
        <v>1</v>
      </c>
      <c r="I161" s="13"/>
      <c r="J161" s="30" t="s">
        <v>526</v>
      </c>
      <c r="K161" s="3">
        <f t="shared" si="2"/>
        <v>1</v>
      </c>
    </row>
    <row r="162" spans="1:11" ht="20.100000000000001" customHeight="1" x14ac:dyDescent="0.15">
      <c r="A162" s="11" t="s">
        <v>523</v>
      </c>
      <c r="B162" s="11" t="s">
        <v>523</v>
      </c>
      <c r="C162" s="12">
        <v>0</v>
      </c>
      <c r="D162" s="13" t="s">
        <v>530</v>
      </c>
      <c r="E162" s="13">
        <v>303521</v>
      </c>
      <c r="F162" s="13" t="s">
        <v>528</v>
      </c>
      <c r="G162" s="14" t="s">
        <v>528</v>
      </c>
      <c r="H162" s="12">
        <v>0</v>
      </c>
      <c r="I162" s="13"/>
      <c r="J162" s="30" t="s">
        <v>531</v>
      </c>
      <c r="K162" s="3">
        <f t="shared" si="2"/>
        <v>0</v>
      </c>
    </row>
    <row r="163" spans="1:11" ht="20.100000000000001" customHeight="1" x14ac:dyDescent="0.15">
      <c r="A163" s="11" t="s">
        <v>523</v>
      </c>
      <c r="B163" s="11" t="s">
        <v>523</v>
      </c>
      <c r="C163" s="12">
        <v>0</v>
      </c>
      <c r="D163" s="13" t="s">
        <v>532</v>
      </c>
      <c r="E163" s="13">
        <v>305445</v>
      </c>
      <c r="F163" s="13" t="s">
        <v>528</v>
      </c>
      <c r="G163" s="14" t="s">
        <v>528</v>
      </c>
      <c r="H163" s="12">
        <v>0</v>
      </c>
      <c r="I163" s="13"/>
      <c r="J163" s="30" t="s">
        <v>531</v>
      </c>
      <c r="K163" s="3">
        <f t="shared" si="2"/>
        <v>0</v>
      </c>
    </row>
    <row r="164" spans="1:11" ht="20.100000000000001" customHeight="1" x14ac:dyDescent="0.15">
      <c r="A164" s="11" t="s">
        <v>523</v>
      </c>
      <c r="B164" s="11" t="s">
        <v>523</v>
      </c>
      <c r="C164" s="12">
        <v>0</v>
      </c>
      <c r="D164" s="13" t="s">
        <v>533</v>
      </c>
      <c r="E164" s="13">
        <v>305416</v>
      </c>
      <c r="F164" s="13" t="s">
        <v>528</v>
      </c>
      <c r="G164" s="14" t="s">
        <v>330</v>
      </c>
      <c r="H164" s="12">
        <v>0</v>
      </c>
      <c r="I164" s="13"/>
      <c r="J164" s="30" t="s">
        <v>531</v>
      </c>
      <c r="K164" s="3">
        <f t="shared" si="2"/>
        <v>0</v>
      </c>
    </row>
    <row r="165" spans="1:11" ht="20.100000000000001" customHeight="1" x14ac:dyDescent="0.15">
      <c r="A165" s="19" t="s">
        <v>15</v>
      </c>
      <c r="B165" s="19" t="s">
        <v>52</v>
      </c>
      <c r="C165" s="20">
        <v>1</v>
      </c>
      <c r="D165" s="21" t="s">
        <v>534</v>
      </c>
      <c r="E165" s="21" t="s">
        <v>535</v>
      </c>
      <c r="F165" s="21" t="s">
        <v>347</v>
      </c>
      <c r="G165" s="22" t="s">
        <v>347</v>
      </c>
      <c r="H165" s="20">
        <v>0</v>
      </c>
      <c r="I165" s="21"/>
      <c r="J165" s="27" t="s">
        <v>347</v>
      </c>
      <c r="K165" s="3">
        <f t="shared" si="2"/>
        <v>1</v>
      </c>
    </row>
    <row r="166" spans="1:11" ht="20.100000000000001" customHeight="1" x14ac:dyDescent="0.15">
      <c r="A166" s="19" t="s">
        <v>15</v>
      </c>
      <c r="B166" s="19" t="s">
        <v>52</v>
      </c>
      <c r="C166" s="20">
        <v>1</v>
      </c>
      <c r="D166" s="21" t="s">
        <v>536</v>
      </c>
      <c r="E166" s="21" t="s">
        <v>537</v>
      </c>
      <c r="F166" s="21" t="s">
        <v>538</v>
      </c>
      <c r="G166" s="22" t="s">
        <v>538</v>
      </c>
      <c r="H166" s="20">
        <v>0</v>
      </c>
      <c r="I166" s="21" t="s">
        <v>375</v>
      </c>
      <c r="J166" s="31" t="s">
        <v>539</v>
      </c>
      <c r="K166" s="3">
        <f t="shared" si="2"/>
        <v>1</v>
      </c>
    </row>
    <row r="167" spans="1:11" ht="20.100000000000001" customHeight="1" x14ac:dyDescent="0.15">
      <c r="A167" s="19" t="s">
        <v>15</v>
      </c>
      <c r="B167" s="19" t="s">
        <v>52</v>
      </c>
      <c r="C167" s="20">
        <v>1</v>
      </c>
      <c r="D167" s="21" t="s">
        <v>540</v>
      </c>
      <c r="E167" s="21" t="s">
        <v>541</v>
      </c>
      <c r="F167" s="21" t="s">
        <v>538</v>
      </c>
      <c r="G167" s="22" t="s">
        <v>538</v>
      </c>
      <c r="H167" s="20">
        <v>0</v>
      </c>
      <c r="I167" s="21"/>
      <c r="J167" s="31" t="s">
        <v>539</v>
      </c>
      <c r="K167" s="3">
        <f t="shared" si="2"/>
        <v>1</v>
      </c>
    </row>
    <row r="168" spans="1:11" ht="20.100000000000001" customHeight="1" x14ac:dyDescent="0.15">
      <c r="A168" s="19" t="s">
        <v>15</v>
      </c>
      <c r="B168" s="19" t="s">
        <v>52</v>
      </c>
      <c r="C168" s="20">
        <v>1</v>
      </c>
      <c r="D168" s="21" t="s">
        <v>130</v>
      </c>
      <c r="E168" s="21" t="s">
        <v>131</v>
      </c>
      <c r="F168" s="21" t="s">
        <v>381</v>
      </c>
      <c r="G168" s="22" t="s">
        <v>381</v>
      </c>
      <c r="H168" s="20">
        <v>0</v>
      </c>
      <c r="I168" s="21" t="s">
        <v>375</v>
      </c>
      <c r="J168" s="31" t="s">
        <v>542</v>
      </c>
      <c r="K168" s="3">
        <f t="shared" si="2"/>
        <v>1</v>
      </c>
    </row>
    <row r="169" spans="1:11" ht="20.100000000000001" customHeight="1" x14ac:dyDescent="0.15">
      <c r="A169" s="19" t="s">
        <v>15</v>
      </c>
      <c r="B169" s="19" t="s">
        <v>52</v>
      </c>
      <c r="C169" s="20">
        <v>1</v>
      </c>
      <c r="D169" s="21" t="s">
        <v>163</v>
      </c>
      <c r="E169" s="21" t="s">
        <v>164</v>
      </c>
      <c r="F169" s="21" t="s">
        <v>391</v>
      </c>
      <c r="G169" s="22" t="s">
        <v>391</v>
      </c>
      <c r="H169" s="20">
        <v>0</v>
      </c>
      <c r="I169" s="21"/>
      <c r="J169" s="31" t="s">
        <v>542</v>
      </c>
      <c r="K169" s="3">
        <f t="shared" si="2"/>
        <v>1</v>
      </c>
    </row>
    <row r="170" spans="1:11" ht="20.100000000000001" customHeight="1" x14ac:dyDescent="0.15">
      <c r="A170" s="19" t="s">
        <v>15</v>
      </c>
      <c r="B170" s="19" t="s">
        <v>52</v>
      </c>
      <c r="C170" s="20">
        <v>1</v>
      </c>
      <c r="D170" s="21" t="s">
        <v>315</v>
      </c>
      <c r="E170" s="21" t="s">
        <v>316</v>
      </c>
      <c r="F170" s="21" t="s">
        <v>381</v>
      </c>
      <c r="G170" s="22" t="s">
        <v>381</v>
      </c>
      <c r="H170" s="20">
        <v>0</v>
      </c>
      <c r="I170" s="21" t="s">
        <v>346</v>
      </c>
      <c r="J170" s="31" t="s">
        <v>542</v>
      </c>
      <c r="K170" s="3">
        <f t="shared" si="2"/>
        <v>1</v>
      </c>
    </row>
    <row r="171" spans="1:11" ht="20.100000000000001" customHeight="1" x14ac:dyDescent="0.15">
      <c r="A171" s="19" t="s">
        <v>15</v>
      </c>
      <c r="B171" s="19" t="s">
        <v>52</v>
      </c>
      <c r="C171" s="20">
        <v>1</v>
      </c>
      <c r="D171" s="21" t="s">
        <v>231</v>
      </c>
      <c r="E171" s="21" t="s">
        <v>232</v>
      </c>
      <c r="F171" s="21" t="s">
        <v>391</v>
      </c>
      <c r="G171" s="22" t="s">
        <v>391</v>
      </c>
      <c r="H171" s="20">
        <v>0</v>
      </c>
      <c r="I171" s="21"/>
      <c r="J171" s="31" t="s">
        <v>542</v>
      </c>
      <c r="K171" s="3">
        <f t="shared" si="2"/>
        <v>1</v>
      </c>
    </row>
    <row r="172" spans="1:11" ht="20.100000000000001" customHeight="1" x14ac:dyDescent="0.15">
      <c r="A172" s="19" t="s">
        <v>15</v>
      </c>
      <c r="B172" s="19" t="s">
        <v>15</v>
      </c>
      <c r="C172" s="20">
        <v>0</v>
      </c>
      <c r="D172" s="21" t="s">
        <v>320</v>
      </c>
      <c r="E172" s="21" t="s">
        <v>321</v>
      </c>
      <c r="F172" s="21" t="s">
        <v>391</v>
      </c>
      <c r="G172" s="22" t="s">
        <v>391</v>
      </c>
      <c r="H172" s="20">
        <v>0</v>
      </c>
      <c r="I172" s="21"/>
      <c r="J172" s="31" t="s">
        <v>542</v>
      </c>
      <c r="K172" s="3">
        <f t="shared" si="2"/>
        <v>0</v>
      </c>
    </row>
    <row r="173" spans="1:11" ht="20.100000000000001" customHeight="1" x14ac:dyDescent="0.15">
      <c r="A173" s="19" t="s">
        <v>15</v>
      </c>
      <c r="B173" s="19" t="s">
        <v>52</v>
      </c>
      <c r="C173" s="20">
        <v>1</v>
      </c>
      <c r="D173" s="21" t="s">
        <v>166</v>
      </c>
      <c r="E173" s="21" t="s">
        <v>167</v>
      </c>
      <c r="F173" s="21" t="s">
        <v>391</v>
      </c>
      <c r="G173" s="22" t="s">
        <v>538</v>
      </c>
      <c r="H173" s="20">
        <v>0</v>
      </c>
      <c r="I173" s="21" t="s">
        <v>375</v>
      </c>
      <c r="J173" s="31" t="s">
        <v>542</v>
      </c>
      <c r="K173" s="3">
        <f t="shared" si="2"/>
        <v>1</v>
      </c>
    </row>
    <row r="174" spans="1:11" ht="20.100000000000001" customHeight="1" x14ac:dyDescent="0.15">
      <c r="A174" s="11" t="s">
        <v>14</v>
      </c>
      <c r="B174" s="11" t="s">
        <v>14</v>
      </c>
      <c r="C174" s="12">
        <v>0</v>
      </c>
      <c r="D174" s="13" t="s">
        <v>543</v>
      </c>
      <c r="E174" s="13">
        <v>305393</v>
      </c>
      <c r="F174" s="13" t="s">
        <v>347</v>
      </c>
      <c r="G174" s="14" t="s">
        <v>347</v>
      </c>
      <c r="H174" s="12">
        <v>0</v>
      </c>
      <c r="I174" s="13"/>
      <c r="J174" s="30" t="s">
        <v>347</v>
      </c>
      <c r="K174" s="3">
        <f t="shared" si="2"/>
        <v>0</v>
      </c>
    </row>
    <row r="175" spans="1:11" ht="20.100000000000001" customHeight="1" x14ac:dyDescent="0.15">
      <c r="A175" s="11" t="s">
        <v>14</v>
      </c>
      <c r="B175" s="11" t="s">
        <v>14</v>
      </c>
      <c r="C175" s="12">
        <v>0</v>
      </c>
      <c r="D175" s="13" t="s">
        <v>168</v>
      </c>
      <c r="E175" s="13">
        <v>303313</v>
      </c>
      <c r="F175" s="13" t="s">
        <v>380</v>
      </c>
      <c r="G175" s="14" t="s">
        <v>381</v>
      </c>
      <c r="H175" s="12">
        <v>1</v>
      </c>
      <c r="I175" s="13" t="s">
        <v>346</v>
      </c>
      <c r="J175" s="30" t="s">
        <v>544</v>
      </c>
      <c r="K175" s="3">
        <f t="shared" si="2"/>
        <v>1</v>
      </c>
    </row>
    <row r="176" spans="1:11" ht="20.100000000000001" customHeight="1" x14ac:dyDescent="0.15">
      <c r="A176" s="11" t="s">
        <v>14</v>
      </c>
      <c r="B176" s="11" t="s">
        <v>14</v>
      </c>
      <c r="C176" s="12">
        <v>0</v>
      </c>
      <c r="D176" s="13" t="s">
        <v>244</v>
      </c>
      <c r="E176" s="13">
        <v>306467</v>
      </c>
      <c r="F176" s="13" t="s">
        <v>380</v>
      </c>
      <c r="G176" s="14" t="s">
        <v>538</v>
      </c>
      <c r="H176" s="12">
        <v>1</v>
      </c>
      <c r="I176" s="13"/>
      <c r="J176" s="30" t="s">
        <v>544</v>
      </c>
      <c r="K176" s="3">
        <f t="shared" si="2"/>
        <v>1</v>
      </c>
    </row>
    <row r="177" spans="1:11" ht="20.100000000000001" customHeight="1" x14ac:dyDescent="0.15">
      <c r="A177" s="11" t="s">
        <v>14</v>
      </c>
      <c r="B177" s="11" t="s">
        <v>14</v>
      </c>
      <c r="C177" s="12">
        <v>0</v>
      </c>
      <c r="D177" s="13" t="s">
        <v>209</v>
      </c>
      <c r="E177" s="13">
        <v>304057</v>
      </c>
      <c r="F177" s="13" t="s">
        <v>380</v>
      </c>
      <c r="G177" s="14" t="s">
        <v>391</v>
      </c>
      <c r="H177" s="12">
        <v>1</v>
      </c>
      <c r="I177" s="13"/>
      <c r="J177" s="28" t="s">
        <v>544</v>
      </c>
      <c r="K177" s="3">
        <f t="shared" si="2"/>
        <v>1</v>
      </c>
    </row>
    <row r="178" spans="1:11" ht="20.100000000000001" customHeight="1" x14ac:dyDescent="0.15">
      <c r="A178" s="11" t="s">
        <v>14</v>
      </c>
      <c r="B178" s="11" t="s">
        <v>14</v>
      </c>
      <c r="C178" s="12">
        <v>0</v>
      </c>
      <c r="D178" s="13" t="s">
        <v>243</v>
      </c>
      <c r="E178" s="13">
        <v>305425</v>
      </c>
      <c r="F178" s="13" t="s">
        <v>380</v>
      </c>
      <c r="G178" s="14" t="s">
        <v>538</v>
      </c>
      <c r="H178" s="12">
        <v>1</v>
      </c>
      <c r="I178" s="13"/>
      <c r="J178" s="30" t="s">
        <v>544</v>
      </c>
      <c r="K178" s="3">
        <f t="shared" si="2"/>
        <v>1</v>
      </c>
    </row>
    <row r="179" spans="1:11" ht="20.100000000000001" customHeight="1" x14ac:dyDescent="0.15">
      <c r="A179" s="11" t="s">
        <v>14</v>
      </c>
      <c r="B179" s="11" t="s">
        <v>14</v>
      </c>
      <c r="C179" s="12">
        <v>0</v>
      </c>
      <c r="D179" s="13" t="s">
        <v>184</v>
      </c>
      <c r="E179" s="13">
        <v>305352</v>
      </c>
      <c r="F179" s="13" t="s">
        <v>380</v>
      </c>
      <c r="G179" s="14" t="s">
        <v>538</v>
      </c>
      <c r="H179" s="12">
        <v>1</v>
      </c>
      <c r="I179" s="13"/>
      <c r="J179" s="30" t="s">
        <v>544</v>
      </c>
      <c r="K179" s="3">
        <f t="shared" si="2"/>
        <v>1</v>
      </c>
    </row>
    <row r="180" spans="1:11" ht="20.100000000000001" customHeight="1" x14ac:dyDescent="0.15">
      <c r="A180" s="11" t="s">
        <v>14</v>
      </c>
      <c r="B180" s="11" t="s">
        <v>14</v>
      </c>
      <c r="C180" s="12">
        <v>0</v>
      </c>
      <c r="D180" s="13" t="s">
        <v>221</v>
      </c>
      <c r="E180" s="13">
        <v>305431</v>
      </c>
      <c r="F180" s="13" t="s">
        <v>380</v>
      </c>
      <c r="G180" s="14" t="s">
        <v>538</v>
      </c>
      <c r="H180" s="12">
        <v>1</v>
      </c>
      <c r="I180" s="13"/>
      <c r="J180" s="30" t="s">
        <v>544</v>
      </c>
      <c r="K180" s="3">
        <f t="shared" si="2"/>
        <v>1</v>
      </c>
    </row>
    <row r="181" spans="1:11" ht="20.100000000000001" customHeight="1" x14ac:dyDescent="0.15">
      <c r="A181" s="11" t="s">
        <v>14</v>
      </c>
      <c r="B181" s="11" t="s">
        <v>14</v>
      </c>
      <c r="C181" s="12">
        <v>0</v>
      </c>
      <c r="D181" s="13" t="s">
        <v>288</v>
      </c>
      <c r="E181" s="13">
        <v>305382</v>
      </c>
      <c r="F181" s="13" t="s">
        <v>380</v>
      </c>
      <c r="G181" s="14" t="s">
        <v>538</v>
      </c>
      <c r="H181" s="12">
        <v>1</v>
      </c>
      <c r="I181" s="13"/>
      <c r="J181" s="30" t="s">
        <v>544</v>
      </c>
      <c r="K181" s="3">
        <f t="shared" si="2"/>
        <v>1</v>
      </c>
    </row>
    <row r="182" spans="1:11" ht="20.100000000000001" customHeight="1" x14ac:dyDescent="0.15">
      <c r="A182" s="11" t="s">
        <v>14</v>
      </c>
      <c r="B182" s="11" t="s">
        <v>14</v>
      </c>
      <c r="C182" s="12">
        <v>0</v>
      </c>
      <c r="D182" s="13" t="s">
        <v>154</v>
      </c>
      <c r="E182" s="13">
        <v>305388</v>
      </c>
      <c r="F182" s="13" t="s">
        <v>380</v>
      </c>
      <c r="G182" s="14" t="s">
        <v>538</v>
      </c>
      <c r="H182" s="12">
        <v>1</v>
      </c>
      <c r="I182" s="13"/>
      <c r="J182" s="30" t="s">
        <v>544</v>
      </c>
      <c r="K182" s="3">
        <f t="shared" si="2"/>
        <v>1</v>
      </c>
    </row>
    <row r="183" spans="1:11" ht="20.100000000000001" customHeight="1" x14ac:dyDescent="0.15">
      <c r="A183" s="11" t="s">
        <v>14</v>
      </c>
      <c r="B183" s="11" t="s">
        <v>14</v>
      </c>
      <c r="C183" s="12">
        <v>0</v>
      </c>
      <c r="D183" s="13" t="s">
        <v>215</v>
      </c>
      <c r="E183" s="13">
        <v>306463</v>
      </c>
      <c r="F183" s="13" t="s">
        <v>380</v>
      </c>
      <c r="G183" s="14" t="s">
        <v>538</v>
      </c>
      <c r="H183" s="12">
        <v>1</v>
      </c>
      <c r="I183" s="13"/>
      <c r="J183" s="30" t="s">
        <v>544</v>
      </c>
      <c r="K183" s="3">
        <f t="shared" si="2"/>
        <v>1</v>
      </c>
    </row>
    <row r="184" spans="1:11" ht="20.100000000000001" customHeight="1" x14ac:dyDescent="0.15">
      <c r="A184" s="11" t="s">
        <v>14</v>
      </c>
      <c r="B184" s="11" t="s">
        <v>14</v>
      </c>
      <c r="C184" s="12">
        <v>0</v>
      </c>
      <c r="D184" s="13" t="s">
        <v>208</v>
      </c>
      <c r="E184" s="13">
        <v>306475</v>
      </c>
      <c r="F184" s="13" t="s">
        <v>380</v>
      </c>
      <c r="G184" s="14" t="s">
        <v>538</v>
      </c>
      <c r="H184" s="12">
        <v>1</v>
      </c>
      <c r="I184" s="13"/>
      <c r="J184" s="30" t="s">
        <v>544</v>
      </c>
      <c r="K184" s="3">
        <f t="shared" si="2"/>
        <v>1</v>
      </c>
    </row>
    <row r="185" spans="1:11" ht="20.100000000000001" customHeight="1" x14ac:dyDescent="0.15">
      <c r="A185" s="11" t="s">
        <v>14</v>
      </c>
      <c r="B185" s="11" t="s">
        <v>14</v>
      </c>
      <c r="C185" s="12">
        <v>0</v>
      </c>
      <c r="D185" s="13" t="s">
        <v>276</v>
      </c>
      <c r="E185" s="13">
        <v>305377</v>
      </c>
      <c r="F185" s="13" t="s">
        <v>380</v>
      </c>
      <c r="G185" s="14" t="s">
        <v>538</v>
      </c>
      <c r="H185" s="12">
        <v>1</v>
      </c>
      <c r="I185" s="13"/>
      <c r="J185" s="30" t="s">
        <v>545</v>
      </c>
      <c r="K185" s="3">
        <f t="shared" si="2"/>
        <v>1</v>
      </c>
    </row>
    <row r="186" spans="1:11" ht="20.100000000000001" customHeight="1" x14ac:dyDescent="0.15">
      <c r="A186" s="11" t="s">
        <v>14</v>
      </c>
      <c r="B186" s="11" t="s">
        <v>14</v>
      </c>
      <c r="C186" s="12">
        <v>0</v>
      </c>
      <c r="D186" s="13" t="s">
        <v>155</v>
      </c>
      <c r="E186" s="13">
        <v>306462</v>
      </c>
      <c r="F186" s="13" t="s">
        <v>380</v>
      </c>
      <c r="G186" s="14" t="s">
        <v>538</v>
      </c>
      <c r="H186" s="12">
        <v>1</v>
      </c>
      <c r="I186" s="13" t="s">
        <v>346</v>
      </c>
      <c r="J186" s="30" t="s">
        <v>545</v>
      </c>
      <c r="K186" s="3">
        <f t="shared" si="2"/>
        <v>1</v>
      </c>
    </row>
    <row r="187" spans="1:11" ht="20.100000000000001" customHeight="1" x14ac:dyDescent="0.15">
      <c r="A187" s="11" t="s">
        <v>14</v>
      </c>
      <c r="B187" s="11" t="s">
        <v>14</v>
      </c>
      <c r="C187" s="12">
        <v>0</v>
      </c>
      <c r="D187" s="13" t="s">
        <v>213</v>
      </c>
      <c r="E187" s="13">
        <v>305887</v>
      </c>
      <c r="F187" s="13" t="s">
        <v>380</v>
      </c>
      <c r="G187" s="14" t="s">
        <v>538</v>
      </c>
      <c r="H187" s="12">
        <v>1</v>
      </c>
      <c r="I187" s="13"/>
      <c r="J187" s="30" t="s">
        <v>545</v>
      </c>
      <c r="K187" s="3">
        <f t="shared" si="2"/>
        <v>1</v>
      </c>
    </row>
    <row r="188" spans="1:11" ht="20.100000000000001" customHeight="1" x14ac:dyDescent="0.15">
      <c r="A188" s="11" t="s">
        <v>14</v>
      </c>
      <c r="B188" s="11" t="s">
        <v>14</v>
      </c>
      <c r="C188" s="12">
        <v>0</v>
      </c>
      <c r="D188" s="13" t="s">
        <v>169</v>
      </c>
      <c r="E188" s="13">
        <v>305358</v>
      </c>
      <c r="F188" s="13" t="s">
        <v>380</v>
      </c>
      <c r="G188" s="14" t="s">
        <v>538</v>
      </c>
      <c r="H188" s="12">
        <v>1</v>
      </c>
      <c r="I188" s="13"/>
      <c r="J188" s="30" t="s">
        <v>545</v>
      </c>
      <c r="K188" s="3">
        <f t="shared" si="2"/>
        <v>1</v>
      </c>
    </row>
    <row r="189" spans="1:11" ht="20.100000000000001" customHeight="1" x14ac:dyDescent="0.15">
      <c r="A189" s="11" t="s">
        <v>14</v>
      </c>
      <c r="B189" s="11" t="s">
        <v>14</v>
      </c>
      <c r="C189" s="12">
        <v>0</v>
      </c>
      <c r="D189" s="13" t="s">
        <v>151</v>
      </c>
      <c r="E189" s="13">
        <v>305840</v>
      </c>
      <c r="F189" s="13" t="s">
        <v>380</v>
      </c>
      <c r="G189" s="14" t="s">
        <v>538</v>
      </c>
      <c r="H189" s="12">
        <v>1</v>
      </c>
      <c r="I189" s="13"/>
      <c r="J189" s="30" t="s">
        <v>545</v>
      </c>
      <c r="K189" s="3">
        <f t="shared" si="2"/>
        <v>1</v>
      </c>
    </row>
    <row r="190" spans="1:11" ht="20.100000000000001" customHeight="1" x14ac:dyDescent="0.15">
      <c r="A190" s="11" t="s">
        <v>14</v>
      </c>
      <c r="B190" s="11" t="s">
        <v>14</v>
      </c>
      <c r="C190" s="12">
        <v>0</v>
      </c>
      <c r="D190" s="13" t="s">
        <v>214</v>
      </c>
      <c r="E190" s="13">
        <v>305415</v>
      </c>
      <c r="F190" s="13" t="s">
        <v>380</v>
      </c>
      <c r="G190" s="14" t="s">
        <v>538</v>
      </c>
      <c r="H190" s="12">
        <v>1</v>
      </c>
      <c r="I190" s="13"/>
      <c r="J190" s="30" t="s">
        <v>545</v>
      </c>
      <c r="K190" s="3">
        <f t="shared" si="2"/>
        <v>1</v>
      </c>
    </row>
    <row r="191" spans="1:11" ht="20.100000000000001" customHeight="1" x14ac:dyDescent="0.15">
      <c r="A191" s="11" t="s">
        <v>14</v>
      </c>
      <c r="B191" s="11" t="s">
        <v>14</v>
      </c>
      <c r="C191" s="12">
        <v>0</v>
      </c>
      <c r="D191" s="13" t="s">
        <v>112</v>
      </c>
      <c r="E191" s="13">
        <v>306519</v>
      </c>
      <c r="F191" s="13" t="s">
        <v>380</v>
      </c>
      <c r="G191" s="14" t="s">
        <v>538</v>
      </c>
      <c r="H191" s="12">
        <v>1</v>
      </c>
      <c r="I191" s="13"/>
      <c r="J191" s="30" t="s">
        <v>545</v>
      </c>
      <c r="K191" s="3">
        <f t="shared" si="2"/>
        <v>1</v>
      </c>
    </row>
    <row r="192" spans="1:11" ht="20.100000000000001" customHeight="1" x14ac:dyDescent="0.15">
      <c r="A192" s="11" t="s">
        <v>14</v>
      </c>
      <c r="B192" s="11" t="s">
        <v>14</v>
      </c>
      <c r="C192" s="12">
        <v>0</v>
      </c>
      <c r="D192" s="13" t="s">
        <v>194</v>
      </c>
      <c r="E192" s="13">
        <v>307439</v>
      </c>
      <c r="F192" s="13" t="s">
        <v>380</v>
      </c>
      <c r="G192" s="14" t="s">
        <v>538</v>
      </c>
      <c r="H192" s="12">
        <v>1</v>
      </c>
      <c r="I192" s="13"/>
      <c r="J192" s="30" t="s">
        <v>545</v>
      </c>
      <c r="K192" s="3">
        <f t="shared" si="2"/>
        <v>1</v>
      </c>
    </row>
    <row r="193" spans="1:11" ht="20.100000000000001" customHeight="1" x14ac:dyDescent="0.15">
      <c r="A193" s="11" t="s">
        <v>14</v>
      </c>
      <c r="B193" s="11" t="s">
        <v>14</v>
      </c>
      <c r="C193" s="12">
        <v>0</v>
      </c>
      <c r="D193" s="13" t="s">
        <v>28</v>
      </c>
      <c r="E193" s="13">
        <v>307438</v>
      </c>
      <c r="F193" s="13" t="s">
        <v>380</v>
      </c>
      <c r="G193" s="14" t="s">
        <v>538</v>
      </c>
      <c r="H193" s="12">
        <v>1</v>
      </c>
      <c r="I193" s="13"/>
      <c r="J193" s="30" t="s">
        <v>545</v>
      </c>
      <c r="K193" s="3">
        <f t="shared" si="2"/>
        <v>1</v>
      </c>
    </row>
    <row r="194" spans="1:11" ht="20.100000000000001" customHeight="1" x14ac:dyDescent="0.15">
      <c r="A194" s="11" t="s">
        <v>14</v>
      </c>
      <c r="B194" s="11" t="s">
        <v>14</v>
      </c>
      <c r="C194" s="12">
        <v>0</v>
      </c>
      <c r="D194" s="13" t="s">
        <v>159</v>
      </c>
      <c r="E194" s="13">
        <v>303519</v>
      </c>
      <c r="F194" s="13" t="s">
        <v>380</v>
      </c>
      <c r="G194" s="14" t="s">
        <v>391</v>
      </c>
      <c r="H194" s="12">
        <v>1</v>
      </c>
      <c r="I194" s="13"/>
      <c r="J194" s="30" t="s">
        <v>546</v>
      </c>
      <c r="K194" s="3">
        <f t="shared" ref="K194:K230" si="3">C194+H194</f>
        <v>1</v>
      </c>
    </row>
    <row r="195" spans="1:11" ht="20.100000000000001" customHeight="1" x14ac:dyDescent="0.15">
      <c r="A195" s="11" t="s">
        <v>14</v>
      </c>
      <c r="B195" s="11" t="s">
        <v>14</v>
      </c>
      <c r="C195" s="12">
        <v>0</v>
      </c>
      <c r="D195" s="13" t="s">
        <v>100</v>
      </c>
      <c r="E195" s="13">
        <v>304049</v>
      </c>
      <c r="F195" s="13" t="s">
        <v>380</v>
      </c>
      <c r="G195" s="14" t="s">
        <v>381</v>
      </c>
      <c r="H195" s="12">
        <v>1</v>
      </c>
      <c r="I195" s="13"/>
      <c r="J195" s="30" t="s">
        <v>546</v>
      </c>
      <c r="K195" s="3">
        <f t="shared" si="3"/>
        <v>1</v>
      </c>
    </row>
    <row r="196" spans="1:11" ht="20.100000000000001" customHeight="1" x14ac:dyDescent="0.15">
      <c r="A196" s="11" t="s">
        <v>14</v>
      </c>
      <c r="B196" s="11" t="s">
        <v>14</v>
      </c>
      <c r="C196" s="12">
        <v>0</v>
      </c>
      <c r="D196" s="13" t="s">
        <v>127</v>
      </c>
      <c r="E196" s="13">
        <v>303504</v>
      </c>
      <c r="F196" s="13" t="s">
        <v>380</v>
      </c>
      <c r="G196" s="14" t="s">
        <v>391</v>
      </c>
      <c r="H196" s="12">
        <v>1</v>
      </c>
      <c r="I196" s="13"/>
      <c r="J196" s="30" t="s">
        <v>546</v>
      </c>
      <c r="K196" s="3">
        <f t="shared" si="3"/>
        <v>1</v>
      </c>
    </row>
    <row r="197" spans="1:11" ht="20.100000000000001" customHeight="1" x14ac:dyDescent="0.15">
      <c r="A197" s="11" t="s">
        <v>14</v>
      </c>
      <c r="B197" s="11" t="s">
        <v>14</v>
      </c>
      <c r="C197" s="12">
        <v>0</v>
      </c>
      <c r="D197" s="13" t="s">
        <v>67</v>
      </c>
      <c r="E197" s="13">
        <v>303514</v>
      </c>
      <c r="F197" s="13" t="s">
        <v>380</v>
      </c>
      <c r="G197" s="14" t="s">
        <v>391</v>
      </c>
      <c r="H197" s="12">
        <v>1</v>
      </c>
      <c r="I197" s="13"/>
      <c r="J197" s="30" t="s">
        <v>546</v>
      </c>
      <c r="K197" s="3">
        <f t="shared" si="3"/>
        <v>1</v>
      </c>
    </row>
    <row r="198" spans="1:11" ht="20.100000000000001" customHeight="1" x14ac:dyDescent="0.15">
      <c r="A198" s="11" t="s">
        <v>14</v>
      </c>
      <c r="B198" s="11" t="s">
        <v>14</v>
      </c>
      <c r="C198" s="12">
        <v>0</v>
      </c>
      <c r="D198" s="13" t="s">
        <v>165</v>
      </c>
      <c r="E198" s="13">
        <v>304092</v>
      </c>
      <c r="F198" s="13" t="s">
        <v>380</v>
      </c>
      <c r="G198" s="14" t="s">
        <v>391</v>
      </c>
      <c r="H198" s="12">
        <v>1</v>
      </c>
      <c r="I198" s="13"/>
      <c r="J198" s="30" t="s">
        <v>546</v>
      </c>
      <c r="K198" s="3">
        <f t="shared" si="3"/>
        <v>1</v>
      </c>
    </row>
    <row r="199" spans="1:11" ht="20.100000000000001" customHeight="1" x14ac:dyDescent="0.15">
      <c r="A199" s="11" t="s">
        <v>14</v>
      </c>
      <c r="B199" s="11" t="s">
        <v>14</v>
      </c>
      <c r="C199" s="12">
        <v>0</v>
      </c>
      <c r="D199" s="13" t="s">
        <v>212</v>
      </c>
      <c r="E199" s="13">
        <v>304303</v>
      </c>
      <c r="F199" s="13" t="s">
        <v>380</v>
      </c>
      <c r="G199" s="14" t="s">
        <v>391</v>
      </c>
      <c r="H199" s="12">
        <v>1</v>
      </c>
      <c r="I199" s="13"/>
      <c r="J199" s="30" t="s">
        <v>546</v>
      </c>
      <c r="K199" s="3">
        <f t="shared" si="3"/>
        <v>1</v>
      </c>
    </row>
    <row r="200" spans="1:11" ht="20.100000000000001" customHeight="1" x14ac:dyDescent="0.15">
      <c r="A200" s="19" t="s">
        <v>16</v>
      </c>
      <c r="B200" s="19" t="s">
        <v>30</v>
      </c>
      <c r="C200" s="20">
        <v>1</v>
      </c>
      <c r="D200" s="21" t="s">
        <v>547</v>
      </c>
      <c r="E200" s="21" t="s">
        <v>548</v>
      </c>
      <c r="F200" s="21" t="s">
        <v>347</v>
      </c>
      <c r="G200" s="22" t="s">
        <v>347</v>
      </c>
      <c r="H200" s="20">
        <v>0</v>
      </c>
      <c r="I200" s="21"/>
      <c r="J200" s="31" t="s">
        <v>347</v>
      </c>
      <c r="K200" s="3">
        <f t="shared" si="3"/>
        <v>1</v>
      </c>
    </row>
    <row r="201" spans="1:11" ht="20.100000000000001" customHeight="1" x14ac:dyDescent="0.15">
      <c r="A201" s="19" t="s">
        <v>16</v>
      </c>
      <c r="B201" s="19" t="s">
        <v>30</v>
      </c>
      <c r="C201" s="20">
        <v>1</v>
      </c>
      <c r="D201" s="21" t="s">
        <v>76</v>
      </c>
      <c r="E201" s="21" t="s">
        <v>77</v>
      </c>
      <c r="F201" s="21" t="s">
        <v>528</v>
      </c>
      <c r="G201" s="22" t="s">
        <v>538</v>
      </c>
      <c r="H201" s="20">
        <v>1</v>
      </c>
      <c r="I201" s="21"/>
      <c r="J201" s="31" t="s">
        <v>549</v>
      </c>
      <c r="K201" s="3">
        <f t="shared" si="3"/>
        <v>2</v>
      </c>
    </row>
    <row r="202" spans="1:11" ht="20.100000000000001" customHeight="1" x14ac:dyDescent="0.15">
      <c r="A202" s="19" t="s">
        <v>16</v>
      </c>
      <c r="B202" s="19" t="s">
        <v>30</v>
      </c>
      <c r="C202" s="20">
        <v>1</v>
      </c>
      <c r="D202" s="21" t="s">
        <v>57</v>
      </c>
      <c r="E202" s="21" t="s">
        <v>58</v>
      </c>
      <c r="F202" s="21" t="s">
        <v>528</v>
      </c>
      <c r="G202" s="22" t="s">
        <v>381</v>
      </c>
      <c r="H202" s="20">
        <v>1</v>
      </c>
      <c r="I202" s="21"/>
      <c r="J202" s="31" t="s">
        <v>549</v>
      </c>
      <c r="K202" s="3">
        <f t="shared" si="3"/>
        <v>2</v>
      </c>
    </row>
    <row r="203" spans="1:11" ht="20.100000000000001" customHeight="1" x14ac:dyDescent="0.15">
      <c r="A203" s="19" t="s">
        <v>16</v>
      </c>
      <c r="B203" s="19" t="s">
        <v>30</v>
      </c>
      <c r="C203" s="20">
        <v>1</v>
      </c>
      <c r="D203" s="21" t="s">
        <v>138</v>
      </c>
      <c r="E203" s="21" t="s">
        <v>139</v>
      </c>
      <c r="F203" s="21" t="s">
        <v>528</v>
      </c>
      <c r="G203" s="22" t="s">
        <v>538</v>
      </c>
      <c r="H203" s="20">
        <v>1</v>
      </c>
      <c r="I203" s="21"/>
      <c r="J203" s="31" t="s">
        <v>549</v>
      </c>
      <c r="K203" s="3">
        <f t="shared" si="3"/>
        <v>2</v>
      </c>
    </row>
    <row r="204" spans="1:11" ht="20.100000000000001" customHeight="1" x14ac:dyDescent="0.15">
      <c r="A204" s="19" t="s">
        <v>16</v>
      </c>
      <c r="B204" s="19" t="s">
        <v>16</v>
      </c>
      <c r="C204" s="20">
        <v>0</v>
      </c>
      <c r="D204" s="21" t="s">
        <v>176</v>
      </c>
      <c r="E204" s="21" t="s">
        <v>177</v>
      </c>
      <c r="F204" s="21" t="s">
        <v>380</v>
      </c>
      <c r="G204" s="22" t="s">
        <v>391</v>
      </c>
      <c r="H204" s="20">
        <v>1</v>
      </c>
      <c r="I204" s="21"/>
      <c r="J204" s="31" t="s">
        <v>549</v>
      </c>
      <c r="K204" s="3">
        <f t="shared" si="3"/>
        <v>1</v>
      </c>
    </row>
    <row r="205" spans="1:11" ht="20.100000000000001" customHeight="1" x14ac:dyDescent="0.15">
      <c r="A205" s="19" t="s">
        <v>16</v>
      </c>
      <c r="B205" s="19" t="s">
        <v>52</v>
      </c>
      <c r="C205" s="20">
        <v>1</v>
      </c>
      <c r="D205" s="21" t="s">
        <v>156</v>
      </c>
      <c r="E205" s="21" t="s">
        <v>157</v>
      </c>
      <c r="F205" s="21" t="s">
        <v>380</v>
      </c>
      <c r="G205" s="22" t="s">
        <v>391</v>
      </c>
      <c r="H205" s="20">
        <v>1</v>
      </c>
      <c r="I205" s="21"/>
      <c r="J205" s="31" t="s">
        <v>549</v>
      </c>
      <c r="K205" s="3">
        <f t="shared" si="3"/>
        <v>2</v>
      </c>
    </row>
    <row r="206" spans="1:11" ht="20.100000000000001" customHeight="1" x14ac:dyDescent="0.15">
      <c r="A206" s="19" t="s">
        <v>16</v>
      </c>
      <c r="B206" s="19" t="s">
        <v>52</v>
      </c>
      <c r="C206" s="20">
        <v>1</v>
      </c>
      <c r="D206" s="21" t="s">
        <v>224</v>
      </c>
      <c r="E206" s="21" t="s">
        <v>225</v>
      </c>
      <c r="F206" s="21" t="s">
        <v>380</v>
      </c>
      <c r="G206" s="22" t="s">
        <v>233</v>
      </c>
      <c r="H206" s="20">
        <v>1</v>
      </c>
      <c r="I206" s="21" t="s">
        <v>346</v>
      </c>
      <c r="J206" s="31" t="s">
        <v>549</v>
      </c>
      <c r="K206" s="3">
        <f t="shared" si="3"/>
        <v>2</v>
      </c>
    </row>
    <row r="207" spans="1:11" ht="20.100000000000001" customHeight="1" x14ac:dyDescent="0.15">
      <c r="A207" s="19" t="s">
        <v>16</v>
      </c>
      <c r="B207" s="19" t="s">
        <v>52</v>
      </c>
      <c r="C207" s="20">
        <v>1</v>
      </c>
      <c r="D207" s="21" t="s">
        <v>219</v>
      </c>
      <c r="E207" s="21" t="s">
        <v>220</v>
      </c>
      <c r="F207" s="21" t="s">
        <v>380</v>
      </c>
      <c r="G207" s="22" t="s">
        <v>538</v>
      </c>
      <c r="H207" s="20">
        <v>1</v>
      </c>
      <c r="I207" s="21"/>
      <c r="J207" s="31" t="s">
        <v>549</v>
      </c>
      <c r="K207" s="3">
        <f t="shared" si="3"/>
        <v>2</v>
      </c>
    </row>
    <row r="208" spans="1:11" ht="20.100000000000001" customHeight="1" x14ac:dyDescent="0.15">
      <c r="A208" s="19" t="s">
        <v>16</v>
      </c>
      <c r="B208" s="19" t="s">
        <v>52</v>
      </c>
      <c r="C208" s="20">
        <v>1</v>
      </c>
      <c r="D208" s="21" t="s">
        <v>48</v>
      </c>
      <c r="E208" s="21" t="s">
        <v>49</v>
      </c>
      <c r="F208" s="21" t="s">
        <v>380</v>
      </c>
      <c r="G208" s="22" t="s">
        <v>381</v>
      </c>
      <c r="H208" s="20">
        <v>1</v>
      </c>
      <c r="I208" s="21" t="s">
        <v>375</v>
      </c>
      <c r="J208" s="31" t="s">
        <v>549</v>
      </c>
      <c r="K208" s="3">
        <f t="shared" si="3"/>
        <v>2</v>
      </c>
    </row>
    <row r="209" spans="1:11" ht="20.100000000000001" customHeight="1" x14ac:dyDescent="0.15">
      <c r="A209" s="19" t="s">
        <v>16</v>
      </c>
      <c r="B209" s="19" t="s">
        <v>52</v>
      </c>
      <c r="C209" s="20">
        <v>1</v>
      </c>
      <c r="D209" s="21" t="s">
        <v>107</v>
      </c>
      <c r="E209" s="21" t="s">
        <v>108</v>
      </c>
      <c r="F209" s="21" t="s">
        <v>380</v>
      </c>
      <c r="G209" s="22" t="s">
        <v>391</v>
      </c>
      <c r="H209" s="20">
        <v>1</v>
      </c>
      <c r="I209" s="21"/>
      <c r="J209" s="31" t="s">
        <v>549</v>
      </c>
      <c r="K209" s="3">
        <f t="shared" si="3"/>
        <v>2</v>
      </c>
    </row>
    <row r="210" spans="1:11" ht="20.100000000000001" customHeight="1" x14ac:dyDescent="0.15">
      <c r="A210" s="19" t="s">
        <v>16</v>
      </c>
      <c r="B210" s="19" t="s">
        <v>16</v>
      </c>
      <c r="C210" s="20">
        <v>0</v>
      </c>
      <c r="D210" s="21" t="s">
        <v>201</v>
      </c>
      <c r="E210" s="21" t="s">
        <v>202</v>
      </c>
      <c r="F210" s="21" t="s">
        <v>380</v>
      </c>
      <c r="G210" s="22" t="s">
        <v>538</v>
      </c>
      <c r="H210" s="20">
        <v>1</v>
      </c>
      <c r="I210" s="21"/>
      <c r="J210" s="31" t="s">
        <v>550</v>
      </c>
      <c r="K210" s="3">
        <f t="shared" si="3"/>
        <v>1</v>
      </c>
    </row>
    <row r="211" spans="1:11" ht="20.100000000000001" customHeight="1" x14ac:dyDescent="0.15">
      <c r="A211" s="19" t="s">
        <v>16</v>
      </c>
      <c r="B211" s="19" t="s">
        <v>30</v>
      </c>
      <c r="C211" s="20">
        <v>1</v>
      </c>
      <c r="D211" s="21" t="s">
        <v>245</v>
      </c>
      <c r="E211" s="21" t="s">
        <v>246</v>
      </c>
      <c r="F211" s="21" t="s">
        <v>528</v>
      </c>
      <c r="G211" s="22" t="s">
        <v>391</v>
      </c>
      <c r="H211" s="20">
        <v>1</v>
      </c>
      <c r="I211" s="21"/>
      <c r="J211" s="31" t="s">
        <v>550</v>
      </c>
      <c r="K211" s="3">
        <f t="shared" si="3"/>
        <v>2</v>
      </c>
    </row>
    <row r="212" spans="1:11" ht="20.100000000000001" customHeight="1" x14ac:dyDescent="0.15">
      <c r="A212" s="19" t="s">
        <v>16</v>
      </c>
      <c r="B212" s="19" t="s">
        <v>16</v>
      </c>
      <c r="C212" s="20">
        <v>0</v>
      </c>
      <c r="D212" s="21" t="s">
        <v>79</v>
      </c>
      <c r="E212" s="21" t="s">
        <v>80</v>
      </c>
      <c r="F212" s="21" t="s">
        <v>380</v>
      </c>
      <c r="G212" s="22" t="s">
        <v>233</v>
      </c>
      <c r="H212" s="20">
        <v>1</v>
      </c>
      <c r="I212" s="21"/>
      <c r="J212" s="31" t="s">
        <v>550</v>
      </c>
      <c r="K212" s="3">
        <f t="shared" si="3"/>
        <v>1</v>
      </c>
    </row>
    <row r="213" spans="1:11" ht="20.100000000000001" customHeight="1" x14ac:dyDescent="0.15">
      <c r="A213" s="19" t="s">
        <v>16</v>
      </c>
      <c r="B213" s="19" t="s">
        <v>16</v>
      </c>
      <c r="C213" s="20">
        <v>0</v>
      </c>
      <c r="D213" s="21" t="s">
        <v>148</v>
      </c>
      <c r="E213" s="21" t="s">
        <v>149</v>
      </c>
      <c r="F213" s="21" t="s">
        <v>380</v>
      </c>
      <c r="G213" s="22" t="s">
        <v>538</v>
      </c>
      <c r="H213" s="20">
        <v>1</v>
      </c>
      <c r="I213" s="21"/>
      <c r="J213" s="31" t="s">
        <v>550</v>
      </c>
      <c r="K213" s="3">
        <f t="shared" si="3"/>
        <v>1</v>
      </c>
    </row>
    <row r="214" spans="1:11" ht="20.100000000000001" customHeight="1" x14ac:dyDescent="0.15">
      <c r="A214" s="19" t="s">
        <v>16</v>
      </c>
      <c r="B214" s="19" t="s">
        <v>52</v>
      </c>
      <c r="C214" s="20">
        <v>1</v>
      </c>
      <c r="D214" s="21" t="s">
        <v>263</v>
      </c>
      <c r="E214" s="21" t="s">
        <v>264</v>
      </c>
      <c r="F214" s="21" t="s">
        <v>380</v>
      </c>
      <c r="G214" s="22" t="s">
        <v>538</v>
      </c>
      <c r="H214" s="20">
        <v>1</v>
      </c>
      <c r="I214" s="21"/>
      <c r="J214" s="31" t="s">
        <v>550</v>
      </c>
      <c r="K214" s="3">
        <f t="shared" si="3"/>
        <v>2</v>
      </c>
    </row>
    <row r="215" spans="1:11" ht="20.100000000000001" customHeight="1" x14ac:dyDescent="0.15">
      <c r="A215" s="19" t="s">
        <v>16</v>
      </c>
      <c r="B215" s="19" t="s">
        <v>52</v>
      </c>
      <c r="C215" s="20">
        <v>1</v>
      </c>
      <c r="D215" s="21" t="s">
        <v>290</v>
      </c>
      <c r="E215" s="21" t="s">
        <v>291</v>
      </c>
      <c r="F215" s="21" t="s">
        <v>380</v>
      </c>
      <c r="G215" s="22" t="s">
        <v>538</v>
      </c>
      <c r="H215" s="20">
        <v>1</v>
      </c>
      <c r="I215" s="21"/>
      <c r="J215" s="31" t="s">
        <v>550</v>
      </c>
      <c r="K215" s="3">
        <f t="shared" si="3"/>
        <v>2</v>
      </c>
    </row>
    <row r="216" spans="1:11" ht="20.100000000000001" customHeight="1" x14ac:dyDescent="0.15">
      <c r="A216" s="19" t="s">
        <v>16</v>
      </c>
      <c r="B216" s="19" t="s">
        <v>52</v>
      </c>
      <c r="C216" s="20">
        <v>1</v>
      </c>
      <c r="D216" s="21" t="s">
        <v>216</v>
      </c>
      <c r="E216" s="21" t="s">
        <v>217</v>
      </c>
      <c r="F216" s="21" t="s">
        <v>380</v>
      </c>
      <c r="G216" s="22" t="s">
        <v>538</v>
      </c>
      <c r="H216" s="20">
        <v>1</v>
      </c>
      <c r="I216" s="21"/>
      <c r="J216" s="31" t="s">
        <v>550</v>
      </c>
      <c r="K216" s="3">
        <f t="shared" si="3"/>
        <v>2</v>
      </c>
    </row>
    <row r="217" spans="1:11" ht="20.100000000000001" customHeight="1" x14ac:dyDescent="0.15">
      <c r="A217" s="19" t="s">
        <v>16</v>
      </c>
      <c r="B217" s="19" t="s">
        <v>52</v>
      </c>
      <c r="C217" s="20">
        <v>1</v>
      </c>
      <c r="D217" s="21" t="s">
        <v>312</v>
      </c>
      <c r="E217" s="21" t="s">
        <v>313</v>
      </c>
      <c r="F217" s="21" t="s">
        <v>380</v>
      </c>
      <c r="G217" s="22" t="s">
        <v>538</v>
      </c>
      <c r="H217" s="20">
        <v>1</v>
      </c>
      <c r="I217" s="21"/>
      <c r="J217" s="31" t="s">
        <v>550</v>
      </c>
      <c r="K217" s="3">
        <f t="shared" si="3"/>
        <v>2</v>
      </c>
    </row>
    <row r="218" spans="1:11" ht="20.100000000000001" customHeight="1" x14ac:dyDescent="0.15">
      <c r="A218" s="11" t="s">
        <v>30</v>
      </c>
      <c r="B218" s="11" t="s">
        <v>30</v>
      </c>
      <c r="C218" s="12">
        <v>0</v>
      </c>
      <c r="D218" s="13" t="s">
        <v>551</v>
      </c>
      <c r="E218" s="13">
        <v>319915</v>
      </c>
      <c r="F218" s="13" t="s">
        <v>347</v>
      </c>
      <c r="G218" s="14" t="s">
        <v>347</v>
      </c>
      <c r="H218" s="12">
        <v>0</v>
      </c>
      <c r="I218" s="13"/>
      <c r="J218" s="32" t="s">
        <v>347</v>
      </c>
      <c r="K218" s="3">
        <f t="shared" si="3"/>
        <v>0</v>
      </c>
    </row>
    <row r="219" spans="1:11" ht="20.100000000000001" customHeight="1" x14ac:dyDescent="0.15">
      <c r="A219" s="11" t="s">
        <v>30</v>
      </c>
      <c r="B219" s="11" t="s">
        <v>30</v>
      </c>
      <c r="C219" s="12">
        <v>0</v>
      </c>
      <c r="D219" s="13" t="s">
        <v>552</v>
      </c>
      <c r="E219" s="13" t="s">
        <v>553</v>
      </c>
      <c r="F219" s="13" t="s">
        <v>330</v>
      </c>
      <c r="G219" s="14" t="s">
        <v>330</v>
      </c>
      <c r="H219" s="12">
        <v>0</v>
      </c>
      <c r="I219" s="13"/>
      <c r="J219" s="32" t="s">
        <v>347</v>
      </c>
      <c r="K219" s="3">
        <f t="shared" si="3"/>
        <v>0</v>
      </c>
    </row>
    <row r="220" spans="1:11" ht="20.100000000000001" customHeight="1" x14ac:dyDescent="0.15">
      <c r="A220" s="11" t="s">
        <v>30</v>
      </c>
      <c r="B220" s="11" t="s">
        <v>30</v>
      </c>
      <c r="C220" s="12">
        <v>0</v>
      </c>
      <c r="D220" s="13" t="s">
        <v>554</v>
      </c>
      <c r="E220" s="13" t="s">
        <v>555</v>
      </c>
      <c r="F220" s="13" t="s">
        <v>330</v>
      </c>
      <c r="G220" s="14" t="s">
        <v>330</v>
      </c>
      <c r="H220" s="12">
        <v>0</v>
      </c>
      <c r="I220" s="13" t="s">
        <v>346</v>
      </c>
      <c r="J220" s="32" t="s">
        <v>526</v>
      </c>
      <c r="K220" s="3">
        <f t="shared" si="3"/>
        <v>0</v>
      </c>
    </row>
    <row r="221" spans="1:11" ht="20.100000000000001" customHeight="1" x14ac:dyDescent="0.15">
      <c r="A221" s="11" t="s">
        <v>30</v>
      </c>
      <c r="B221" s="11" t="s">
        <v>30</v>
      </c>
      <c r="C221" s="12">
        <v>0</v>
      </c>
      <c r="D221" s="13" t="s">
        <v>556</v>
      </c>
      <c r="E221" s="13" t="s">
        <v>557</v>
      </c>
      <c r="F221" s="13" t="s">
        <v>330</v>
      </c>
      <c r="G221" s="14" t="s">
        <v>330</v>
      </c>
      <c r="H221" s="12">
        <v>0</v>
      </c>
      <c r="I221" s="13" t="s">
        <v>375</v>
      </c>
      <c r="J221" s="32" t="s">
        <v>526</v>
      </c>
      <c r="K221" s="3">
        <f t="shared" si="3"/>
        <v>0</v>
      </c>
    </row>
    <row r="222" spans="1:11" ht="20.100000000000001" customHeight="1" x14ac:dyDescent="0.15">
      <c r="A222" s="11" t="s">
        <v>30</v>
      </c>
      <c r="B222" s="11" t="s">
        <v>30</v>
      </c>
      <c r="C222" s="12">
        <v>0</v>
      </c>
      <c r="D222" s="13" t="s">
        <v>558</v>
      </c>
      <c r="E222" s="13" t="s">
        <v>559</v>
      </c>
      <c r="F222" s="13" t="s">
        <v>330</v>
      </c>
      <c r="G222" s="14" t="s">
        <v>330</v>
      </c>
      <c r="H222" s="12">
        <v>0</v>
      </c>
      <c r="I222" s="13"/>
      <c r="J222" s="32" t="s">
        <v>526</v>
      </c>
      <c r="K222" s="3">
        <f t="shared" si="3"/>
        <v>0</v>
      </c>
    </row>
    <row r="223" spans="1:11" ht="20.100000000000001" customHeight="1" x14ac:dyDescent="0.15">
      <c r="A223" s="11" t="s">
        <v>30</v>
      </c>
      <c r="B223" s="11" t="s">
        <v>30</v>
      </c>
      <c r="C223" s="12">
        <v>0</v>
      </c>
      <c r="D223" s="13" t="s">
        <v>560</v>
      </c>
      <c r="E223" s="13" t="s">
        <v>561</v>
      </c>
      <c r="F223" s="13" t="s">
        <v>330</v>
      </c>
      <c r="G223" s="14" t="s">
        <v>330</v>
      </c>
      <c r="H223" s="12">
        <v>0</v>
      </c>
      <c r="I223" s="13" t="s">
        <v>375</v>
      </c>
      <c r="J223" s="32" t="s">
        <v>526</v>
      </c>
      <c r="K223" s="3">
        <f t="shared" si="3"/>
        <v>0</v>
      </c>
    </row>
    <row r="224" spans="1:11" ht="20.100000000000001" customHeight="1" x14ac:dyDescent="0.15">
      <c r="A224" s="11" t="s">
        <v>30</v>
      </c>
      <c r="B224" s="11" t="s">
        <v>30</v>
      </c>
      <c r="C224" s="12">
        <v>0</v>
      </c>
      <c r="D224" s="13" t="s">
        <v>562</v>
      </c>
      <c r="E224" s="13" t="s">
        <v>563</v>
      </c>
      <c r="F224" s="13" t="s">
        <v>330</v>
      </c>
      <c r="G224" s="14" t="s">
        <v>330</v>
      </c>
      <c r="H224" s="12">
        <v>0</v>
      </c>
      <c r="I224" s="13"/>
      <c r="J224" s="32" t="s">
        <v>526</v>
      </c>
      <c r="K224" s="3">
        <f t="shared" si="3"/>
        <v>0</v>
      </c>
    </row>
    <row r="225" spans="1:11" ht="20.100000000000001" customHeight="1" x14ac:dyDescent="0.15">
      <c r="A225" s="11" t="s">
        <v>30</v>
      </c>
      <c r="B225" s="11" t="s">
        <v>30</v>
      </c>
      <c r="C225" s="12">
        <v>0</v>
      </c>
      <c r="D225" s="13" t="s">
        <v>564</v>
      </c>
      <c r="E225" s="13" t="s">
        <v>565</v>
      </c>
      <c r="F225" s="13" t="s">
        <v>528</v>
      </c>
      <c r="G225" s="14" t="s">
        <v>528</v>
      </c>
      <c r="H225" s="12">
        <v>0</v>
      </c>
      <c r="I225" s="13"/>
      <c r="J225" s="32" t="s">
        <v>531</v>
      </c>
      <c r="K225" s="3">
        <f t="shared" si="3"/>
        <v>0</v>
      </c>
    </row>
    <row r="226" spans="1:11" ht="20.100000000000001" customHeight="1" x14ac:dyDescent="0.15">
      <c r="A226" s="11" t="s">
        <v>30</v>
      </c>
      <c r="B226" s="11" t="s">
        <v>30</v>
      </c>
      <c r="C226" s="12">
        <v>0</v>
      </c>
      <c r="D226" s="13" t="s">
        <v>566</v>
      </c>
      <c r="E226" s="13" t="s">
        <v>567</v>
      </c>
      <c r="F226" s="13" t="s">
        <v>528</v>
      </c>
      <c r="G226" s="14" t="s">
        <v>528</v>
      </c>
      <c r="H226" s="12">
        <v>0</v>
      </c>
      <c r="I226" s="13"/>
      <c r="J226" s="32" t="s">
        <v>531</v>
      </c>
      <c r="K226" s="3">
        <f t="shared" si="3"/>
        <v>0</v>
      </c>
    </row>
    <row r="227" spans="1:11" ht="20.100000000000001" customHeight="1" x14ac:dyDescent="0.15">
      <c r="A227" s="11" t="s">
        <v>30</v>
      </c>
      <c r="B227" s="11" t="s">
        <v>30</v>
      </c>
      <c r="C227" s="12">
        <v>0</v>
      </c>
      <c r="D227" s="13" t="s">
        <v>568</v>
      </c>
      <c r="E227" s="13" t="s">
        <v>569</v>
      </c>
      <c r="F227" s="13" t="s">
        <v>528</v>
      </c>
      <c r="G227" s="14" t="s">
        <v>528</v>
      </c>
      <c r="H227" s="12">
        <v>0</v>
      </c>
      <c r="I227" s="13" t="s">
        <v>375</v>
      </c>
      <c r="J227" s="32" t="s">
        <v>531</v>
      </c>
      <c r="K227" s="3">
        <f t="shared" si="3"/>
        <v>0</v>
      </c>
    </row>
    <row r="228" spans="1:11" ht="20.100000000000001" customHeight="1" x14ac:dyDescent="0.15">
      <c r="A228" s="11" t="s">
        <v>30</v>
      </c>
      <c r="B228" s="11" t="s">
        <v>30</v>
      </c>
      <c r="C228" s="12">
        <v>0</v>
      </c>
      <c r="D228" s="13" t="s">
        <v>570</v>
      </c>
      <c r="E228" s="13" t="s">
        <v>571</v>
      </c>
      <c r="F228" s="13" t="s">
        <v>528</v>
      </c>
      <c r="G228" s="14" t="s">
        <v>528</v>
      </c>
      <c r="H228" s="12">
        <v>0</v>
      </c>
      <c r="I228" s="13"/>
      <c r="J228" s="32" t="s">
        <v>531</v>
      </c>
      <c r="K228" s="3">
        <f t="shared" si="3"/>
        <v>0</v>
      </c>
    </row>
    <row r="229" spans="1:11" ht="20.100000000000001" customHeight="1" x14ac:dyDescent="0.15">
      <c r="A229" s="11" t="s">
        <v>30</v>
      </c>
      <c r="B229" s="11" t="s">
        <v>30</v>
      </c>
      <c r="C229" s="12">
        <v>0</v>
      </c>
      <c r="D229" s="13" t="s">
        <v>572</v>
      </c>
      <c r="E229" s="13" t="s">
        <v>573</v>
      </c>
      <c r="F229" s="13" t="s">
        <v>528</v>
      </c>
      <c r="G229" s="14" t="s">
        <v>528</v>
      </c>
      <c r="H229" s="12">
        <v>0</v>
      </c>
      <c r="I229" s="13"/>
      <c r="J229" s="32" t="s">
        <v>531</v>
      </c>
      <c r="K229" s="3">
        <f t="shared" si="3"/>
        <v>0</v>
      </c>
    </row>
    <row r="230" spans="1:11" ht="20.100000000000001" customHeight="1" x14ac:dyDescent="0.15">
      <c r="A230" s="11" t="s">
        <v>30</v>
      </c>
      <c r="B230" s="11" t="s">
        <v>30</v>
      </c>
      <c r="C230" s="12">
        <v>0</v>
      </c>
      <c r="D230" s="13" t="s">
        <v>574</v>
      </c>
      <c r="E230" s="13" t="s">
        <v>575</v>
      </c>
      <c r="F230" s="13" t="s">
        <v>528</v>
      </c>
      <c r="G230" s="14" t="s">
        <v>528</v>
      </c>
      <c r="H230" s="12">
        <v>0</v>
      </c>
      <c r="I230" s="13"/>
      <c r="J230" s="32" t="s">
        <v>531</v>
      </c>
      <c r="K230" s="3">
        <f t="shared" si="3"/>
        <v>0</v>
      </c>
    </row>
  </sheetData>
  <sheetProtection formatCells="0" insertHyperlinks="0" autoFilter="0"/>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Sheet4</vt:lpstr>
      <vt:lpstr>数管部工时明细</vt:lpstr>
      <vt:lpstr>人员清单-202603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ziye song</cp:lastModifiedBy>
  <dcterms:created xsi:type="dcterms:W3CDTF">2026-03-26T10:26:00Z</dcterms:created>
  <dcterms:modified xsi:type="dcterms:W3CDTF">2026-05-17T07:05:38Z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2052-11.8.2.10321</vt:lpwstr>
  </property>
</Properties>
</file>