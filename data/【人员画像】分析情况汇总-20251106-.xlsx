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927"/>
  </bookViews>
  <sheets>
    <sheet name="2.1 全量203人-11月" sheetId="1" r:id="rId1"/>
    <sheet name="2.2 工作负荷分析-开发类岗位" sheetId="13" r:id="rId2"/>
    <sheet name="3 人员画像-年" sheetId="7" r:id="rId3"/>
    <sheet name="4 人员画像-月 季" sheetId="8" r:id="rId4"/>
    <sheet name="人员画像" sheetId="6" state="hidden" r:id="rId5"/>
    <sheet name="离职转出人员清单" sheetId="14" r:id="rId6"/>
    <sheet name="组长骨干名单" sheetId="4" r:id="rId7"/>
    <sheet name="产品经理架构师" sheetId="9" r:id="rId8"/>
    <sheet name="累计工龄" sheetId="2" r:id="rId9"/>
    <sheet name="项目 需求个数" sheetId="10" r:id="rId10"/>
    <sheet name="新paso体系下参与应用数量" sheetId="11" r:id="rId11"/>
    <sheet name="Sheet1" sheetId="15" r:id="rId12"/>
    <sheet name="Sheet2" sheetId="16" r:id="rId13"/>
    <sheet name="导出计数_组" sheetId="3" state="hidden" r:id="rId14"/>
  </sheets>
  <externalReferences>
    <externalReference r:id="rId16"/>
    <externalReference r:id="rId17"/>
    <externalReference r:id="rId18"/>
    <externalReference r:id="rId19"/>
  </externalReferences>
  <definedNames>
    <definedName name="_xlnm._FilterDatabase" localSheetId="0" hidden="1">'2.1 全量203人-11月'!$A$2:$AT$205</definedName>
    <definedName name="_xlnm._FilterDatabase" localSheetId="1" hidden="1">'2.2 工作负荷分析-开发类岗位'!$A$2:$AG$108</definedName>
    <definedName name="_xlnm._FilterDatabase" localSheetId="2" hidden="1">'3 人员画像-年'!$A$2:$H$55</definedName>
    <definedName name="_xlnm._FilterDatabase" localSheetId="5" hidden="1">离职转出人员清单!$A$1:$H$31</definedName>
    <definedName name="_xlnm._FilterDatabase" localSheetId="12" hidden="1">Sheet2!$B$1:$D$15</definedName>
  </definedNames>
  <calcPr calcId="144525"/>
  <pivotCaches>
    <pivotCache cacheId="0" r:id="rId15"/>
  </pivotCaches>
</workbook>
</file>

<file path=xl/sharedStrings.xml><?xml version="1.0" encoding="utf-8"?>
<sst xmlns="http://schemas.openxmlformats.org/spreadsheetml/2006/main" count="5039" uniqueCount="1257">
  <si>
    <t>序号</t>
  </si>
  <si>
    <t>姓名</t>
  </si>
  <si>
    <t>基本信息</t>
  </si>
  <si>
    <t>岗位信息</t>
  </si>
  <si>
    <t>党工团任职情况</t>
  </si>
  <si>
    <t>行内、行外荣誉</t>
  </si>
  <si>
    <t>主动学习与对外输出</t>
  </si>
  <si>
    <t>考勤数据</t>
  </si>
  <si>
    <t>工作饱和度量化（开发类岗位）</t>
  </si>
  <si>
    <t>综合主观评价</t>
  </si>
  <si>
    <t>备注</t>
  </si>
  <si>
    <t>加工指标</t>
  </si>
  <si>
    <t>团队</t>
  </si>
  <si>
    <t>组</t>
  </si>
  <si>
    <t>性别</t>
  </si>
  <si>
    <t>累计工龄</t>
  </si>
  <si>
    <t>最高学历</t>
  </si>
  <si>
    <t>最高学历毕业院校</t>
  </si>
  <si>
    <t>科长/组长/骨干标识</t>
  </si>
  <si>
    <t>产品经理/架构师标识</t>
  </si>
  <si>
    <t>产品经理/架构师负责应用个数</t>
  </si>
  <si>
    <t>岗位变动次数</t>
  </si>
  <si>
    <t>现在的工作岗位</t>
  </si>
  <si>
    <t>校招/社招标识</t>
  </si>
  <si>
    <t>党组织</t>
  </si>
  <si>
    <t>工会小组</t>
  </si>
  <si>
    <t>团委</t>
  </si>
  <si>
    <t>年度参加培训次数</t>
  </si>
  <si>
    <t>查看知识库会议纪要次数(3个月)</t>
  </si>
  <si>
    <t>年度部门内培训次数</t>
  </si>
  <si>
    <t>年度部门外培训次数</t>
  </si>
  <si>
    <t>近2年带教人数</t>
  </si>
  <si>
    <t>平均加班时长</t>
  </si>
  <si>
    <t>工作时长高于部门均值</t>
  </si>
  <si>
    <t>1h以下</t>
  </si>
  <si>
    <t>加班1-2h频次</t>
  </si>
  <si>
    <t>加班2-4h频次</t>
  </si>
  <si>
    <t>加班4h以上频次</t>
  </si>
  <si>
    <t>牵头项目数量</t>
  </si>
  <si>
    <t>牵头需求数量</t>
  </si>
  <si>
    <t>主管应用系统数量（近六个月有变更的数量）</t>
  </si>
  <si>
    <t>新paso体系参与应用数量</t>
  </si>
  <si>
    <t>二季度变更任务数</t>
  </si>
  <si>
    <t>三季度变更任务数</t>
  </si>
  <si>
    <t>饱和度量化
不饱和：平均加班时长1h以下/无变更任务无主管应用非组长骨干/科长评定不饱和
超负荷：季度变更任务≥10/加班4H以上超过30次/平均加班时长3H以上/科长评定超负荷</t>
  </si>
  <si>
    <t>领导力</t>
  </si>
  <si>
    <t>专业能力</t>
  </si>
  <si>
    <t>工作态度</t>
  </si>
  <si>
    <t>团队合作</t>
  </si>
  <si>
    <t>累计</t>
  </si>
  <si>
    <t>归类</t>
  </si>
  <si>
    <t>其他特质</t>
  </si>
  <si>
    <t>饱和度指标</t>
  </si>
  <si>
    <t>黄哲睿</t>
  </si>
  <si>
    <t>数据开发部</t>
  </si>
  <si>
    <t>模型设计组</t>
  </si>
  <si>
    <t>男</t>
  </si>
  <si>
    <t>大学本科</t>
  </si>
  <si>
    <t>南京大学</t>
  </si>
  <si>
    <t>组长</t>
  </si>
  <si>
    <t>架构师</t>
  </si>
  <si>
    <t>数据研发</t>
  </si>
  <si>
    <t>校园招聘</t>
  </si>
  <si>
    <t>团委书记</t>
  </si>
  <si>
    <t>24数据文化优秀贡献者</t>
  </si>
  <si>
    <t>4-高潜培养对象</t>
  </si>
  <si>
    <t>团队内人缘较好，有意见领袖的潜质</t>
  </si>
  <si>
    <t>陆慧</t>
  </si>
  <si>
    <t>女</t>
  </si>
  <si>
    <t>研究生</t>
  </si>
  <si>
    <t>骨干</t>
  </si>
  <si>
    <t>社会招聘</t>
  </si>
  <si>
    <t>1.1-专业能力强，但领导力较弱</t>
  </si>
  <si>
    <t>埋头苦干型</t>
  </si>
  <si>
    <t>罗仁杰</t>
  </si>
  <si>
    <t>需求接入组</t>
  </si>
  <si>
    <t>兰州理工大学</t>
  </si>
  <si>
    <t>23五星质量奖</t>
  </si>
  <si>
    <t>3-不作为优先培养对象</t>
  </si>
  <si>
    <t>敬业，工龄长缺乏内驱力下，职等较高</t>
  </si>
  <si>
    <t>李卓辉</t>
  </si>
  <si>
    <t>华东师范大学</t>
  </si>
  <si>
    <t>敬业，工龄长缺乏内驱力，职等较高</t>
  </si>
  <si>
    <t>兰昕蕾</t>
  </si>
  <si>
    <t>数仓开发组</t>
  </si>
  <si>
    <t>有思想、有潜力 值得培养</t>
  </si>
  <si>
    <t>邹小芳</t>
  </si>
  <si>
    <t>江西财经大学</t>
  </si>
  <si>
    <t>认真 没有出彩</t>
  </si>
  <si>
    <t>丁晨</t>
  </si>
  <si>
    <t>南京信息工程大学</t>
  </si>
  <si>
    <t>24五星质量奖</t>
  </si>
  <si>
    <t>周龙</t>
  </si>
  <si>
    <t>应用开发组</t>
  </si>
  <si>
    <t>北京科技大学</t>
  </si>
  <si>
    <t>产品经理</t>
  </si>
  <si>
    <t>有一定思想 可被激发</t>
  </si>
  <si>
    <t>史朋飞</t>
  </si>
  <si>
    <t>数据平台部</t>
  </si>
  <si>
    <t>运维支持组</t>
  </si>
  <si>
    <t>河南理工大学</t>
  </si>
  <si>
    <t>社招入行，渴望被认可，工作积极性较强</t>
  </si>
  <si>
    <t>李天卓</t>
  </si>
  <si>
    <t>上海师范大学</t>
  </si>
  <si>
    <t>23技术能手</t>
  </si>
  <si>
    <t>技术型男生中表达较可的，踏实，工作有一定积极性</t>
  </si>
  <si>
    <t>曹宁远</t>
  </si>
  <si>
    <t>工具开发组</t>
  </si>
  <si>
    <t>北京理工大学</t>
  </si>
  <si>
    <t>1.2-专业能力强，但领导力较弱，建议走技术路线</t>
  </si>
  <si>
    <t>建议走技术线</t>
  </si>
  <si>
    <t>伍恒</t>
  </si>
  <si>
    <t>武汉科技大学</t>
  </si>
  <si>
    <t>23研究与创新奖</t>
  </si>
  <si>
    <t>王正超</t>
  </si>
  <si>
    <t>北京交通大学</t>
  </si>
  <si>
    <t>老黄牛类型</t>
  </si>
  <si>
    <t>嵇雅娟</t>
  </si>
  <si>
    <t>中国科学技术大学</t>
  </si>
  <si>
    <t>中规中矩</t>
  </si>
  <si>
    <t>鞠爱宁</t>
  </si>
  <si>
    <t>数据服务组</t>
  </si>
  <si>
    <t>上海大学</t>
  </si>
  <si>
    <t>24技术能手</t>
  </si>
  <si>
    <t>渴望被认可，缺少机会</t>
  </si>
  <si>
    <t>魏佳翔</t>
  </si>
  <si>
    <t>大连海事大学</t>
  </si>
  <si>
    <t>揭榜挂帅人选，有实力做专业性对抗；
擅长处理并发任务，工作效率高（从任务完成度和考勤来看）</t>
  </si>
  <si>
    <t>刘燕玲</t>
  </si>
  <si>
    <t>数据治理部</t>
  </si>
  <si>
    <t>标准质量组</t>
  </si>
  <si>
    <t>复旦大学</t>
  </si>
  <si>
    <t>数据治理</t>
  </si>
  <si>
    <t>24五星质量奖/25行外获奖1</t>
  </si>
  <si>
    <t>2-可培养的二梯队</t>
  </si>
  <si>
    <t>综合能力都可</t>
  </si>
  <si>
    <t>于璐</t>
  </si>
  <si>
    <t>合肥工业大学</t>
  </si>
  <si>
    <t>24最佳合作服务奖/24数据文化优秀贡献者</t>
  </si>
  <si>
    <t>米俊文</t>
  </si>
  <si>
    <t>架构安全组</t>
  </si>
  <si>
    <t>同济大学</t>
  </si>
  <si>
    <t>架构管理</t>
  </si>
  <si>
    <t>没有管理张力</t>
  </si>
  <si>
    <t>庄家宙</t>
  </si>
  <si>
    <t>数据安全</t>
  </si>
  <si>
    <t>老古板，缺少新型思维</t>
  </si>
  <si>
    <t>舒宝龙</t>
  </si>
  <si>
    <t>信息管理部</t>
  </si>
  <si>
    <t>分行BP</t>
  </si>
  <si>
    <t>南方卫理公会大学</t>
  </si>
  <si>
    <t>数据分析</t>
  </si>
  <si>
    <t>双刃剑</t>
  </si>
  <si>
    <t>陆应佳玥</t>
  </si>
  <si>
    <t>悉尼大学</t>
  </si>
  <si>
    <t>胡承萱</t>
  </si>
  <si>
    <t>非零BP</t>
  </si>
  <si>
    <t>哥伦比亚大学</t>
  </si>
  <si>
    <t>有冲劲</t>
  </si>
  <si>
    <t>王亮</t>
  </si>
  <si>
    <t>一般</t>
  </si>
  <si>
    <t>曹婉茹</t>
  </si>
  <si>
    <t>零售BP</t>
  </si>
  <si>
    <t>北京师范大学</t>
  </si>
  <si>
    <t>第三党支部组织委员</t>
  </si>
  <si>
    <t>内敛，综合能力可以</t>
  </si>
  <si>
    <t>杨陆</t>
  </si>
  <si>
    <t>南京师范大学</t>
  </si>
  <si>
    <t>工会会员代表</t>
  </si>
  <si>
    <t>偏外向，敢表达</t>
  </si>
  <si>
    <t>郭庆睿</t>
  </si>
  <si>
    <t>信息统计部</t>
  </si>
  <si>
    <t>管理信息组</t>
  </si>
  <si>
    <t>有良好的大局观</t>
  </si>
  <si>
    <t>王素雅</t>
  </si>
  <si>
    <t>华中师范大学</t>
  </si>
  <si>
    <t>有冲劲，当前偏个人发展型</t>
  </si>
  <si>
    <t>张伟亮</t>
  </si>
  <si>
    <t>监管数据治理</t>
  </si>
  <si>
    <t>西南交通大学</t>
  </si>
  <si>
    <t>监管统计</t>
  </si>
  <si>
    <t>渴望被提拔，有进取心，需要转型引导</t>
  </si>
  <si>
    <t>王书祥</t>
  </si>
  <si>
    <t>上海对外经贸大学</t>
  </si>
  <si>
    <t>王新</t>
  </si>
  <si>
    <t>监管统计组</t>
  </si>
  <si>
    <t>吉林大学</t>
  </si>
  <si>
    <t>欠缺管理张力</t>
  </si>
  <si>
    <t>杨婧</t>
  </si>
  <si>
    <t>智能创新部</t>
  </si>
  <si>
    <t>AI产品运营组</t>
  </si>
  <si>
    <t>23/24数据文化优秀贡献者/24研究与创新奖</t>
  </si>
  <si>
    <t>有培养潜力，因年限较短缺乏更深入的思考，需要引导</t>
  </si>
  <si>
    <t>邱玥</t>
  </si>
  <si>
    <t>东华大学</t>
  </si>
  <si>
    <t>中规中矩、内敛</t>
  </si>
  <si>
    <t>李响</t>
  </si>
  <si>
    <t>AI基础研发组</t>
  </si>
  <si>
    <t>哈尔滨工业大学</t>
  </si>
  <si>
    <t>技术型</t>
  </si>
  <si>
    <t>于中宝</t>
  </si>
  <si>
    <t>华东理工大学</t>
  </si>
  <si>
    <t>23数据文化优秀贡献者/24年度宣传大使</t>
  </si>
  <si>
    <t>有落差感，需要正确引导培养</t>
  </si>
  <si>
    <t>杨萍</t>
  </si>
  <si>
    <t>综合管理部</t>
  </si>
  <si>
    <t>测试管理组</t>
  </si>
  <si>
    <t>数据测试</t>
  </si>
  <si>
    <t xml:space="preserve">可以考虑轮岗 </t>
  </si>
  <si>
    <t>蒋书润</t>
  </si>
  <si>
    <t>南加州大学</t>
  </si>
  <si>
    <t>24最佳新人</t>
  </si>
  <si>
    <t>有魄力，有担当，有潜在的管理张力</t>
  </si>
  <si>
    <t>黄佳佳</t>
  </si>
  <si>
    <t>项目管理团队</t>
  </si>
  <si>
    <t>项目管理</t>
  </si>
  <si>
    <t>第三党支部纪检委员</t>
  </si>
  <si>
    <t>老黄牛型，需要突破</t>
  </si>
  <si>
    <t>曾敏锐</t>
  </si>
  <si>
    <t>山东财政学院</t>
  </si>
  <si>
    <t>23最佳合作服务奖</t>
  </si>
  <si>
    <t>李梦霄</t>
  </si>
  <si>
    <t>风险模型团队</t>
  </si>
  <si>
    <t>第二党支部组织委员</t>
  </si>
  <si>
    <t>23数据文化优秀贡献者</t>
  </si>
  <si>
    <t>有潜力，值得培养，心思细腻，需要引导</t>
  </si>
  <si>
    <t>于俊杰</t>
  </si>
  <si>
    <t>周影</t>
  </si>
  <si>
    <t>仓库开发组</t>
  </si>
  <si>
    <t>湖南大学</t>
  </si>
  <si>
    <t>康冉</t>
  </si>
  <si>
    <t>第二党支部纪检委员</t>
  </si>
  <si>
    <t>团委学习委员</t>
  </si>
  <si>
    <t>姚志环</t>
  </si>
  <si>
    <t>林幸</t>
  </si>
  <si>
    <t>东北大学</t>
  </si>
  <si>
    <t>骆静龙</t>
  </si>
  <si>
    <t>王言哲</t>
  </si>
  <si>
    <t>马富强</t>
  </si>
  <si>
    <t>上海理工大学</t>
  </si>
  <si>
    <t>胡帆</t>
  </si>
  <si>
    <t>陆凯华</t>
  </si>
  <si>
    <t>苏州大学</t>
  </si>
  <si>
    <t>第一党支部组织委员</t>
  </si>
  <si>
    <t>朱文川</t>
  </si>
  <si>
    <t>王璐珊</t>
  </si>
  <si>
    <t>南开大学</t>
  </si>
  <si>
    <t>俞振飞</t>
  </si>
  <si>
    <t>波士顿大学</t>
  </si>
  <si>
    <t>汪乐乐</t>
  </si>
  <si>
    <t>东南大学</t>
  </si>
  <si>
    <t>姚蜜</t>
  </si>
  <si>
    <t>管理信息应用</t>
  </si>
  <si>
    <t>李然</t>
  </si>
  <si>
    <t>南新罕布什尔大学</t>
  </si>
  <si>
    <t>崔建文</t>
  </si>
  <si>
    <t>模型开发组</t>
  </si>
  <si>
    <t>厦门大学</t>
  </si>
  <si>
    <t>23/24数据文化优秀贡献者/25专利1</t>
  </si>
  <si>
    <t>贾世林</t>
  </si>
  <si>
    <t>23数据文化优秀贡献者/25专利1</t>
  </si>
  <si>
    <t>陆文捷</t>
  </si>
  <si>
    <t>24最佳新人/25专利1</t>
  </si>
  <si>
    <t>适中</t>
  </si>
  <si>
    <t>陆雨欣</t>
  </si>
  <si>
    <t>加州大学戴维斯分校</t>
  </si>
  <si>
    <t>许阿云</t>
  </si>
  <si>
    <t>综合管理组</t>
  </si>
  <si>
    <t>综合管理</t>
  </si>
  <si>
    <t>党总支宣传委员、
第一党支部书记</t>
  </si>
  <si>
    <t>陈世辉</t>
  </si>
  <si>
    <t>23最佳新人\24最佳合作服务奖</t>
  </si>
  <si>
    <t>杨晓彦</t>
  </si>
  <si>
    <t>负责人</t>
  </si>
  <si>
    <t>伊利诺伊大学厄巴纳-香槟分校</t>
  </si>
  <si>
    <t>科长</t>
  </si>
  <si>
    <t>顾小萍</t>
  </si>
  <si>
    <t>武燕蓉</t>
  </si>
  <si>
    <t>上海工程技术大学</t>
  </si>
  <si>
    <t>24风雨同舟/24数据文化优秀贡献者</t>
  </si>
  <si>
    <t>胡超亭</t>
  </si>
  <si>
    <t>宋子夜</t>
  </si>
  <si>
    <t>马亦沁</t>
  </si>
  <si>
    <t>曹翔</t>
  </si>
  <si>
    <t>上海海洋大学</t>
  </si>
  <si>
    <t>24研究与创新奖</t>
  </si>
  <si>
    <t>乐洋</t>
  </si>
  <si>
    <t>王枫</t>
  </si>
  <si>
    <t>四川大学</t>
  </si>
  <si>
    <t>刘召龙</t>
  </si>
  <si>
    <t>占桐</t>
  </si>
  <si>
    <t>2025届校招</t>
  </si>
  <si>
    <t>伦敦国王学院</t>
  </si>
  <si>
    <t>陈彦百</t>
  </si>
  <si>
    <t>澳大利亚国立大学</t>
  </si>
  <si>
    <t>任若琳</t>
  </si>
  <si>
    <t>香港大学</t>
  </si>
  <si>
    <t>沈子新</t>
  </si>
  <si>
    <t>张雨轩</t>
  </si>
  <si>
    <t>圣路易斯华盛顿大学</t>
  </si>
  <si>
    <t>轮岗培训</t>
  </si>
  <si>
    <t>温皓文</t>
  </si>
  <si>
    <t>朱嘉玮</t>
  </si>
  <si>
    <t>吕晶</t>
  </si>
  <si>
    <t>刘雅雯</t>
  </si>
  <si>
    <t>成绘茜</t>
  </si>
  <si>
    <t>罗辰昊</t>
  </si>
  <si>
    <t>张漫</t>
  </si>
  <si>
    <t>宛蕾</t>
  </si>
  <si>
    <t>姚陈潇</t>
  </si>
  <si>
    <t>朱宇畅</t>
  </si>
  <si>
    <t>廖宇杰</t>
  </si>
  <si>
    <t>陈睿菁</t>
  </si>
  <si>
    <t>单曙兵</t>
  </si>
  <si>
    <t>中国科学技术大学/
同济大学</t>
  </si>
  <si>
    <t>党总支群工委员、
第三党支部书记</t>
  </si>
  <si>
    <t>2025行外发文1/行外获奖2</t>
  </si>
  <si>
    <t>李凯达</t>
  </si>
  <si>
    <t>天津大学</t>
  </si>
  <si>
    <t>傅潜林</t>
  </si>
  <si>
    <t>标准资产组</t>
  </si>
  <si>
    <t>王玉祥</t>
  </si>
  <si>
    <t>李焕彰</t>
  </si>
  <si>
    <t>孙菡悦</t>
  </si>
  <si>
    <t>刘思言</t>
  </si>
  <si>
    <t>上海财经大学</t>
  </si>
  <si>
    <t>李小萌</t>
  </si>
  <si>
    <t>大连理工大学</t>
  </si>
  <si>
    <t>宋轲</t>
  </si>
  <si>
    <t>上海交通大学</t>
  </si>
  <si>
    <t>张文婉</t>
  </si>
  <si>
    <t>刘子昕</t>
  </si>
  <si>
    <t>俞筱晨</t>
  </si>
  <si>
    <t>魏榕慧</t>
  </si>
  <si>
    <t>路立静</t>
  </si>
  <si>
    <t>武汉大学</t>
  </si>
  <si>
    <t>周叶珉</t>
  </si>
  <si>
    <t>新加坡国立大学</t>
  </si>
  <si>
    <t>25专利1</t>
  </si>
  <si>
    <t>张鑫</t>
  </si>
  <si>
    <t>施怡伶</t>
  </si>
  <si>
    <t>郭骏</t>
  </si>
  <si>
    <t>杜伦大学</t>
  </si>
  <si>
    <t>范佳</t>
  </si>
  <si>
    <t>李瑞敏</t>
  </si>
  <si>
    <t>韩统优</t>
  </si>
  <si>
    <t>蒋嘉石</t>
  </si>
  <si>
    <t>林子琪</t>
  </si>
  <si>
    <t>白迪</t>
  </si>
  <si>
    <t>工具开发组&amp;数据服务组负责人</t>
  </si>
  <si>
    <t>濮敏</t>
  </si>
  <si>
    <t>沈志贇</t>
  </si>
  <si>
    <t>王双钰</t>
  </si>
  <si>
    <t>爱丁堡大学</t>
  </si>
  <si>
    <t>吕丽丽</t>
  </si>
  <si>
    <t>华威大学</t>
  </si>
  <si>
    <t>陈玉思</t>
  </si>
  <si>
    <t>河海大学</t>
  </si>
  <si>
    <t>周浩</t>
  </si>
  <si>
    <t>太原理工大学</t>
  </si>
  <si>
    <t>23研究与创新奖、23数据文化优秀贡献者</t>
  </si>
  <si>
    <t>安新宜</t>
  </si>
  <si>
    <t>23最佳新人</t>
  </si>
  <si>
    <t>张放</t>
  </si>
  <si>
    <t>任欣宇</t>
  </si>
  <si>
    <t>长安大学</t>
  </si>
  <si>
    <t>刘金良</t>
  </si>
  <si>
    <t>浙江工业大学</t>
  </si>
  <si>
    <t>吴证</t>
  </si>
  <si>
    <t>应用开发组&amp;运维支持组负责人</t>
  </si>
  <si>
    <t>梅凯磊</t>
  </si>
  <si>
    <t>李敏吉</t>
  </si>
  <si>
    <t>万珊红</t>
  </si>
  <si>
    <t>刘惠</t>
  </si>
  <si>
    <t>浙江大学</t>
  </si>
  <si>
    <t>佟嘉欣</t>
  </si>
  <si>
    <t>张顺</t>
  </si>
  <si>
    <t>冯晓煜</t>
  </si>
  <si>
    <t>冯潇</t>
  </si>
  <si>
    <t>陈朗</t>
  </si>
  <si>
    <t>王新蕾</t>
  </si>
  <si>
    <t>待定</t>
  </si>
  <si>
    <t>-</t>
  </si>
  <si>
    <t>顾恺</t>
  </si>
  <si>
    <t>杨青</t>
  </si>
  <si>
    <t>第一党支部纪检委员</t>
  </si>
  <si>
    <t>田振宇</t>
  </si>
  <si>
    <t>陈科宇</t>
  </si>
  <si>
    <t>应用开发组/风险管理</t>
  </si>
  <si>
    <t>江南大学</t>
  </si>
  <si>
    <t>团委副书记</t>
  </si>
  <si>
    <t>胡庆</t>
  </si>
  <si>
    <t>2025行外发文1</t>
  </si>
  <si>
    <t>张倩</t>
  </si>
  <si>
    <t>龚毅磊</t>
  </si>
  <si>
    <t>应用开发组/监管报送</t>
  </si>
  <si>
    <t>香港中文大学</t>
  </si>
  <si>
    <t>景丞</t>
  </si>
  <si>
    <t>南京理工大学</t>
  </si>
  <si>
    <t>刘梦颖</t>
  </si>
  <si>
    <t>钱磊</t>
  </si>
  <si>
    <t>海南大学</t>
  </si>
  <si>
    <t>王子枫</t>
  </si>
  <si>
    <t>卫彩萍</t>
  </si>
  <si>
    <t>吴小倩</t>
  </si>
  <si>
    <t>电子科技大学</t>
  </si>
  <si>
    <t>徐倩茹</t>
  </si>
  <si>
    <t>东北财经大学</t>
  </si>
  <si>
    <t>陈佳宁</t>
  </si>
  <si>
    <t>应用开发组/经营管理</t>
  </si>
  <si>
    <t>中南财经政法大学</t>
  </si>
  <si>
    <t>陈笑轩</t>
  </si>
  <si>
    <t>团委宣传委员</t>
  </si>
  <si>
    <t>胡雯</t>
  </si>
  <si>
    <t>梅苏源</t>
  </si>
  <si>
    <t>阮靖龙</t>
  </si>
  <si>
    <t>张雅淇</t>
  </si>
  <si>
    <t>陈晨</t>
  </si>
  <si>
    <t>袁凯</t>
  </si>
  <si>
    <t>中国科学院大学</t>
  </si>
  <si>
    <t>王萌萌</t>
  </si>
  <si>
    <t>上海市计算技术研究所</t>
  </si>
  <si>
    <t>赵雅婷</t>
  </si>
  <si>
    <t>李禹凝</t>
  </si>
  <si>
    <t>潘修滔</t>
  </si>
  <si>
    <t>浙江理工大学</t>
  </si>
  <si>
    <t>曹婕</t>
  </si>
  <si>
    <t>中国地质大学（北京）</t>
  </si>
  <si>
    <t>郑卞钰</t>
  </si>
  <si>
    <t>华中科技大学</t>
  </si>
  <si>
    <t>诸倩铷</t>
  </si>
  <si>
    <t>吴越</t>
  </si>
  <si>
    <t>华北电力大学</t>
  </si>
  <si>
    <t>张必歌</t>
  </si>
  <si>
    <t>李凯文</t>
  </si>
  <si>
    <t>杜乐</t>
  </si>
  <si>
    <t>连静</t>
  </si>
  <si>
    <t>贺文军</t>
  </si>
  <si>
    <t>向治蓉</t>
  </si>
  <si>
    <t>张海濛</t>
  </si>
  <si>
    <t>胡楚</t>
  </si>
  <si>
    <t>乔治亚理工学院</t>
  </si>
  <si>
    <t>王晓璇</t>
  </si>
  <si>
    <t>黄澜</t>
  </si>
  <si>
    <t>曾世杰</t>
  </si>
  <si>
    <t>23、24最佳新人</t>
  </si>
  <si>
    <t>张梦琦</t>
  </si>
  <si>
    <t>监管数据治理组</t>
  </si>
  <si>
    <t>王笑丹</t>
  </si>
  <si>
    <t>李虎</t>
  </si>
  <si>
    <t>张小天</t>
  </si>
  <si>
    <t>方晴</t>
  </si>
  <si>
    <t>西安交通大学</t>
  </si>
  <si>
    <t>刘智超</t>
  </si>
  <si>
    <t>严彬华</t>
  </si>
  <si>
    <t>周逸晨</t>
  </si>
  <si>
    <t>李亦佳</t>
  </si>
  <si>
    <t>哈尔滨工程大学</t>
  </si>
  <si>
    <t>陈倩</t>
  </si>
  <si>
    <t>华东政法大学</t>
  </si>
  <si>
    <t>赵超</t>
  </si>
  <si>
    <t>香港城市大学</t>
  </si>
  <si>
    <t>徐陶然</t>
  </si>
  <si>
    <t>感谢信1</t>
  </si>
  <si>
    <t>周静</t>
  </si>
  <si>
    <t>威廉玛丽学院</t>
  </si>
  <si>
    <t>胡申民</t>
  </si>
  <si>
    <t>渤海大学</t>
  </si>
  <si>
    <t>陈超</t>
  </si>
  <si>
    <t>党总支组织委员</t>
  </si>
  <si>
    <t>祁鑫</t>
  </si>
  <si>
    <t>昆士兰大学</t>
  </si>
  <si>
    <t>黄亦豪</t>
  </si>
  <si>
    <t>王友轩</t>
  </si>
  <si>
    <t>刘雅昕</t>
  </si>
  <si>
    <t>杨沁怡</t>
  </si>
  <si>
    <t>风险模型组</t>
  </si>
  <si>
    <t>新加坡管理大学</t>
  </si>
  <si>
    <t>赵家乐</t>
  </si>
  <si>
    <t>张镓奇</t>
  </si>
  <si>
    <t>23年度宣传大使、24数据文化优秀贡献者</t>
  </si>
  <si>
    <t>张子璐</t>
  </si>
  <si>
    <t>蒋捷</t>
  </si>
  <si>
    <t>许天凝</t>
  </si>
  <si>
    <t>张峰</t>
  </si>
  <si>
    <t>清华大学/
康奈尔大学</t>
  </si>
  <si>
    <t>刘晓丹</t>
  </si>
  <si>
    <t>马文杰</t>
  </si>
  <si>
    <t>工作饱和度量化</t>
  </si>
  <si>
    <t>工作内容</t>
  </si>
  <si>
    <t>岗职适配程度</t>
  </si>
  <si>
    <t>组长/骨干标识</t>
  </si>
  <si>
    <t>截止三季度扣分事件或缺陷</t>
  </si>
  <si>
    <t>当前重点工作项（前期已收集）</t>
  </si>
  <si>
    <r>
      <rPr>
        <b/>
        <sz val="10"/>
        <rFont val="微软雅黑"/>
        <charset val="134"/>
      </rPr>
      <t>当前P0级工作任务</t>
    </r>
    <r>
      <rPr>
        <sz val="10"/>
        <rFont val="微软雅黑"/>
        <charset val="134"/>
      </rPr>
      <t>（主要投入的工程/项目/研发系统）</t>
    </r>
  </si>
  <si>
    <t>P0级工作投入占比</t>
  </si>
  <si>
    <r>
      <rPr>
        <b/>
        <sz val="10"/>
        <color rgb="FF000000"/>
        <rFont val="微软雅黑"/>
        <charset val="134"/>
      </rPr>
      <t>当前P1级工作任务</t>
    </r>
    <r>
      <rPr>
        <sz val="10"/>
        <color rgb="FF000000"/>
        <rFont val="微软雅黑"/>
        <charset val="134"/>
      </rPr>
      <t>（次要工作任务）</t>
    </r>
  </si>
  <si>
    <t>P1级工作投入占比</t>
  </si>
  <si>
    <r>
      <rPr>
        <b/>
        <sz val="10"/>
        <rFont val="微软雅黑"/>
        <charset val="134"/>
      </rPr>
      <t>其余工作任务</t>
    </r>
    <r>
      <rPr>
        <sz val="10"/>
        <rFont val="微软雅黑"/>
        <charset val="134"/>
      </rPr>
      <t>（如无可不填）</t>
    </r>
  </si>
  <si>
    <r>
      <rPr>
        <b/>
        <sz val="10"/>
        <rFont val="微软雅黑"/>
        <charset val="134"/>
      </rPr>
      <t>如该员工休假，B角人员是谁</t>
    </r>
    <r>
      <rPr>
        <sz val="10"/>
        <rFont val="微软雅黑"/>
        <charset val="134"/>
      </rPr>
      <t>（如无请填写无）</t>
    </r>
  </si>
  <si>
    <r>
      <rPr>
        <b/>
        <sz val="11"/>
        <color rgb="FF000000"/>
        <rFont val="微软雅黑"/>
        <charset val="134"/>
      </rPr>
      <t>任务难度与人员职级、技能匹配程度</t>
    </r>
    <r>
      <rPr>
        <sz val="11"/>
        <color rgb="FF000000"/>
        <rFont val="微软雅黑"/>
        <charset val="134"/>
      </rPr>
      <t xml:space="preserve">
任务难度远高/远低于个人能力
任务难度略高/略低于个人能力
基本适配</t>
    </r>
  </si>
  <si>
    <r>
      <rPr>
        <b/>
        <sz val="11"/>
        <color theme="1"/>
        <rFont val="微软雅黑"/>
        <charset val="134"/>
      </rPr>
      <t>个人状态</t>
    </r>
    <r>
      <rPr>
        <sz val="11"/>
        <color theme="1"/>
        <rFont val="微软雅黑"/>
        <charset val="134"/>
      </rPr>
      <t xml:space="preserve">
不饱和
适中
超负荷</t>
    </r>
  </si>
  <si>
    <t>超负荷</t>
  </si>
  <si>
    <t>智芯工程牵头、数据架构（数据模型）</t>
  </si>
  <si>
    <t>组长，牵头模型组建立、数据架构数仓部分工作，智芯工作收尾</t>
  </si>
  <si>
    <t>研究数据仓库肩负暨整体切换整合模型方案</t>
  </si>
  <si>
    <t>任务难度略高/略低于个人能力</t>
  </si>
  <si>
    <t>智芯工程整合模型（核心存款）、公共领域模型设计</t>
  </si>
  <si>
    <t>牵头具体模型设计工作，参与整体切换方案、整合模型规范制定等工作</t>
  </si>
  <si>
    <t>智芯整合模型收尾</t>
  </si>
  <si>
    <t>基本适配</t>
  </si>
  <si>
    <t>批量治理，批量运营，采集平台推广</t>
  </si>
  <si>
    <t>牵头数据接入组工作，批量治理，批量运营，采集平台推广</t>
  </si>
  <si>
    <t>采集平台推广，各类配合改造项目需求入仓工作</t>
  </si>
  <si>
    <t>骨干候选人</t>
  </si>
  <si>
    <t>不饱和</t>
  </si>
  <si>
    <t>一表通衍生区应用</t>
  </si>
  <si>
    <t>一表通衍生区，配合罗仁杰数据治理</t>
  </si>
  <si>
    <t>智芯工程、渠道集市、特征集市、图谱集市</t>
  </si>
  <si>
    <t>组长牵头数仓开发组工作</t>
  </si>
  <si>
    <t>对数据仓库开发工艺流程dataops、开发规范、减负等工作具体落地</t>
  </si>
  <si>
    <t>征信牵头人</t>
  </si>
  <si>
    <t>组长，数据应用组牵头人，征信牵头人</t>
  </si>
  <si>
    <t>智芯工程、整合模型（核心公共）、金融市场集市</t>
  </si>
  <si>
    <t>组长，拟纳入数据应用组，与邹小芳搭配</t>
  </si>
  <si>
    <t>牵头机构改造工作</t>
  </si>
  <si>
    <t>1104报送</t>
  </si>
  <si>
    <t>/</t>
  </si>
  <si>
    <t>新线监管组件、大集中、FAL</t>
  </si>
  <si>
    <t>大数据集群运维监控治理、数仓任务调优、hadoop集群信创、分析圈客一体化、分行数字化、一表通、标签管理平台</t>
  </si>
  <si>
    <t>大数据平台支持组负责工作，hadoop平台治理运维，hadoop信创调研</t>
  </si>
  <si>
    <t>一体化运营平台cdp技术负责人</t>
  </si>
  <si>
    <t>大数据平台运维优化、计算区平台开发治理、大数据规范优化修订、平台其他疑难杂症解决</t>
  </si>
  <si>
    <t>hadoop平台治理运维，hadoop信创调研。</t>
  </si>
  <si>
    <t>司库数据中台建设牵头架构师，技术负责人</t>
  </si>
  <si>
    <t>审计署报送2.0、客户风险、支付信息报送、信息科技非现场监管</t>
  </si>
  <si>
    <t>数据采集</t>
  </si>
  <si>
    <t>数据采集后端开发</t>
  </si>
  <si>
    <t>CRM、PCCM、数库外部数据</t>
  </si>
  <si>
    <t>CRM小组负责人，主要负责对公crm，领导零售和同业crm</t>
  </si>
  <si>
    <t>反洗钱报送、反洗钱综合管理系统、自贸区报送、智芯、技改、信创</t>
  </si>
  <si>
    <t>反洗钱小组负责人</t>
  </si>
  <si>
    <t>数据服务、实时平台、外数迁移、慧信工程</t>
  </si>
  <si>
    <t>实时平台、数据服务中心、RAD</t>
  </si>
  <si>
    <t>外部数据、架构、面试</t>
  </si>
  <si>
    <t>安新宜、刘金良</t>
  </si>
  <si>
    <t>架构设计，UDAS、掌上行、RAD、RSD的应用开发和管理</t>
  </si>
  <si>
    <t>应用开发组负责人，udas，掌上行</t>
  </si>
  <si>
    <t>智能问数，司库风险模块</t>
  </si>
  <si>
    <t>1、尽调助手
2、研报解读
3、数字化档案建设
4、风险合规智能化应用
5、办公助手建设
6、尽调报告辅助生成（hiagent智能体平台）
7、长文本智能分析优化需求
8、校招面试</t>
  </si>
  <si>
    <t>尽调助手、数字化档案建设</t>
  </si>
  <si>
    <t>研报解读
办公助手建设</t>
  </si>
  <si>
    <t>协助团队负责人团队管理工作，负责AI产品运营组日常管理工作
材料准备工作：总行监管、分行监管、人行、以及其他公司的调研材料</t>
  </si>
  <si>
    <t>无</t>
  </si>
  <si>
    <t>1、零售CRM场景建设
2、数据部助理
3、知识运营体系建设
4、e搜技改&amp;零星需求</t>
  </si>
  <si>
    <t>零售CRM场景建设</t>
  </si>
  <si>
    <t>e搜技改&amp;零星需求</t>
  </si>
  <si>
    <t>1、向量知识库项目
2、会话式人工智能服务技改
3、AIGC项目中客服场景建设
4、校招面试</t>
  </si>
  <si>
    <t>AIGC项目中客服场景建设</t>
  </si>
  <si>
    <t>向量知识库建设</t>
  </si>
  <si>
    <t xml:space="preserve">"协助团队负责人团队管理工作，负责AI基础研发日常管理工作
</t>
  </si>
  <si>
    <t>1、关联图谱平台技改项目
2、大模型应用项目（800w项目需求对接梳理工作）
3、知识图谱在员工异常行为检测方面的应用
4、隐私计算外部产品引入
5、AI手机银行2.0
6、校招面试</t>
  </si>
  <si>
    <t>大模型应用项目、关联图谱平台技改项目</t>
  </si>
  <si>
    <t>隐私计算外部产品引入、知识图谱在员工异常行为检测方面的应用</t>
  </si>
  <si>
    <t>1、模型管理
2、反电诈统筹
3、AI产品问题协助统筹
4、信用风险模型
5、校招面试</t>
  </si>
  <si>
    <t>反电诈工作牵头</t>
  </si>
  <si>
    <t>AI模型资产</t>
  </si>
  <si>
    <t>协助团队负责人团队管理工作，负责风险模型组日常管理工作
材料准备工作：协助编写汇报材料准备工作</t>
  </si>
  <si>
    <t>1、MLOPS开发建设
2、大数据建模平台运维</t>
  </si>
  <si>
    <t>MLOPS开发建设</t>
  </si>
  <si>
    <t>大数据建模平台运维</t>
  </si>
  <si>
    <t>智芯工程、整合模型（核心存款）、零售领域模型设计</t>
  </si>
  <si>
    <t>整合模型（核心存款）、零售领域模型设计</t>
  </si>
  <si>
    <t>两大工程、对公领域模型设计、票易贷项目</t>
  </si>
  <si>
    <t>对公领域模型设计</t>
  </si>
  <si>
    <t>两大工程整合模型、计财集市、FTP项目</t>
  </si>
  <si>
    <t>计财集市、司库项目</t>
  </si>
  <si>
    <t>NRP集市（UDAS,hadoop侧）</t>
  </si>
  <si>
    <t>反洗钱报送</t>
  </si>
  <si>
    <t>风险集市牵头人</t>
  </si>
  <si>
    <t>RSD应用负责人</t>
  </si>
  <si>
    <t>RSD</t>
  </si>
  <si>
    <t>架构、AI代码助手</t>
  </si>
  <si>
    <t>魏佳翔、曾敏锐</t>
  </si>
  <si>
    <t>`1</t>
  </si>
  <si>
    <t>联机服务集群、外部数据、企业资金流共享平台</t>
  </si>
  <si>
    <t>外部数据、联机服务集群、RAD</t>
  </si>
  <si>
    <t>企业资金流共享平台</t>
  </si>
  <si>
    <t>流程分析平台</t>
  </si>
  <si>
    <t>Stella、调度、dataops开发</t>
  </si>
  <si>
    <t>dataops数据测试模块开发</t>
  </si>
  <si>
    <t>调度开发</t>
  </si>
  <si>
    <t>1、反电诈模型建设
2、智能财报分析
3、校招面试</t>
  </si>
  <si>
    <t>反电诈联合办公（牵头）</t>
  </si>
  <si>
    <t>智能财报分析</t>
  </si>
  <si>
    <t>AIGC生成式技术综合应用之企业级知识问答体系建设
1.大模型底座（千帆）平台负责人
2.负责大模型基础资源(GPU)以及各类开源模型行内引入、部署以及维护
3.大模型网关建设
4.AIGC生成式技术综合应用之企业级知识问答体系建设项目经理
5、校招面试</t>
  </si>
  <si>
    <t>大模型基础服务部署、大模型平台建设</t>
  </si>
  <si>
    <t>大模型网关</t>
  </si>
  <si>
    <t>1、智能对标/安全管控模型
2、数据血缘链路梳理
3、脚本转白皮书</t>
  </si>
  <si>
    <t>脚本转白皮书、基于大模型的数据血缘链路梳理</t>
  </si>
  <si>
    <t>智能对标/安全管控模型建设</t>
  </si>
  <si>
    <t>工具开发组&amp;数据服务组管理工作</t>
  </si>
  <si>
    <t>参与应用设计，推进团队应用自主研发</t>
  </si>
  <si>
    <t>数据采集前端开发</t>
  </si>
  <si>
    <t>Stella、调度、dataops项目需求管理及开发</t>
  </si>
  <si>
    <t>dataops项目需求管理及数据测试模块开发</t>
  </si>
  <si>
    <t>stella、调度项目管理、开发、运维</t>
  </si>
  <si>
    <t>分行血缘解析</t>
  </si>
  <si>
    <t>Stella、调度、dataops开发、部署</t>
  </si>
  <si>
    <t>dataops数据测试模块开发、部署</t>
  </si>
  <si>
    <t>stella、调度项目开发、部署、运维</t>
  </si>
  <si>
    <t>Stella、调度、dataops开发、测试</t>
  </si>
  <si>
    <t>dataops数据测试模块开发、测试</t>
  </si>
  <si>
    <t>stella、调度项目开发、测试、运维</t>
  </si>
  <si>
    <t>数据对标小工具</t>
  </si>
  <si>
    <t>RAD应用负责人、外部数据接入与管理、大智慧舆情</t>
  </si>
  <si>
    <t>RAD</t>
  </si>
  <si>
    <t>大智慧舆情、外数平台</t>
  </si>
  <si>
    <t>数据服务中心</t>
  </si>
  <si>
    <t>联机服务集群</t>
  </si>
  <si>
    <t>人行征信应用负责人</t>
  </si>
  <si>
    <t>慧信工程-征信管理项目经理、技术经理，人行征信应用负责人</t>
  </si>
  <si>
    <t>外部数据管理</t>
  </si>
  <si>
    <t>外数平台</t>
  </si>
  <si>
    <t>陆凯华、安新宜</t>
  </si>
  <si>
    <t>架构、实时开发平台、数据采集平台</t>
  </si>
  <si>
    <t>实时开发平台、数据采集平台、DataOps</t>
  </si>
  <si>
    <t>架构</t>
  </si>
  <si>
    <t>应用开发组&amp;运维支持组管理工作</t>
  </si>
  <si>
    <t>负责平台部应用建设和平台支持</t>
  </si>
  <si>
    <t>UDAS、掌上行</t>
  </si>
  <si>
    <t>udas，掌上行应用技术负责人</t>
  </si>
  <si>
    <t>智能问数和司库风险模块建设</t>
  </si>
  <si>
    <t>可视化报表助手、数据门户、SAS</t>
  </si>
  <si>
    <t>Finebi，SAS，数据门户应用技术负责人</t>
  </si>
  <si>
    <t>司库</t>
  </si>
  <si>
    <t>人行征信、魔镜、信用查询网关</t>
  </si>
  <si>
    <t>慧信征信，魔镜技术负责人</t>
  </si>
  <si>
    <t>审计二期项目、试衣间项目、血缘平台</t>
  </si>
  <si>
    <t>CRM</t>
  </si>
  <si>
    <t>主要负责零售crm</t>
  </si>
  <si>
    <t>反洗钱报送、反洗钱综合管理系统、反洗钱技改项目</t>
  </si>
  <si>
    <t>应用信创项目管理</t>
  </si>
  <si>
    <t>DWS云平台&amp;集群运维优化、数据同步&amp;脱敏、数仓工具开发</t>
  </si>
  <si>
    <t>DWS数仓负责人</t>
  </si>
  <si>
    <t>大数据集群运维、数仓任务调优、数据安全脱敏网关、用户即席查询治理和优化、大数据元数据知识同步数据门户</t>
  </si>
  <si>
    <t>hadoop平台运维，时效治理</t>
  </si>
  <si>
    <t>数据查询网关</t>
  </si>
  <si>
    <t>大数据集群运维、数仓任务SQL调优、一表通、数据同步事项</t>
  </si>
  <si>
    <t>hadoop平台运维</t>
  </si>
  <si>
    <t>一表通3期</t>
  </si>
  <si>
    <t>休假中</t>
  </si>
  <si>
    <t>数据开发部全面管理工作</t>
  </si>
  <si>
    <t>数据开发部协管工作</t>
  </si>
  <si>
    <t>慧信工程、数仓P层、整合模型</t>
  </si>
  <si>
    <t>整合模型</t>
  </si>
  <si>
    <t>RSD应用衍生区</t>
  </si>
  <si>
    <t>RAD应用衍生区</t>
  </si>
  <si>
    <t>征信报送</t>
  </si>
  <si>
    <t>旧线监管集市、利率报备、利率明细、LPR报表、非居民涉税、账户报送1.0、2.0</t>
  </si>
  <si>
    <t>EAST、信用卡主题报表、跨应用数据检核</t>
  </si>
  <si>
    <t>金融基础数据、一表通三期项目</t>
  </si>
  <si>
    <t>监管报送UPR集市</t>
  </si>
  <si>
    <t>监管报送架构师、产品经理</t>
  </si>
  <si>
    <t>区域特色、审计署1.0、现金统计报送、税务账户信息报送</t>
  </si>
  <si>
    <t>Stella、调度、dataops架构管理</t>
  </si>
  <si>
    <t>工具开发组负责人；DataOps产品、架构、项目管理；司库监管报送模块架构管理</t>
  </si>
  <si>
    <t>stella、调度产品、架构、运维</t>
  </si>
  <si>
    <t>支付结算合规明细、标准化存贷款（成都）、保证贷款、大额现金、非居民涉税</t>
  </si>
  <si>
    <t>NRP集市（UDAS,DWS侧）</t>
  </si>
  <si>
    <t>UDAS（对公、风险）</t>
  </si>
  <si>
    <t>UDAS（金市、网金、运营等）</t>
  </si>
  <si>
    <t>CRM集市</t>
  </si>
  <si>
    <t>UDAS(牵头及零售)</t>
  </si>
  <si>
    <t>零售集市、接口集市、公共集市</t>
  </si>
  <si>
    <t>零售集市、实时数仓零售板块、标签管理</t>
  </si>
  <si>
    <t>智芯工程、公共集市、整合模型（核心账卡折）</t>
  </si>
  <si>
    <t>公共集市、整合模型（核心账卡折）</t>
  </si>
  <si>
    <t>智芯工程、公共集市</t>
  </si>
  <si>
    <t>公共集市</t>
  </si>
  <si>
    <t>信用卡集市</t>
  </si>
  <si>
    <t>对公集市（休假中）</t>
  </si>
  <si>
    <t>两大工程、整合模型、小金风险集市、零售风险集市</t>
  </si>
  <si>
    <t>整合模型、小金风险集市、零售风险集市</t>
  </si>
  <si>
    <t>网金集市、客服集市</t>
  </si>
  <si>
    <t>对公集市、票易贷项目</t>
  </si>
  <si>
    <t>已调出开发部</t>
  </si>
  <si>
    <t>智芯工程数据接入</t>
  </si>
  <si>
    <t>数据接入</t>
  </si>
  <si>
    <t>实时数仓开发（微批）</t>
  </si>
  <si>
    <t>智能创新部全面管理工作</t>
  </si>
  <si>
    <t xml:space="preserve">
负责全行AI工作规划、推进AI场景应用落地与团队管理工作</t>
  </si>
  <si>
    <t>1、尽调助手场景建设
2、数字档案系统建设</t>
  </si>
  <si>
    <t>尽调助手场景研发</t>
  </si>
  <si>
    <t>数字档案系统建设</t>
  </si>
  <si>
    <t>AI手机银行
AI手机银行2.0</t>
  </si>
  <si>
    <t>AI手机银行</t>
  </si>
  <si>
    <t>大模型智能体平台建设&amp;运营</t>
  </si>
  <si>
    <t>大模型安全防护</t>
  </si>
  <si>
    <t>即将转岗，未安排重点工作</t>
  </si>
  <si>
    <t>向量知识库项目</t>
  </si>
  <si>
    <t>极客大赛</t>
  </si>
  <si>
    <t>即将转岗，不再继续安排重点工作</t>
  </si>
  <si>
    <t>王友轩、黄亦豪</t>
  </si>
  <si>
    <t>1、智能问数自研
2、e慧搜技改升级项目
3、数字化档案建设</t>
  </si>
  <si>
    <t>智能问数自研
数字化档案建设</t>
  </si>
  <si>
    <t>e慧搜技改升级项目</t>
  </si>
  <si>
    <t>1、智能问数
2、智能客服项目
3、司库项目</t>
  </si>
  <si>
    <t>智能客服项目、司库项目</t>
  </si>
  <si>
    <t>智能问数</t>
  </si>
  <si>
    <t>1、向量知识库
2、会话式人工技改
3、企业网银助手、网金、金市板块大模型场景建设</t>
  </si>
  <si>
    <t>向量知识库、会话式人工技改</t>
  </si>
  <si>
    <t>企业网银助手、网金、金市板块大模型场景建设</t>
  </si>
  <si>
    <t>1、零售CRM场景建设
2、Dify平台使用问题收集与排期优化</t>
  </si>
  <si>
    <t>Dify平台使用问题收集与排期优化</t>
  </si>
  <si>
    <t>1、反电诈-实时模型开发
2、大模型辅助风控建模探索</t>
  </si>
  <si>
    <t>反电诈-实时模型开发</t>
  </si>
  <si>
    <t>大模型辅助风控建模探索</t>
  </si>
  <si>
    <t>1、反电诈--警银协作
2，信用风险模型评审</t>
  </si>
  <si>
    <t>反电诈--警银协作</t>
  </si>
  <si>
    <t>信用风险模型评审</t>
  </si>
  <si>
    <t>反电诈-外数引入及运营监测体系建设</t>
  </si>
  <si>
    <t>信用风险模型相关、MLOPS产品设计</t>
  </si>
  <si>
    <t>信用风险模型规划</t>
  </si>
  <si>
    <t>MLOPS产品设计</t>
  </si>
  <si>
    <t>年度观测：人才梯队健康度/结构合理性、高潜力员工挖掘、专业水平提升、流动性分析、员工360环评等。</t>
  </si>
  <si>
    <t>类别</t>
  </si>
  <si>
    <t>指标名称</t>
  </si>
  <si>
    <t>指标口径</t>
  </si>
  <si>
    <t>数据来源</t>
  </si>
  <si>
    <t>更新频率</t>
  </si>
  <si>
    <t>基础数据是否已获取</t>
  </si>
  <si>
    <t>配套动作</t>
  </si>
  <si>
    <t>基本信息
（人才梯队健康度）</t>
  </si>
  <si>
    <t>年龄</t>
  </si>
  <si>
    <t>EHR系统</t>
  </si>
  <si>
    <t>是</t>
  </si>
  <si>
    <t>学历</t>
  </si>
  <si>
    <t>专业</t>
  </si>
  <si>
    <t>司龄</t>
  </si>
  <si>
    <t>年度</t>
  </si>
  <si>
    <t>工龄</t>
  </si>
  <si>
    <t>所在科室</t>
  </si>
  <si>
    <t>所在组</t>
  </si>
  <si>
    <t>任职岗位名称</t>
  </si>
  <si>
    <t>工作量化数据
（看负荷）</t>
  </si>
  <si>
    <t>近2年牵头项目个数</t>
  </si>
  <si>
    <t>ADPM</t>
  </si>
  <si>
    <t>近2年参与项目个数</t>
  </si>
  <si>
    <t>手工数据</t>
  </si>
  <si>
    <t>负责的系统个数</t>
  </si>
  <si>
    <t>是否参与过重大工程</t>
  </si>
  <si>
    <t>近1年是否在党、工、团等组织中任职</t>
  </si>
  <si>
    <t>党、工、团等组织中的任职职务</t>
  </si>
  <si>
    <t>岗位变更次数</t>
  </si>
  <si>
    <t>特殊岗位/职责标识
（看角色）</t>
  </si>
  <si>
    <t>产品经理标识</t>
  </si>
  <si>
    <t>架构师标识</t>
  </si>
  <si>
    <t>学习与培养
（看潜力）</t>
  </si>
  <si>
    <t>近2年行外发表的论文、杂志的数量</t>
  </si>
  <si>
    <t>近2年获得的部门级以上奖励、荣誉数量</t>
  </si>
  <si>
    <t>近2年获得的部门级以上的最高荣誉名称</t>
  </si>
  <si>
    <t>年度部门内分享/培训次数（作为培训者）</t>
  </si>
  <si>
    <t>培训系统数据</t>
  </si>
  <si>
    <t>年度部门外培训次数（作为培训者）</t>
  </si>
  <si>
    <t>年度部门外培训次数（作为被培训者）</t>
  </si>
  <si>
    <t>年度部门内分享/培训次数（作为被培训者）</t>
  </si>
  <si>
    <t>近2年带教的实习生数量</t>
  </si>
  <si>
    <t>综合台账登记</t>
  </si>
  <si>
    <t>近2年带教的校招新行员的数量</t>
  </si>
  <si>
    <t>近2年带教的实习生转正数量</t>
  </si>
  <si>
    <t>近2年带教的校招新行员转正成绩为A的数量</t>
  </si>
  <si>
    <t>近3个月查看知识库会议纪要次数</t>
  </si>
  <si>
    <t>智能知识库系统</t>
  </si>
  <si>
    <t>当年资质证书获取情况</t>
  </si>
  <si>
    <t>台账登记</t>
  </si>
  <si>
    <t>硬实力
（看技能）</t>
  </si>
  <si>
    <t>数据分析师-数据分析工具运用能力</t>
  </si>
  <si>
    <t>技能考试/证书获取</t>
  </si>
  <si>
    <t>否</t>
  </si>
  <si>
    <t>技能考试</t>
  </si>
  <si>
    <t>数据分析师-算法模型开发能力</t>
  </si>
  <si>
    <t>数据分析师-营销运营能力</t>
  </si>
  <si>
    <t>数据研发师-SQL开发</t>
  </si>
  <si>
    <t>数据研发师-数据模型设计</t>
  </si>
  <si>
    <t>数据研发师-业务理解</t>
  </si>
  <si>
    <t>应用研发-技术架构设计</t>
  </si>
  <si>
    <t>应用研发-应用开发能力</t>
  </si>
  <si>
    <t>AI算法工程师-数学与建模理论基础</t>
  </si>
  <si>
    <t>AI算法工程师-编程与工程实现</t>
  </si>
  <si>
    <t>软实力
（看发展）</t>
  </si>
  <si>
    <t>学习能力</t>
  </si>
  <si>
    <t>专业测评问卷</t>
  </si>
  <si>
    <t>创新思维</t>
  </si>
  <si>
    <t>任务拆解能力</t>
  </si>
  <si>
    <t>360环评
（看协作）</t>
  </si>
  <si>
    <t>综合评价（A+、A、A-、B、B-）-直属上级</t>
  </si>
  <si>
    <t>组织力测评问卷</t>
  </si>
  <si>
    <t>综合评价（A+、A、A-、B、B-）-同级同事</t>
  </si>
  <si>
    <t>综合评价（A+、A、A-、B、B-）-下级（如有）</t>
  </si>
  <si>
    <t>兴趣爱好与特长</t>
  </si>
  <si>
    <t>特长</t>
  </si>
  <si>
    <t>测评问卷</t>
  </si>
  <si>
    <t>兴趣爱好</t>
  </si>
  <si>
    <t>360评估，CPI测评结果</t>
  </si>
  <si>
    <t>月度主要监测：人员饱和度，员工异常行为数据，特殊事件分析（好坏两面），
为部门资源调配提供数据支撑，对异常员工行为提前预警、提前干预，潜力员工挖掘。</t>
  </si>
  <si>
    <t>目前数据是否已获取</t>
  </si>
  <si>
    <t>基本信息
（看结构）</t>
  </si>
  <si>
    <t>日常行为数据
（看负荷）</t>
  </si>
  <si>
    <t>当前牵头项目个数</t>
  </si>
  <si>
    <t>月度</t>
  </si>
  <si>
    <t>当前牵头需求个数</t>
  </si>
  <si>
    <t>考勤异常次数</t>
  </si>
  <si>
    <t>考勤系统</t>
  </si>
  <si>
    <t>加班平均时长/月</t>
  </si>
  <si>
    <t>加班1h以下频次</t>
  </si>
  <si>
    <t>当前负责的系统个数</t>
  </si>
  <si>
    <t>ADPM系统</t>
  </si>
  <si>
    <t>信管、信统有哪些数据可支撑？是否要管理那么精细？</t>
  </si>
  <si>
    <t>当月变更任务数</t>
  </si>
  <si>
    <t>管控中台</t>
  </si>
  <si>
    <t>当月部门活动参与度（频次）</t>
  </si>
  <si>
    <t>季度</t>
  </si>
  <si>
    <t>当年部门活动参与度（频次）</t>
  </si>
  <si>
    <t>当月行外发表的论文、杂志的数量</t>
  </si>
  <si>
    <t>当月获得的部门级以上奖励、荣誉数量</t>
  </si>
  <si>
    <t>年累计部门内分享/培训次数（作为培训者）</t>
  </si>
  <si>
    <t>年累计部门外培训次数（作为培训者）</t>
  </si>
  <si>
    <t>年累计部门外培训次数（作为被培训者）</t>
  </si>
  <si>
    <t>年累计部门内分享/培训次数（作为被培训者）</t>
  </si>
  <si>
    <t>当前带教的实习生数量</t>
  </si>
  <si>
    <t>当前带教的校招新行员的数量</t>
  </si>
  <si>
    <t>画像分为以下三个维度：</t>
  </si>
  <si>
    <t>​​业绩与经验维度：回答“他/她过去做了什么？做得怎么样？”——这是​​过去时​​的证明。</t>
  </si>
  <si>
    <t>​​能力与行为维度：回答“他/她是如何完成工作的？具备什么能力？”——这是​​现在时​​的展现。</t>
  </si>
  <si>
    <t>​​潜能与特质维度：回答“他/她未来还能做什么？成长潜力如何？”——这是​​未来时​​的预测。</t>
  </si>
  <si>
    <t>评估维度</t>
  </si>
  <si>
    <t>具体指标</t>
  </si>
  <si>
    <t>​​1. 业绩与经验​​</t>
  </si>
  <si>
    <t>​​基础背景​​</t>
  </si>
  <si>
    <t>最高学历、院校背景</t>
  </si>
  <si>
    <t>专业与岗位匹配度</t>
  </si>
  <si>
    <t>工龄/司龄、本岗位年限</t>
  </si>
  <si>
    <t>曾经的工作履历、任职岗位</t>
  </si>
  <si>
    <t>​​项目历练​​</t>
  </si>
  <si>
    <t>ADPM系统、年度述职报告</t>
  </si>
  <si>
    <t>近3年​​主导​​的重大项目数及成效</t>
  </si>
  <si>
    <t>近3年​​参与​​的跨部门项目数</t>
  </si>
  <si>
    <t>成功的​​危机/突发事件​​处理案例</t>
  </si>
  <si>
    <t>​​绩效与荣誉​​</t>
  </si>
  <si>
    <t>近3年绩效评定结果（最好有曲线图）</t>
  </si>
  <si>
    <t>获得部门级/全行级荣誉次数</t>
  </si>
  <si>
    <t>科室OKR贡献 个人OKR/KPI平均达成率</t>
  </si>
  <si>
    <t>​​组织贡献​​</t>
  </si>
  <si>
    <t>人事部门、党工团信息、知识贡献度</t>
  </si>
  <si>
    <t>在党、工、团等组织中的任职情况</t>
  </si>
  <si>
    <t>行外发表的论文、杂志的数量</t>
  </si>
  <si>
    <t>担任内部讲师（年度主动分享培训次数）、实习生/新行员导师等情况</t>
  </si>
  <si>
    <t>​​2. 能力与行为​​</t>
  </si>
  <si>
    <t>​​核心能力评价​​</t>
  </si>
  <si>
    <t>1、采取关键事件举例法，把好的行为和不好的行为进行描述，赋予分值。
2、360度环评：自评、上级、平级同事、下级（如有）。</t>
  </si>
  <si>
    <t>专业胜任力​​（360度环评）</t>
  </si>
  <si>
    <t>协作与影响力​​（360度环评）</t>
  </si>
  <si>
    <t>沟通与执行力​​（360度环评）</t>
  </si>
  <si>
    <t>​​3. 潜能与特质​​</t>
  </si>
  <si>
    <t>​​性格特质​​</t>
  </si>
  <si>
    <t>专业机构测评问卷：问卷1-职场压力测试，问卷2-PHP新质人才与新质团队调研，问卷分析。
EHR（培训记录）、访谈</t>
  </si>
  <si>
    <t>责任感</t>
  </si>
  <si>
    <t>情绪稳定性与抗压能力</t>
  </si>
  <si>
    <t>内驱力（自我学习投入时间、技能认证）</t>
  </si>
  <si>
    <t>价值观契合度（团队文化认可度）</t>
  </si>
  <si>
    <t>​​发展潜质​​</t>
  </si>
  <si>
    <t>主动参加培训/考试情况、关键事件举例法。</t>
  </si>
  <si>
    <t>学习敏锐度：快速学习并应用于新情境的能力</t>
  </si>
  <si>
    <t>领导力潜质：展现出的带领、影响他人的潜力</t>
  </si>
  <si>
    <t>战略思维：看问题的高度和长远度</t>
  </si>
  <si>
    <t>态度和能力用关键事件举例法</t>
  </si>
  <si>
    <t>1、把好的行为和不好的行为进行描述，赋予分值。</t>
  </si>
  <si>
    <t>2、员工自评，自评等级高的时候需要举例说明；科长评分，和员工自评不一样的时候也要举事件说明。</t>
  </si>
  <si>
    <t>科室</t>
  </si>
  <si>
    <t>调出/离职日期</t>
  </si>
  <si>
    <t>性质</t>
  </si>
  <si>
    <t>原因</t>
  </si>
  <si>
    <t>去向</t>
  </si>
  <si>
    <t>王菲菲</t>
  </si>
  <si>
    <t>调出</t>
  </si>
  <si>
    <t>主动申请调出</t>
  </si>
  <si>
    <t>风险管理部</t>
  </si>
  <si>
    <t>赵超起</t>
  </si>
  <si>
    <t>履职回避原则</t>
  </si>
  <si>
    <t>网络金融部</t>
  </si>
  <si>
    <t>履职回避原则 金科段少楠</t>
  </si>
  <si>
    <t>陈锋</t>
  </si>
  <si>
    <t>离职</t>
  </si>
  <si>
    <t>出国工作日本</t>
  </si>
  <si>
    <t>日本</t>
  </si>
  <si>
    <t>高梦瑶</t>
  </si>
  <si>
    <t>零售业务部</t>
  </si>
  <si>
    <t>彭坤</t>
  </si>
  <si>
    <t>刘满</t>
  </si>
  <si>
    <t>感觉工作没什么收获，薪酬也变低了</t>
  </si>
  <si>
    <t>未鲲科技服务有限公司</t>
  </si>
  <si>
    <t>朱田成</t>
  </si>
  <si>
    <t>向往发展空间更大的公司，对薪水期待更高</t>
  </si>
  <si>
    <t>携程</t>
  </si>
  <si>
    <t>余翠</t>
  </si>
  <si>
    <t>回老家结婚</t>
  </si>
  <si>
    <t>湖北银行</t>
  </si>
  <si>
    <t>白旭</t>
  </si>
  <si>
    <t>家庭原因</t>
  </si>
  <si>
    <t>与父母同行业</t>
  </si>
  <si>
    <t>蔡雪</t>
  </si>
  <si>
    <t>智能问数工作压力大</t>
  </si>
  <si>
    <t>平安-陆金所</t>
  </si>
  <si>
    <t>谭学彤</t>
  </si>
  <si>
    <t>感觉工作没什么收获，薪酬也变低了，工作分工上偏于综合（打杂/写材料），没有成就感。考核近两年也不好。</t>
  </si>
  <si>
    <t>证券公司</t>
  </si>
  <si>
    <t>陆怡晴</t>
  </si>
  <si>
    <t>向往发展空间更大的公司</t>
  </si>
  <si>
    <t>深圳字节</t>
  </si>
  <si>
    <t>张琛玥</t>
  </si>
  <si>
    <t>工作安排偏边缘化，成就感/获得感不足，感觉未受到上级重视。</t>
  </si>
  <si>
    <t>暂无找到</t>
  </si>
  <si>
    <t>杭州分行</t>
  </si>
  <si>
    <t>金融市场部</t>
  </si>
  <si>
    <t>孙卫</t>
  </si>
  <si>
    <t>互联网</t>
  </si>
  <si>
    <t>周纲林</t>
  </si>
  <si>
    <t>回武汉，工作去向未定</t>
  </si>
  <si>
    <t>林焦奇</t>
  </si>
  <si>
    <t>未知</t>
  </si>
  <si>
    <t>郑贻纹</t>
  </si>
  <si>
    <t>杭州西湖财政局</t>
  </si>
  <si>
    <t>张弯</t>
  </si>
  <si>
    <t>回老家休养</t>
  </si>
  <si>
    <t>许鹏健</t>
  </si>
  <si>
    <t>中国大地财产保险股份有限公司</t>
  </si>
  <si>
    <t>宋欣瑞</t>
  </si>
  <si>
    <t>李嘉杰</t>
  </si>
  <si>
    <t>互联网公司</t>
  </si>
  <si>
    <t>王轩儒</t>
  </si>
  <si>
    <t>字节跳动</t>
  </si>
  <si>
    <t>徐亦浩</t>
  </si>
  <si>
    <t>调动</t>
  </si>
  <si>
    <t>审计部</t>
  </si>
  <si>
    <t>王鹏洪</t>
  </si>
  <si>
    <t>退休</t>
  </si>
  <si>
    <t>数字化转型与客户体验部</t>
  </si>
  <si>
    <t>工号</t>
  </si>
  <si>
    <t>组名</t>
  </si>
  <si>
    <t>标识</t>
  </si>
  <si>
    <t>319957</t>
  </si>
  <si>
    <t>302570</t>
  </si>
  <si>
    <t>305042</t>
  </si>
  <si>
    <t>304064</t>
  </si>
  <si>
    <t>304795</t>
  </si>
  <si>
    <t>307234</t>
  </si>
  <si>
    <t>307351</t>
  </si>
  <si>
    <t>302551</t>
  </si>
  <si>
    <t>306836</t>
  </si>
  <si>
    <t>303401</t>
  </si>
  <si>
    <t>319909</t>
  </si>
  <si>
    <t>306774</t>
  </si>
  <si>
    <t>305069</t>
  </si>
  <si>
    <t>303467</t>
  </si>
  <si>
    <t>304612</t>
  </si>
  <si>
    <t>302505</t>
  </si>
  <si>
    <t>306863</t>
  </si>
  <si>
    <t>303064</t>
  </si>
  <si>
    <t>306860</t>
  </si>
  <si>
    <t>303493</t>
  </si>
  <si>
    <t>304304</t>
  </si>
  <si>
    <t>304615</t>
  </si>
  <si>
    <t>306253</t>
  </si>
  <si>
    <t>301732</t>
  </si>
  <si>
    <t>303060</t>
  </si>
  <si>
    <t>303473</t>
  </si>
  <si>
    <t>306252</t>
  </si>
  <si>
    <t>303494</t>
  </si>
  <si>
    <t>304814</t>
  </si>
  <si>
    <t>305421</t>
  </si>
  <si>
    <t>304765</t>
  </si>
  <si>
    <t>305026</t>
  </si>
  <si>
    <t>305131</t>
  </si>
  <si>
    <t>303450</t>
  </si>
  <si>
    <t>303471</t>
  </si>
  <si>
    <t>304775</t>
  </si>
  <si>
    <t>304826</t>
  </si>
  <si>
    <t>305484</t>
  </si>
  <si>
    <t>302573</t>
  </si>
  <si>
    <t>306811</t>
  </si>
  <si>
    <t>302547</t>
  </si>
  <si>
    <t>303308</t>
  </si>
  <si>
    <t>304778</t>
  </si>
  <si>
    <t>304071</t>
  </si>
  <si>
    <t>304813</t>
  </si>
  <si>
    <t>305397</t>
  </si>
  <si>
    <t>306813</t>
  </si>
  <si>
    <t>303422</t>
  </si>
  <si>
    <t>304095</t>
  </si>
  <si>
    <t>301846</t>
  </si>
  <si>
    <t>303439</t>
  </si>
  <si>
    <t>304059</t>
  </si>
  <si>
    <t>305278</t>
  </si>
  <si>
    <t>306544</t>
  </si>
  <si>
    <t>305447</t>
  </si>
  <si>
    <t>303477</t>
  </si>
  <si>
    <t>302853</t>
  </si>
  <si>
    <t>303423</t>
  </si>
  <si>
    <t>306537</t>
  </si>
  <si>
    <t>领域</t>
  </si>
  <si>
    <t>应用性质</t>
  </si>
  <si>
    <t>应用标识</t>
  </si>
  <si>
    <t>应用</t>
  </si>
  <si>
    <t>架构师队伍</t>
  </si>
  <si>
    <t>产品经理/架构师</t>
  </si>
  <si>
    <t>应用个数</t>
  </si>
  <si>
    <t>架构组长</t>
  </si>
  <si>
    <t>架构组员</t>
  </si>
  <si>
    <t>数据平台底座</t>
  </si>
  <si>
    <t>基础基建类</t>
  </si>
  <si>
    <t>BDPHDP</t>
  </si>
  <si>
    <t>Hadoop集群</t>
  </si>
  <si>
    <t>吴证、刘金良、李天卓、李响</t>
  </si>
  <si>
    <t>同架构</t>
  </si>
  <si>
    <t>BDPEDB</t>
  </si>
  <si>
    <t>Kafka消息集群</t>
  </si>
  <si>
    <t>BDPRTDP</t>
  </si>
  <si>
    <t>实时数据集群</t>
  </si>
  <si>
    <t>BDPOSC</t>
  </si>
  <si>
    <t>BDPDWS</t>
  </si>
  <si>
    <t>DWS数据集群</t>
  </si>
  <si>
    <t>数据研发运营一体化（dataops）</t>
  </si>
  <si>
    <t>研发工具</t>
  </si>
  <si>
    <t>DAT</t>
  </si>
  <si>
    <t>数据采集工具</t>
  </si>
  <si>
    <t>曹宁远、鞠爱宁、魏佳翔、李响</t>
  </si>
  <si>
    <t>RTDP</t>
  </si>
  <si>
    <t>实时开发平台</t>
  </si>
  <si>
    <t>ODD</t>
  </si>
  <si>
    <t>离线数据开发</t>
  </si>
  <si>
    <t>DTP</t>
  </si>
  <si>
    <t>数据测试平台</t>
  </si>
  <si>
    <t>DOP</t>
  </si>
  <si>
    <t>数据运维平台</t>
  </si>
  <si>
    <t>USP</t>
  </si>
  <si>
    <t>统一调度平台</t>
  </si>
  <si>
    <t>CHS</t>
  </si>
  <si>
    <t>冷热分离工具</t>
  </si>
  <si>
    <t>安全工具</t>
  </si>
  <si>
    <t>DMM</t>
  </si>
  <si>
    <t>数据脱敏工具</t>
  </si>
  <si>
    <t>DSDGS</t>
  </si>
  <si>
    <t>数据安全脱敏网关系统</t>
  </si>
  <si>
    <t>数据资产</t>
  </si>
  <si>
    <t>DLA</t>
  </si>
  <si>
    <t>智能数据血缘分析工具</t>
  </si>
  <si>
    <t>DAMP</t>
  </si>
  <si>
    <t>数据资产管理</t>
  </si>
  <si>
    <t>DATP</t>
  </si>
  <si>
    <t>数据资产门户</t>
  </si>
  <si>
    <t>EDM</t>
  </si>
  <si>
    <t>数据质量</t>
  </si>
  <si>
    <t>DQMP</t>
  </si>
  <si>
    <t>数据质量管理平台</t>
  </si>
  <si>
    <t>不适用</t>
  </si>
  <si>
    <t>SFGW</t>
  </si>
  <si>
    <t>大智慧舆情</t>
  </si>
  <si>
    <t>BDEG</t>
  </si>
  <si>
    <t>大数据外联网关</t>
  </si>
  <si>
    <t>DMC</t>
  </si>
  <si>
    <t>策略运营服务</t>
  </si>
  <si>
    <t>LBS</t>
  </si>
  <si>
    <t>标签平台</t>
  </si>
  <si>
    <t>ACCI</t>
  </si>
  <si>
    <t>分析圈客一体化</t>
  </si>
  <si>
    <t>经营管理服务</t>
  </si>
  <si>
    <t>VRI</t>
  </si>
  <si>
    <t>可视化报表助手</t>
  </si>
  <si>
    <t>DAM</t>
  </si>
  <si>
    <t>数据分析挖掘（sas）</t>
  </si>
  <si>
    <t>UDAS</t>
  </si>
  <si>
    <t>统一报表及指标平台</t>
  </si>
  <si>
    <t>AMBI</t>
  </si>
  <si>
    <t>掌上行</t>
  </si>
  <si>
    <t>DQAA</t>
  </si>
  <si>
    <t>智能问数助手</t>
  </si>
  <si>
    <t>分析工具</t>
  </si>
  <si>
    <t>CDMM</t>
  </si>
  <si>
    <t>神农数据开发平台
（stella sql查询工具）</t>
  </si>
  <si>
    <t>BDM</t>
  </si>
  <si>
    <t>开源算法平台</t>
  </si>
  <si>
    <t>RMM</t>
  </si>
  <si>
    <t>模型实验室</t>
  </si>
  <si>
    <t>客户经营</t>
  </si>
  <si>
    <t>客户关系管理</t>
  </si>
  <si>
    <t>RCRM</t>
  </si>
  <si>
    <t>零售客户关系管理</t>
  </si>
  <si>
    <t>陆雨欣、范佳</t>
  </si>
  <si>
    <t>ICRM</t>
  </si>
  <si>
    <t>同业客户关系管理</t>
  </si>
  <si>
    <t>CCRM</t>
  </si>
  <si>
    <t>公司客户关系管理</t>
  </si>
  <si>
    <t>PCCM</t>
  </si>
  <si>
    <t>潜客发掘</t>
  </si>
  <si>
    <t>AI人工智能</t>
  </si>
  <si>
    <t>模型管理与应用</t>
  </si>
  <si>
    <t>IALT</t>
  </si>
  <si>
    <t>长文本智能分析</t>
  </si>
  <si>
    <t>刘金良、胡申民、于中宝</t>
  </si>
  <si>
    <t>IRE</t>
  </si>
  <si>
    <t>智能推荐引擎</t>
  </si>
  <si>
    <t>RG</t>
  </si>
  <si>
    <t>关联图谱</t>
  </si>
  <si>
    <t>CBOS</t>
  </si>
  <si>
    <t>百应大模型平台</t>
  </si>
  <si>
    <t>CIA</t>
  </si>
  <si>
    <t>代码智能助手</t>
  </si>
  <si>
    <t>LLMA</t>
  </si>
  <si>
    <t>大模型智能体</t>
  </si>
  <si>
    <t>DDRA</t>
  </si>
  <si>
    <t>尽调报告助手</t>
  </si>
  <si>
    <t>CSIA</t>
  </si>
  <si>
    <t>大模型客服助手</t>
  </si>
  <si>
    <t>CAIS</t>
  </si>
  <si>
    <t>会话式人工智能服务</t>
  </si>
  <si>
    <t>EIS</t>
  </si>
  <si>
    <t>E慧搜</t>
  </si>
  <si>
    <t>PCP</t>
  </si>
  <si>
    <t>隐私计算建模</t>
  </si>
  <si>
    <t>数据仓库及计算区</t>
  </si>
  <si>
    <t>数仓服务</t>
  </si>
  <si>
    <t>EDWHDAP</t>
  </si>
  <si>
    <t>Hadoop数据仓库</t>
  </si>
  <si>
    <t>杨青、陆慧、罗仁杰、吴证、史朋飞</t>
  </si>
  <si>
    <t>EDWDWS</t>
  </si>
  <si>
    <t>DWS数据仓库</t>
  </si>
  <si>
    <t>EDWRTDW</t>
  </si>
  <si>
    <t>实时数据仓库</t>
  </si>
  <si>
    <t>CAFBDM</t>
  </si>
  <si>
    <t>金融基础数据模型计算区</t>
  </si>
  <si>
    <t>CARSR</t>
  </si>
  <si>
    <t>监管报送应用计算区</t>
  </si>
  <si>
    <t>CAML</t>
  </si>
  <si>
    <t>模型实验室应用计算区</t>
  </si>
  <si>
    <t>CACRMM</t>
  </si>
  <si>
    <t>信用风险管理监测应用计算区</t>
  </si>
  <si>
    <t>CACRS</t>
  </si>
  <si>
    <t>征信管理应用计算区</t>
  </si>
  <si>
    <t>风险计量与监测应用</t>
  </si>
  <si>
    <t>风险计量</t>
  </si>
  <si>
    <t>信用风险监测预警</t>
  </si>
  <si>
    <t>鞠爱宁、胡帆</t>
  </si>
  <si>
    <t>风险底线排查</t>
  </si>
  <si>
    <t>MMM</t>
  </si>
  <si>
    <t>魔镜智能风控</t>
  </si>
  <si>
    <t>IAFS</t>
  </si>
  <si>
    <t>CRPBC</t>
  </si>
  <si>
    <t>人行证信</t>
  </si>
  <si>
    <t>CFFIS</t>
  </si>
  <si>
    <t>企业资金流信息共享</t>
  </si>
  <si>
    <t>IAMS</t>
  </si>
  <si>
    <t>审计综合管理系统</t>
  </si>
  <si>
    <t>监管报送</t>
  </si>
  <si>
    <t>RCI</t>
  </si>
  <si>
    <t>综合监管报送</t>
  </si>
  <si>
    <t>吴证、魏佳翔</t>
  </si>
  <si>
    <t>RBAC</t>
  </si>
  <si>
    <t>银保监报送</t>
  </si>
  <si>
    <t>RBRP</t>
  </si>
  <si>
    <t>村镇银行报送</t>
  </si>
  <si>
    <t>RTZ</t>
  </si>
  <si>
    <t>监管可信区</t>
  </si>
  <si>
    <t>FIBDS</t>
  </si>
  <si>
    <t>金融基础数据统计报送</t>
  </si>
  <si>
    <t>PBGW</t>
  </si>
  <si>
    <t>人行报送网关</t>
  </si>
  <si>
    <t>RTZCGW</t>
  </si>
  <si>
    <t>监管可信区外联网关</t>
  </si>
  <si>
    <t>RPBC</t>
  </si>
  <si>
    <t>央行监管报送</t>
  </si>
  <si>
    <t>PISA</t>
  </si>
  <si>
    <t>支付信息报送</t>
  </si>
  <si>
    <t>ADCR</t>
  </si>
  <si>
    <t>会计数据集中报送</t>
  </si>
  <si>
    <t>CRSR</t>
  </si>
  <si>
    <t>客户风险统计报送</t>
  </si>
  <si>
    <t>FTTR</t>
  </si>
  <si>
    <t>自贸区报送</t>
  </si>
  <si>
    <t>AMLR</t>
  </si>
  <si>
    <t>AMLIMS</t>
  </si>
  <si>
    <t>反洗钱综合管理系统</t>
  </si>
  <si>
    <t>于浩瀚</t>
  </si>
  <si>
    <t>3年以下89人，</t>
  </si>
  <si>
    <t>宋晓迪</t>
  </si>
  <si>
    <t>研究生150人，73.9%</t>
  </si>
  <si>
    <t>卢易</t>
  </si>
  <si>
    <t>校园招聘78%</t>
  </si>
  <si>
    <t>计数项:需求编号</t>
  </si>
  <si>
    <t>计数项:项目编号</t>
  </si>
  <si>
    <t>需求负责人</t>
  </si>
  <si>
    <t>汇总</t>
  </si>
  <si>
    <t>项目经理</t>
  </si>
  <si>
    <t>总计</t>
  </si>
  <si>
    <t>王子路</t>
  </si>
  <si>
    <t>张娅莉</t>
  </si>
  <si>
    <t>列A</t>
  </si>
  <si>
    <t>计数</t>
  </si>
  <si>
    <t>应用侧：嵇雅娟</t>
  </si>
  <si>
    <t>张顺
数据侧：王子枫</t>
  </si>
  <si>
    <t>赵锦栋</t>
  </si>
  <si>
    <t>调出部门</t>
  </si>
  <si>
    <t>调入部门</t>
  </si>
  <si>
    <t>赵**</t>
  </si>
  <si>
    <t>数据管理与应用部/数据开发部</t>
  </si>
  <si>
    <t>高**</t>
  </si>
  <si>
    <t>数据管理与应用部/信息管理部</t>
  </si>
  <si>
    <t>彭**</t>
  </si>
  <si>
    <t>邱**</t>
  </si>
  <si>
    <t>数据管理与应用部/智能创新部</t>
  </si>
  <si>
    <t>杨**</t>
  </si>
  <si>
    <t>王**</t>
  </si>
  <si>
    <t>数据管理与应用部/数据治理部</t>
  </si>
  <si>
    <t>张**</t>
  </si>
  <si>
    <t>数据管理与应用部/数据平台部</t>
  </si>
  <si>
    <t>陈**</t>
  </si>
  <si>
    <t>郭**</t>
  </si>
  <si>
    <t>数据管理与应用部/信息统计部</t>
  </si>
  <si>
    <t>月份</t>
  </si>
  <si>
    <t>议题一</t>
  </si>
  <si>
    <t>3月</t>
  </si>
  <si>
    <t>数据部2026年度重点工作计划</t>
  </si>
  <si>
    <t>4月</t>
  </si>
  <si>
    <t>数据治理工作规划</t>
  </si>
  <si>
    <t>5月</t>
  </si>
  <si>
    <t>数据架构与数据安全工作汇报</t>
  </si>
  <si>
    <t>6月</t>
  </si>
  <si>
    <t>AI场景应用工作汇报</t>
  </si>
  <si>
    <t>智能研发部</t>
  </si>
  <si>
    <t>7月</t>
  </si>
  <si>
    <t>监管报送工作汇报</t>
  </si>
  <si>
    <t>8月</t>
  </si>
  <si>
    <t>数字化运营体系工作汇报</t>
  </si>
  <si>
    <t>9月</t>
  </si>
  <si>
    <t>业数融合工作成效总结</t>
  </si>
  <si>
    <t>10月</t>
  </si>
  <si>
    <t>数据治理工作阶段性成果总结</t>
  </si>
  <si>
    <t>11月</t>
  </si>
  <si>
    <t>数据安全年度工作总结</t>
  </si>
  <si>
    <t>12月</t>
  </si>
  <si>
    <t>数据部2026年度工作总结</t>
  </si>
  <si>
    <t>议题二</t>
  </si>
  <si>
    <t>按季度，4月、7月、10月</t>
  </si>
  <si>
    <t>赋能分支行情况汇报</t>
  </si>
  <si>
    <t>机构服务团队</t>
  </si>
  <si>
    <t>数据部重点工作回顾与分析</t>
  </si>
  <si>
    <r>
      <rPr>
        <b/>
        <sz val="14"/>
        <color theme="1"/>
        <rFont val="宋体"/>
        <charset val="134"/>
        <scheme val="minor"/>
      </rPr>
      <t>议题3：分行数据工作汇报</t>
    </r>
    <r>
      <rPr>
        <sz val="14"/>
        <color theme="1"/>
        <rFont val="宋体"/>
        <charset val="134"/>
        <scheme val="minor"/>
      </rPr>
      <t xml:space="preserve">
3月 深圳分行；4月 成都分行；5月 总行营业部；6月 自贸区分行；7月 北京分行；8月 苏州分行；9月 宁波分行；10月 天津分行；11月 杭州分行；12月 浦东分行</t>
    </r>
  </si>
</sst>
</file>

<file path=xl/styles.xml><?xml version="1.0" encoding="utf-8"?>
<styleSheet xmlns="http://schemas.openxmlformats.org/spreadsheetml/2006/main">
  <numFmts count="9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_ "/>
    <numFmt numFmtId="177" formatCode="#"/>
    <numFmt numFmtId="178" formatCode="#,##0.00_ "/>
    <numFmt numFmtId="179" formatCode="#,##0_ "/>
    <numFmt numFmtId="180" formatCode="yyyy\-mm\-dd"/>
  </numFmts>
  <fonts count="6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000000"/>
      <name val="仿宋"/>
      <charset val="134"/>
    </font>
    <font>
      <sz val="14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.25"/>
      <color rgb="FF000000"/>
      <name val="宋体"/>
      <charset val="134"/>
    </font>
    <font>
      <sz val="10"/>
      <name val="Arial"/>
      <charset val="0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sz val="10"/>
      <color indexed="8"/>
      <name val="Arial"/>
      <charset val="0"/>
    </font>
    <font>
      <sz val="16"/>
      <color indexed="8"/>
      <name val="黑体"/>
      <charset val="134"/>
    </font>
    <font>
      <sz val="14"/>
      <color indexed="8"/>
      <name val="仿宋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0.5"/>
      <color theme="1"/>
      <name val="宋体"/>
      <charset val="134"/>
      <scheme val="minor"/>
    </font>
    <font>
      <sz val="10.5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name val="微软雅黑"/>
      <charset val="134"/>
    </font>
    <font>
      <b/>
      <sz val="11"/>
      <name val="微软雅黑"/>
      <charset val="134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sz val="11"/>
      <name val="微软雅黑"/>
      <charset val="134"/>
    </font>
    <font>
      <sz val="6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0"/>
      <color rgb="FFFF0000"/>
      <name val="宋体"/>
      <charset val="134"/>
      <scheme val="minor"/>
    </font>
    <font>
      <sz val="12"/>
      <name val="仿宋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0000"/>
      <name val="微软雅黑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rgb="FF2A2A2A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6" fillId="19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51" fillId="25" borderId="21" applyNumberFormat="0" applyAlignment="0" applyProtection="0">
      <alignment vertical="center"/>
    </xf>
    <xf numFmtId="0" fontId="54" fillId="25" borderId="19" applyNumberFormat="0" applyAlignment="0" applyProtection="0">
      <alignment vertical="center"/>
    </xf>
    <xf numFmtId="0" fontId="45" fillId="18" borderId="18" applyNumberFormat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</cellStyleXfs>
  <cellXfs count="1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7" fillId="0" borderId="0" xfId="0" applyFont="1" applyFill="1" applyBorder="1" applyAlignment="1"/>
    <xf numFmtId="0" fontId="7" fillId="0" borderId="2" xfId="0" applyFont="1" applyFill="1" applyBorder="1" applyAlignment="1"/>
    <xf numFmtId="0" fontId="7" fillId="0" borderId="3" xfId="0" applyFont="1" applyFill="1" applyBorder="1" applyAlignment="1"/>
    <xf numFmtId="0" fontId="7" fillId="0" borderId="4" xfId="0" applyFont="1" applyFill="1" applyBorder="1" applyAlignment="1"/>
    <xf numFmtId="0" fontId="7" fillId="0" borderId="5" xfId="0" applyFont="1" applyFill="1" applyBorder="1" applyAlignment="1"/>
    <xf numFmtId="0" fontId="7" fillId="0" borderId="6" xfId="0" applyFont="1" applyFill="1" applyBorder="1" applyAlignment="1"/>
    <xf numFmtId="0" fontId="7" fillId="0" borderId="7" xfId="0" applyFont="1" applyFill="1" applyBorder="1" applyAlignment="1"/>
    <xf numFmtId="0" fontId="7" fillId="0" borderId="8" xfId="0" applyFont="1" applyFill="1" applyBorder="1" applyAlignment="1"/>
    <xf numFmtId="0" fontId="8" fillId="0" borderId="0" xfId="0" applyFont="1" applyFill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177" fontId="8" fillId="0" borderId="1" xfId="0" applyNumberFormat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8" fillId="0" borderId="0" xfId="0" applyFont="1" applyFill="1" applyAlignment="1"/>
    <xf numFmtId="0" fontId="11" fillId="0" borderId="9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1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15" fillId="0" borderId="0" xfId="0" applyFont="1" applyFill="1" applyAlignment="1">
      <alignment vertical="center" wrapText="1"/>
    </xf>
    <xf numFmtId="0" fontId="16" fillId="0" borderId="0" xfId="0" applyFont="1" applyFill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5" fillId="0" borderId="0" xfId="0" applyFont="1" applyFill="1" applyAlignment="1">
      <alignment horizontal="left" vertical="center" wrapText="1"/>
    </xf>
    <xf numFmtId="0" fontId="16" fillId="0" borderId="0" xfId="0" applyFont="1" applyFill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left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78" fontId="0" fillId="0" borderId="0" xfId="0" applyNumberFormat="1" applyFill="1" applyAlignment="1">
      <alignment horizontal="center" vertical="center" wrapText="1"/>
    </xf>
    <xf numFmtId="179" fontId="0" fillId="0" borderId="0" xfId="0" applyNumberFormat="1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NumberForma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3" fillId="2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3" fillId="8" borderId="1" xfId="0" applyNumberFormat="1" applyFont="1" applyFill="1" applyBorder="1" applyAlignment="1">
      <alignment horizontal="center" vertical="center"/>
    </xf>
    <xf numFmtId="0" fontId="23" fillId="7" borderId="1" xfId="0" applyNumberFormat="1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178" fontId="20" fillId="9" borderId="1" xfId="0" applyNumberFormat="1" applyFont="1" applyFill="1" applyBorder="1" applyAlignment="1">
      <alignment horizontal="center" vertical="center"/>
    </xf>
    <xf numFmtId="179" fontId="20" fillId="9" borderId="1" xfId="0" applyNumberFormat="1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178" fontId="19" fillId="9" borderId="1" xfId="0" applyNumberFormat="1" applyFont="1" applyFill="1" applyBorder="1" applyAlignment="1">
      <alignment horizontal="center" vertical="center" wrapText="1"/>
    </xf>
    <xf numFmtId="179" fontId="19" fillId="9" borderId="1" xfId="0" applyNumberFormat="1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178" fontId="22" fillId="0" borderId="1" xfId="0" applyNumberFormat="1" applyFont="1" applyFill="1" applyBorder="1" applyAlignment="1">
      <alignment horizontal="center" vertical="center"/>
    </xf>
    <xf numFmtId="179" fontId="22" fillId="0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0" fillId="10" borderId="9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20" fillId="10" borderId="12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11" borderId="12" xfId="0" applyFont="1" applyFill="1" applyBorder="1" applyAlignment="1">
      <alignment horizontal="left" vertical="center" wrapText="1"/>
    </xf>
    <xf numFmtId="0" fontId="28" fillId="11" borderId="12" xfId="0" applyFont="1" applyFill="1" applyBorder="1" applyAlignment="1">
      <alignment horizontal="center" vertical="center" wrapText="1"/>
    </xf>
    <xf numFmtId="0" fontId="29" fillId="11" borderId="12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vertical="center" wrapText="1"/>
    </xf>
    <xf numFmtId="0" fontId="27" fillId="11" borderId="1" xfId="0" applyFont="1" applyFill="1" applyBorder="1" applyAlignment="1">
      <alignment vertical="center" wrapText="1"/>
    </xf>
    <xf numFmtId="9" fontId="8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>
      <alignment vertical="center"/>
    </xf>
    <xf numFmtId="0" fontId="8" fillId="0" borderId="1" xfId="0" applyFont="1" applyFill="1" applyBorder="1" applyAlignment="1">
      <alignment horizontal="left" vertical="center" wrapText="1"/>
    </xf>
    <xf numFmtId="9" fontId="0" fillId="0" borderId="0" xfId="0" applyNumberFormat="1" applyFill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22" fillId="0" borderId="0" xfId="0" applyFont="1">
      <alignment vertical="center"/>
    </xf>
    <xf numFmtId="0" fontId="25" fillId="0" borderId="0" xfId="0" applyFont="1">
      <alignment vertical="center"/>
    </xf>
    <xf numFmtId="0" fontId="25" fillId="12" borderId="0" xfId="0" applyFont="1" applyFill="1">
      <alignment vertical="center"/>
    </xf>
    <xf numFmtId="0" fontId="33" fillId="0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4" fillId="5" borderId="13" xfId="0" applyFont="1" applyFill="1" applyBorder="1" applyAlignment="1">
      <alignment horizontal="center" vertical="center"/>
    </xf>
    <xf numFmtId="0" fontId="34" fillId="5" borderId="14" xfId="0" applyFont="1" applyFill="1" applyBorder="1" applyAlignment="1">
      <alignment horizontal="center" vertical="center"/>
    </xf>
    <xf numFmtId="0" fontId="34" fillId="5" borderId="15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4" fillId="6" borderId="13" xfId="0" applyFont="1" applyFill="1" applyBorder="1" applyAlignment="1">
      <alignment horizontal="center" vertical="center"/>
    </xf>
    <xf numFmtId="0" fontId="34" fillId="6" borderId="14" xfId="0" applyFont="1" applyFill="1" applyBorder="1" applyAlignment="1">
      <alignment horizontal="center" vertical="center"/>
    </xf>
    <xf numFmtId="0" fontId="34" fillId="6" borderId="15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178" fontId="20" fillId="9" borderId="13" xfId="0" applyNumberFormat="1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 wrapText="1"/>
    </xf>
    <xf numFmtId="0" fontId="23" fillId="0" borderId="15" xfId="0" applyFont="1" applyFill="1" applyBorder="1" applyAlignment="1">
      <alignment horizontal="center" vertical="center" wrapText="1"/>
    </xf>
    <xf numFmtId="176" fontId="23" fillId="0" borderId="1" xfId="0" applyNumberFormat="1" applyFont="1" applyFill="1" applyBorder="1" applyAlignment="1">
      <alignment horizontal="center" vertical="center" wrapText="1"/>
    </xf>
    <xf numFmtId="178" fontId="20" fillId="9" borderId="14" xfId="0" applyNumberFormat="1" applyFont="1" applyFill="1" applyBorder="1" applyAlignment="1">
      <alignment horizontal="center" vertical="center"/>
    </xf>
    <xf numFmtId="178" fontId="20" fillId="9" borderId="15" xfId="0" applyNumberFormat="1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 wrapText="1"/>
    </xf>
    <xf numFmtId="0" fontId="35" fillId="9" borderId="1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/>
    </xf>
    <xf numFmtId="0" fontId="37" fillId="0" borderId="0" xfId="0" applyFont="1">
      <alignment vertical="center"/>
    </xf>
    <xf numFmtId="0" fontId="22" fillId="0" borderId="1" xfId="0" applyFont="1" applyBorder="1">
      <alignment vertical="center"/>
    </xf>
    <xf numFmtId="0" fontId="38" fillId="0" borderId="0" xfId="0" applyFont="1" applyAlignment="1">
      <alignment horizontal="center" vertical="center"/>
    </xf>
    <xf numFmtId="0" fontId="25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25" fillId="0" borderId="1" xfId="0" applyFont="1" applyBorder="1">
      <alignment vertical="center"/>
    </xf>
    <xf numFmtId="0" fontId="25" fillId="12" borderId="1" xfId="0" applyFont="1" applyFill="1" applyBorder="1" applyAlignment="1">
      <alignment horizontal="center" vertical="center"/>
    </xf>
    <xf numFmtId="0" fontId="23" fillId="12" borderId="1" xfId="0" applyNumberFormat="1" applyFont="1" applyFill="1" applyBorder="1" applyAlignment="1">
      <alignment horizontal="center" vertical="center"/>
    </xf>
    <xf numFmtId="0" fontId="23" fillId="12" borderId="1" xfId="0" applyNumberFormat="1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39" fillId="0" borderId="1" xfId="0" applyFont="1" applyFill="1" applyBorder="1" applyAlignment="1">
      <alignment horizontal="center" vertical="center"/>
    </xf>
    <xf numFmtId="0" fontId="23" fillId="12" borderId="1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 wrapText="1"/>
    </xf>
    <xf numFmtId="176" fontId="23" fillId="12" borderId="1" xfId="0" applyNumberFormat="1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25" fillId="12" borderId="1" xfId="0" applyFont="1" applyFill="1" applyBorder="1">
      <alignment vertical="center"/>
    </xf>
    <xf numFmtId="0" fontId="25" fillId="0" borderId="15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haredStrings" Target="sharedStrings.xml"/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4.xml"/><Relationship Id="rId18" Type="http://schemas.openxmlformats.org/officeDocument/2006/relationships/externalLink" Target="externalLinks/externalLink3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2452;&#38271;&#20505;&#36873;&#20154;&#20998;&#26512;&#24773;&#20917;&#27719;&#24635;-20251010-jiy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20214;2-&#32452;&#38271;&#20505;&#36873;&#20154;&#20998;&#26512;&#24773;&#20917;&#27719;&#24635;-20251010-&#26356;&#26032;&#22521;&#35757;&#25968;&#2545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24320;&#21457;&#31185;&#23460;&#34892;&#21592;&#24037;&#20316;&#30424;&#28857;-111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9979;&#36733;\&#36817;3&#20010;&#26376;&#32771;&#21220;&#35760;&#24405;-20251117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62人"/>
      <sheetName val="累计工龄"/>
      <sheetName val="组长名单"/>
      <sheetName val="骨干名单"/>
      <sheetName val="草稿计算列"/>
      <sheetName val="导出计数_组"/>
    </sheetNames>
    <sheetDataSet>
      <sheetData sheetId="0"/>
      <sheetData sheetId="1">
        <row r="1">
          <cell r="A1" t="str">
            <v>姓名</v>
          </cell>
          <cell r="B1" t="str">
            <v>累计工龄</v>
          </cell>
        </row>
        <row r="2">
          <cell r="A2" t="str">
            <v>于浩瀚</v>
          </cell>
          <cell r="B2">
            <v>25</v>
          </cell>
        </row>
        <row r="3">
          <cell r="A3" t="str">
            <v>宋晓迪</v>
          </cell>
          <cell r="B3">
            <v>18</v>
          </cell>
        </row>
        <row r="4">
          <cell r="A4" t="str">
            <v>卢易</v>
          </cell>
          <cell r="B4">
            <v>17</v>
          </cell>
        </row>
        <row r="5">
          <cell r="A5" t="str">
            <v>杨晓彦</v>
          </cell>
          <cell r="B5">
            <v>7</v>
          </cell>
        </row>
        <row r="6">
          <cell r="A6" t="str">
            <v>乐洋</v>
          </cell>
          <cell r="B6">
            <v>19</v>
          </cell>
        </row>
        <row r="7">
          <cell r="A7" t="str">
            <v>刘召龙</v>
          </cell>
          <cell r="B7">
            <v>24</v>
          </cell>
        </row>
        <row r="8">
          <cell r="A8" t="str">
            <v>曾敏锐</v>
          </cell>
          <cell r="B8">
            <v>13</v>
          </cell>
        </row>
        <row r="9">
          <cell r="A9" t="str">
            <v>杨萍</v>
          </cell>
          <cell r="B9">
            <v>10</v>
          </cell>
        </row>
        <row r="10">
          <cell r="A10" t="str">
            <v>康冉</v>
          </cell>
          <cell r="B10">
            <v>5</v>
          </cell>
        </row>
        <row r="11">
          <cell r="A11" t="str">
            <v>陆雨欣</v>
          </cell>
          <cell r="B11">
            <v>5</v>
          </cell>
        </row>
        <row r="12">
          <cell r="A12" t="str">
            <v>黄佳佳</v>
          </cell>
          <cell r="B12">
            <v>6</v>
          </cell>
        </row>
        <row r="13">
          <cell r="A13" t="str">
            <v>许阿云</v>
          </cell>
          <cell r="B13">
            <v>5</v>
          </cell>
        </row>
        <row r="14">
          <cell r="A14" t="str">
            <v>宋子夜</v>
          </cell>
          <cell r="B14">
            <v>3</v>
          </cell>
        </row>
        <row r="15">
          <cell r="A15" t="str">
            <v>王枫</v>
          </cell>
          <cell r="B15">
            <v>9</v>
          </cell>
        </row>
        <row r="16">
          <cell r="A16" t="str">
            <v>胡超亭</v>
          </cell>
          <cell r="B16">
            <v>4</v>
          </cell>
        </row>
        <row r="17">
          <cell r="A17" t="str">
            <v>蔡雪</v>
          </cell>
          <cell r="B17">
            <v>4</v>
          </cell>
        </row>
        <row r="18">
          <cell r="A18" t="str">
            <v>刘梦颖</v>
          </cell>
          <cell r="B18">
            <v>6</v>
          </cell>
        </row>
        <row r="19">
          <cell r="A19" t="str">
            <v>曹翔</v>
          </cell>
          <cell r="B19">
            <v>1</v>
          </cell>
        </row>
        <row r="20">
          <cell r="A20" t="str">
            <v>陈世辉</v>
          </cell>
          <cell r="B20">
            <v>1</v>
          </cell>
        </row>
        <row r="21">
          <cell r="A21" t="str">
            <v>吴小倩</v>
          </cell>
          <cell r="B21">
            <v>3</v>
          </cell>
        </row>
        <row r="22">
          <cell r="A22" t="str">
            <v>马亦沁</v>
          </cell>
          <cell r="B22">
            <v>2</v>
          </cell>
        </row>
        <row r="23">
          <cell r="A23" t="str">
            <v>蒋书润</v>
          </cell>
          <cell r="B23">
            <v>2</v>
          </cell>
        </row>
        <row r="24">
          <cell r="A24" t="str">
            <v>顾小萍</v>
          </cell>
          <cell r="B24">
            <v>19</v>
          </cell>
        </row>
        <row r="25">
          <cell r="A25" t="str">
            <v>武燕蓉</v>
          </cell>
          <cell r="B25">
            <v>30</v>
          </cell>
        </row>
        <row r="26">
          <cell r="A26" t="str">
            <v>单曙兵</v>
          </cell>
          <cell r="B26">
            <v>14</v>
          </cell>
        </row>
        <row r="27">
          <cell r="A27" t="str">
            <v>米俊文</v>
          </cell>
          <cell r="B27">
            <v>15</v>
          </cell>
        </row>
        <row r="28">
          <cell r="A28" t="str">
            <v>王玉祥</v>
          </cell>
          <cell r="B28">
            <v>19</v>
          </cell>
        </row>
        <row r="29">
          <cell r="A29" t="str">
            <v>庄家宙</v>
          </cell>
          <cell r="B29">
            <v>16</v>
          </cell>
        </row>
        <row r="30">
          <cell r="A30" t="str">
            <v>刘燕玲</v>
          </cell>
          <cell r="B30">
            <v>9</v>
          </cell>
        </row>
        <row r="31">
          <cell r="A31" t="str">
            <v>傅潜林</v>
          </cell>
          <cell r="B31">
            <v>3</v>
          </cell>
        </row>
        <row r="32">
          <cell r="A32" t="str">
            <v>于璐</v>
          </cell>
          <cell r="B32">
            <v>7</v>
          </cell>
        </row>
        <row r="33">
          <cell r="A33" t="str">
            <v>方晴</v>
          </cell>
          <cell r="B33">
            <v>2</v>
          </cell>
        </row>
        <row r="34">
          <cell r="A34" t="str">
            <v>李凯达</v>
          </cell>
          <cell r="B34">
            <v>2</v>
          </cell>
        </row>
        <row r="35">
          <cell r="A35" t="str">
            <v>白旭</v>
          </cell>
          <cell r="B35">
            <v>1</v>
          </cell>
        </row>
        <row r="36">
          <cell r="A36" t="str">
            <v>李焕彰</v>
          </cell>
          <cell r="B36">
            <v>13</v>
          </cell>
        </row>
        <row r="37">
          <cell r="A37" t="str">
            <v>张峰</v>
          </cell>
          <cell r="B37">
            <v>21</v>
          </cell>
        </row>
        <row r="38">
          <cell r="A38" t="str">
            <v>舒宝龙</v>
          </cell>
          <cell r="B38">
            <v>3</v>
          </cell>
        </row>
        <row r="39">
          <cell r="A39" t="str">
            <v>王亮</v>
          </cell>
          <cell r="B39">
            <v>5</v>
          </cell>
        </row>
        <row r="40">
          <cell r="A40" t="str">
            <v>曹婉茹</v>
          </cell>
          <cell r="B40">
            <v>5</v>
          </cell>
        </row>
        <row r="41">
          <cell r="A41" t="str">
            <v>胡承萱</v>
          </cell>
          <cell r="B41">
            <v>3</v>
          </cell>
        </row>
        <row r="42">
          <cell r="A42" t="str">
            <v>张鑫</v>
          </cell>
          <cell r="B42">
            <v>5</v>
          </cell>
        </row>
        <row r="43">
          <cell r="A43" t="str">
            <v>余翠</v>
          </cell>
          <cell r="B43">
            <v>5</v>
          </cell>
        </row>
        <row r="44">
          <cell r="A44" t="str">
            <v>杨陆</v>
          </cell>
          <cell r="B44">
            <v>3</v>
          </cell>
        </row>
        <row r="45">
          <cell r="A45" t="str">
            <v>宋轲</v>
          </cell>
          <cell r="B45">
            <v>7</v>
          </cell>
        </row>
        <row r="46">
          <cell r="A46" t="str">
            <v>高梦瑶</v>
          </cell>
          <cell r="B46">
            <v>5</v>
          </cell>
        </row>
        <row r="47">
          <cell r="A47" t="str">
            <v>王璐珊</v>
          </cell>
          <cell r="B47">
            <v>4</v>
          </cell>
        </row>
        <row r="48">
          <cell r="A48" t="str">
            <v>张文婉</v>
          </cell>
          <cell r="B48">
            <v>3</v>
          </cell>
        </row>
        <row r="49">
          <cell r="A49" t="str">
            <v>俞振飞</v>
          </cell>
          <cell r="B49">
            <v>3</v>
          </cell>
        </row>
        <row r="50">
          <cell r="A50" t="str">
            <v>彭坤</v>
          </cell>
          <cell r="B50">
            <v>3</v>
          </cell>
        </row>
        <row r="51">
          <cell r="A51" t="str">
            <v>汪乐乐</v>
          </cell>
          <cell r="B51">
            <v>2</v>
          </cell>
        </row>
        <row r="52">
          <cell r="A52" t="str">
            <v>刘思言</v>
          </cell>
          <cell r="B52">
            <v>2</v>
          </cell>
        </row>
        <row r="53">
          <cell r="A53" t="str">
            <v>路立静</v>
          </cell>
          <cell r="B53">
            <v>2</v>
          </cell>
        </row>
        <row r="54">
          <cell r="A54" t="str">
            <v>俞筱晨</v>
          </cell>
          <cell r="B54">
            <v>2</v>
          </cell>
        </row>
        <row r="55">
          <cell r="A55" t="str">
            <v>韩统优</v>
          </cell>
          <cell r="B55">
            <v>1</v>
          </cell>
        </row>
        <row r="56">
          <cell r="A56" t="str">
            <v>李小萌</v>
          </cell>
          <cell r="B56">
            <v>1</v>
          </cell>
        </row>
        <row r="57">
          <cell r="A57" t="str">
            <v>郭骏</v>
          </cell>
          <cell r="B57">
            <v>2</v>
          </cell>
        </row>
        <row r="58">
          <cell r="A58" t="str">
            <v>陆应佳玥</v>
          </cell>
          <cell r="B58">
            <v>2</v>
          </cell>
        </row>
        <row r="59">
          <cell r="A59" t="str">
            <v>孙菡悦</v>
          </cell>
          <cell r="B59">
            <v>2</v>
          </cell>
        </row>
        <row r="60">
          <cell r="A60" t="str">
            <v>蒋嘉石</v>
          </cell>
          <cell r="B60">
            <v>2</v>
          </cell>
        </row>
        <row r="61">
          <cell r="A61" t="str">
            <v>魏榕慧</v>
          </cell>
          <cell r="B61">
            <v>2</v>
          </cell>
        </row>
        <row r="62">
          <cell r="A62" t="str">
            <v>许天凝</v>
          </cell>
          <cell r="B62">
            <v>2</v>
          </cell>
        </row>
        <row r="63">
          <cell r="A63" t="str">
            <v>周叶珉</v>
          </cell>
          <cell r="B63">
            <v>2</v>
          </cell>
        </row>
        <row r="64">
          <cell r="A64" t="str">
            <v>刘子昕</v>
          </cell>
          <cell r="B64">
            <v>1</v>
          </cell>
        </row>
        <row r="65">
          <cell r="A65" t="str">
            <v>李瑞敏</v>
          </cell>
          <cell r="B65">
            <v>1</v>
          </cell>
        </row>
        <row r="66">
          <cell r="A66" t="str">
            <v>胡申民</v>
          </cell>
          <cell r="B66">
            <v>9</v>
          </cell>
        </row>
        <row r="67">
          <cell r="A67" t="str">
            <v>吴证</v>
          </cell>
          <cell r="B67">
            <v>17</v>
          </cell>
        </row>
        <row r="68">
          <cell r="A68" t="str">
            <v>史朋飞</v>
          </cell>
          <cell r="B68">
            <v>12</v>
          </cell>
        </row>
        <row r="69">
          <cell r="A69" t="str">
            <v>白迪</v>
          </cell>
          <cell r="B69">
            <v>6</v>
          </cell>
        </row>
        <row r="70">
          <cell r="A70" t="str">
            <v>嵇雅娟</v>
          </cell>
          <cell r="B70">
            <v>10</v>
          </cell>
        </row>
        <row r="71">
          <cell r="A71" t="str">
            <v>鞠爱宁</v>
          </cell>
          <cell r="B71">
            <v>7</v>
          </cell>
        </row>
        <row r="72">
          <cell r="A72" t="str">
            <v>魏佳翔</v>
          </cell>
          <cell r="B72">
            <v>11</v>
          </cell>
        </row>
        <row r="73">
          <cell r="A73" t="str">
            <v>曹宁远</v>
          </cell>
          <cell r="B73">
            <v>5</v>
          </cell>
        </row>
        <row r="74">
          <cell r="A74" t="str">
            <v>周浩</v>
          </cell>
          <cell r="B74">
            <v>5</v>
          </cell>
        </row>
        <row r="75">
          <cell r="A75" t="str">
            <v>李天卓</v>
          </cell>
          <cell r="B75">
            <v>5</v>
          </cell>
        </row>
        <row r="76">
          <cell r="A76" t="str">
            <v>王正超</v>
          </cell>
          <cell r="B76">
            <v>5</v>
          </cell>
        </row>
        <row r="77">
          <cell r="A77" t="str">
            <v>濮敏</v>
          </cell>
          <cell r="B77">
            <v>4</v>
          </cell>
        </row>
        <row r="78">
          <cell r="A78" t="str">
            <v>胡帆</v>
          </cell>
          <cell r="B78">
            <v>3</v>
          </cell>
        </row>
        <row r="79">
          <cell r="A79" t="str">
            <v>陆凯华</v>
          </cell>
          <cell r="B79">
            <v>3</v>
          </cell>
        </row>
        <row r="80">
          <cell r="A80" t="str">
            <v>梅凯磊</v>
          </cell>
          <cell r="B80">
            <v>3</v>
          </cell>
        </row>
        <row r="81">
          <cell r="A81" t="str">
            <v>王双钰</v>
          </cell>
          <cell r="B81">
            <v>2</v>
          </cell>
        </row>
        <row r="82">
          <cell r="A82" t="str">
            <v>朱文川</v>
          </cell>
          <cell r="B82">
            <v>2</v>
          </cell>
        </row>
        <row r="83">
          <cell r="A83" t="str">
            <v>伍恒</v>
          </cell>
          <cell r="B83">
            <v>7</v>
          </cell>
        </row>
        <row r="84">
          <cell r="A84" t="str">
            <v>冯晓煜</v>
          </cell>
          <cell r="B84">
            <v>5</v>
          </cell>
        </row>
        <row r="85">
          <cell r="A85" t="str">
            <v>万珊红</v>
          </cell>
          <cell r="B85">
            <v>4</v>
          </cell>
        </row>
        <row r="86">
          <cell r="A86" t="str">
            <v>冯潇</v>
          </cell>
          <cell r="B86">
            <v>4</v>
          </cell>
        </row>
        <row r="87">
          <cell r="A87" t="str">
            <v>张琛玥</v>
          </cell>
          <cell r="B87">
            <v>3</v>
          </cell>
        </row>
        <row r="88">
          <cell r="A88" t="str">
            <v>安新宜</v>
          </cell>
          <cell r="B88">
            <v>2</v>
          </cell>
        </row>
        <row r="89">
          <cell r="A89" t="str">
            <v>刘惠</v>
          </cell>
          <cell r="B89">
            <v>8</v>
          </cell>
        </row>
        <row r="90">
          <cell r="A90" t="str">
            <v>景丞</v>
          </cell>
          <cell r="B90">
            <v>6</v>
          </cell>
        </row>
        <row r="91">
          <cell r="A91" t="str">
            <v>李敏吉</v>
          </cell>
          <cell r="B91">
            <v>1</v>
          </cell>
        </row>
        <row r="92">
          <cell r="A92" t="str">
            <v>佟嘉欣</v>
          </cell>
          <cell r="B92">
            <v>0</v>
          </cell>
        </row>
        <row r="93">
          <cell r="A93" t="str">
            <v>张放</v>
          </cell>
          <cell r="B93">
            <v>2</v>
          </cell>
        </row>
        <row r="94">
          <cell r="A94" t="str">
            <v>沈志贇</v>
          </cell>
          <cell r="B94">
            <v>2</v>
          </cell>
        </row>
        <row r="95">
          <cell r="A95" t="str">
            <v>吕丽丽</v>
          </cell>
          <cell r="B95">
            <v>2</v>
          </cell>
        </row>
        <row r="96">
          <cell r="A96" t="str">
            <v>陈朗</v>
          </cell>
          <cell r="B96">
            <v>1</v>
          </cell>
        </row>
        <row r="97">
          <cell r="A97" t="str">
            <v>卫彩萍</v>
          </cell>
          <cell r="B97">
            <v>1</v>
          </cell>
        </row>
        <row r="98">
          <cell r="A98" t="str">
            <v>陈玉思</v>
          </cell>
          <cell r="B98">
            <v>1</v>
          </cell>
        </row>
        <row r="99">
          <cell r="A99" t="str">
            <v>王新蕾</v>
          </cell>
          <cell r="B99">
            <v>1</v>
          </cell>
        </row>
        <row r="100">
          <cell r="A100" t="str">
            <v>任欣宇</v>
          </cell>
          <cell r="B100">
            <v>0</v>
          </cell>
        </row>
        <row r="101">
          <cell r="A101" t="str">
            <v>张顺</v>
          </cell>
          <cell r="B101">
            <v>0</v>
          </cell>
        </row>
        <row r="102">
          <cell r="A102" t="str">
            <v>刘金良</v>
          </cell>
          <cell r="B102">
            <v>12</v>
          </cell>
        </row>
        <row r="103">
          <cell r="A103" t="str">
            <v>顾恺</v>
          </cell>
          <cell r="B103">
            <v>19</v>
          </cell>
        </row>
        <row r="104">
          <cell r="A104" t="str">
            <v>罗仁杰</v>
          </cell>
          <cell r="B104">
            <v>20</v>
          </cell>
        </row>
        <row r="105">
          <cell r="A105" t="str">
            <v>李卓辉</v>
          </cell>
          <cell r="B105">
            <v>18</v>
          </cell>
        </row>
        <row r="106">
          <cell r="A106" t="str">
            <v>杨青</v>
          </cell>
          <cell r="B106">
            <v>14</v>
          </cell>
        </row>
        <row r="107">
          <cell r="A107" t="str">
            <v>周龙</v>
          </cell>
          <cell r="B107">
            <v>9</v>
          </cell>
        </row>
        <row r="108">
          <cell r="A108" t="str">
            <v>黄哲睿</v>
          </cell>
          <cell r="B108">
            <v>7</v>
          </cell>
        </row>
        <row r="109">
          <cell r="A109" t="str">
            <v>周影</v>
          </cell>
          <cell r="B109">
            <v>6</v>
          </cell>
        </row>
        <row r="110">
          <cell r="A110" t="str">
            <v>邹小芳</v>
          </cell>
          <cell r="B110">
            <v>11</v>
          </cell>
        </row>
        <row r="111">
          <cell r="A111" t="str">
            <v>陆慧</v>
          </cell>
          <cell r="B111">
            <v>13</v>
          </cell>
        </row>
        <row r="112">
          <cell r="A112" t="str">
            <v>陈科宇</v>
          </cell>
          <cell r="B112">
            <v>5</v>
          </cell>
        </row>
        <row r="113">
          <cell r="A113" t="str">
            <v>姚志环</v>
          </cell>
          <cell r="B113">
            <v>5</v>
          </cell>
        </row>
        <row r="114">
          <cell r="A114" t="str">
            <v>兰昕蕾</v>
          </cell>
          <cell r="B114">
            <v>4</v>
          </cell>
        </row>
        <row r="115">
          <cell r="A115" t="str">
            <v>丁晨</v>
          </cell>
          <cell r="B115">
            <v>3</v>
          </cell>
        </row>
        <row r="116">
          <cell r="A116" t="str">
            <v>林幸</v>
          </cell>
          <cell r="B116">
            <v>3</v>
          </cell>
        </row>
        <row r="117">
          <cell r="A117" t="str">
            <v>骆静龙</v>
          </cell>
          <cell r="B117">
            <v>2</v>
          </cell>
        </row>
        <row r="118">
          <cell r="A118" t="str">
            <v>袁凯</v>
          </cell>
          <cell r="B118">
            <v>2</v>
          </cell>
        </row>
        <row r="119">
          <cell r="A119" t="str">
            <v>王言哲</v>
          </cell>
          <cell r="B119">
            <v>3</v>
          </cell>
        </row>
        <row r="120">
          <cell r="A120" t="str">
            <v>郑卞钰</v>
          </cell>
          <cell r="B120">
            <v>3</v>
          </cell>
        </row>
        <row r="121">
          <cell r="A121" t="str">
            <v>张必歌</v>
          </cell>
          <cell r="B121">
            <v>3</v>
          </cell>
        </row>
        <row r="122">
          <cell r="A122" t="str">
            <v>陈笑轩</v>
          </cell>
          <cell r="B122">
            <v>3</v>
          </cell>
        </row>
        <row r="123">
          <cell r="A123" t="str">
            <v>马富强</v>
          </cell>
          <cell r="B123">
            <v>7</v>
          </cell>
        </row>
        <row r="124">
          <cell r="A124" t="str">
            <v>钱磊</v>
          </cell>
          <cell r="B124">
            <v>9</v>
          </cell>
        </row>
        <row r="125">
          <cell r="A125" t="str">
            <v>田振宇</v>
          </cell>
          <cell r="B125">
            <v>2</v>
          </cell>
        </row>
        <row r="126">
          <cell r="A126" t="str">
            <v>龚毅磊</v>
          </cell>
          <cell r="B126">
            <v>2</v>
          </cell>
        </row>
        <row r="127">
          <cell r="A127" t="str">
            <v>胡庆</v>
          </cell>
          <cell r="B127">
            <v>2</v>
          </cell>
        </row>
        <row r="128">
          <cell r="A128" t="str">
            <v>杜乐</v>
          </cell>
          <cell r="B128">
            <v>1</v>
          </cell>
        </row>
        <row r="129">
          <cell r="A129" t="str">
            <v>陈晨</v>
          </cell>
          <cell r="B129">
            <v>1</v>
          </cell>
        </row>
        <row r="130">
          <cell r="A130" t="str">
            <v>杨沁怡</v>
          </cell>
          <cell r="B130">
            <v>0</v>
          </cell>
        </row>
        <row r="131">
          <cell r="A131" t="str">
            <v>胡雯</v>
          </cell>
          <cell r="B131">
            <v>3</v>
          </cell>
        </row>
        <row r="132">
          <cell r="A132" t="str">
            <v>潘修滔</v>
          </cell>
          <cell r="B132">
            <v>2</v>
          </cell>
        </row>
        <row r="133">
          <cell r="A133" t="str">
            <v>张倩</v>
          </cell>
          <cell r="B133">
            <v>2</v>
          </cell>
        </row>
        <row r="134">
          <cell r="A134" t="str">
            <v>曹婕</v>
          </cell>
          <cell r="B134">
            <v>2</v>
          </cell>
        </row>
        <row r="135">
          <cell r="A135" t="str">
            <v>王子枫</v>
          </cell>
          <cell r="B135">
            <v>2</v>
          </cell>
        </row>
        <row r="136">
          <cell r="A136" t="str">
            <v>李凯文</v>
          </cell>
          <cell r="B136">
            <v>2</v>
          </cell>
        </row>
        <row r="137">
          <cell r="A137" t="str">
            <v>王萌萌</v>
          </cell>
          <cell r="B137">
            <v>2</v>
          </cell>
        </row>
        <row r="138">
          <cell r="A138" t="str">
            <v>赵雅婷</v>
          </cell>
          <cell r="B138">
            <v>2</v>
          </cell>
        </row>
        <row r="139">
          <cell r="A139" t="str">
            <v>诸倩铷</v>
          </cell>
          <cell r="B139">
            <v>2</v>
          </cell>
        </row>
        <row r="140">
          <cell r="A140" t="str">
            <v>李禹凝</v>
          </cell>
          <cell r="B140">
            <v>2</v>
          </cell>
        </row>
        <row r="141">
          <cell r="A141" t="str">
            <v>阮靖龙</v>
          </cell>
          <cell r="B141">
            <v>1</v>
          </cell>
        </row>
        <row r="142">
          <cell r="A142" t="str">
            <v>梅苏源</v>
          </cell>
          <cell r="B142">
            <v>1</v>
          </cell>
        </row>
        <row r="143">
          <cell r="A143" t="str">
            <v>连静</v>
          </cell>
          <cell r="B143">
            <v>1</v>
          </cell>
        </row>
        <row r="144">
          <cell r="A144" t="str">
            <v>陈佳宁</v>
          </cell>
          <cell r="B144">
            <v>0</v>
          </cell>
        </row>
        <row r="145">
          <cell r="A145" t="str">
            <v>徐倩茹</v>
          </cell>
          <cell r="B145">
            <v>4</v>
          </cell>
        </row>
        <row r="146">
          <cell r="A146" t="str">
            <v>吴越</v>
          </cell>
          <cell r="B146">
            <v>0</v>
          </cell>
        </row>
        <row r="147">
          <cell r="A147" t="str">
            <v>张雅淇</v>
          </cell>
          <cell r="B147">
            <v>5</v>
          </cell>
        </row>
        <row r="148">
          <cell r="A148" t="str">
            <v>贺文军</v>
          </cell>
          <cell r="B148">
            <v>11</v>
          </cell>
        </row>
        <row r="149">
          <cell r="A149" t="str">
            <v>郭庆睿</v>
          </cell>
          <cell r="B149">
            <v>7</v>
          </cell>
        </row>
        <row r="150">
          <cell r="A150" t="str">
            <v>王书祥</v>
          </cell>
          <cell r="B150">
            <v>10</v>
          </cell>
        </row>
        <row r="151">
          <cell r="A151" t="str">
            <v>王素雅</v>
          </cell>
          <cell r="B151">
            <v>5</v>
          </cell>
        </row>
        <row r="152">
          <cell r="A152" t="str">
            <v>姚蜜</v>
          </cell>
          <cell r="B152">
            <v>4</v>
          </cell>
        </row>
        <row r="153">
          <cell r="A153" t="str">
            <v>黄澜</v>
          </cell>
          <cell r="B153">
            <v>4</v>
          </cell>
        </row>
        <row r="154">
          <cell r="A154" t="str">
            <v>王晓璇</v>
          </cell>
          <cell r="B154">
            <v>3</v>
          </cell>
        </row>
        <row r="155">
          <cell r="A155" t="str">
            <v>徐陶然</v>
          </cell>
          <cell r="B155">
            <v>2</v>
          </cell>
        </row>
        <row r="156">
          <cell r="A156" t="str">
            <v>王新</v>
          </cell>
          <cell r="B156">
            <v>8</v>
          </cell>
        </row>
        <row r="157">
          <cell r="A157" t="str">
            <v>张梦琦</v>
          </cell>
          <cell r="B157">
            <v>3</v>
          </cell>
        </row>
        <row r="158">
          <cell r="A158" t="str">
            <v>向治蓉</v>
          </cell>
          <cell r="B158">
            <v>3</v>
          </cell>
        </row>
        <row r="159">
          <cell r="A159" t="str">
            <v>张海濛</v>
          </cell>
          <cell r="B159">
            <v>3</v>
          </cell>
        </row>
        <row r="160">
          <cell r="A160" t="str">
            <v>胡楚</v>
          </cell>
          <cell r="B160">
            <v>3</v>
          </cell>
        </row>
        <row r="161">
          <cell r="A161" t="str">
            <v>赵超</v>
          </cell>
          <cell r="B161">
            <v>4</v>
          </cell>
        </row>
        <row r="162">
          <cell r="A162" t="str">
            <v>王笑丹</v>
          </cell>
          <cell r="B162">
            <v>8</v>
          </cell>
        </row>
        <row r="163">
          <cell r="A163" t="str">
            <v>李虎</v>
          </cell>
          <cell r="B163">
            <v>2</v>
          </cell>
        </row>
        <row r="164">
          <cell r="A164" t="str">
            <v>张小天</v>
          </cell>
          <cell r="B164">
            <v>2</v>
          </cell>
        </row>
        <row r="165">
          <cell r="A165" t="str">
            <v>周静</v>
          </cell>
          <cell r="B165">
            <v>2</v>
          </cell>
        </row>
        <row r="166">
          <cell r="A166" t="str">
            <v>曾世杰</v>
          </cell>
          <cell r="B166">
            <v>1</v>
          </cell>
        </row>
        <row r="167">
          <cell r="A167" t="str">
            <v>李亦佳</v>
          </cell>
          <cell r="B167">
            <v>5</v>
          </cell>
        </row>
        <row r="168">
          <cell r="A168" t="str">
            <v>刘晓丹</v>
          </cell>
          <cell r="B168">
            <v>2</v>
          </cell>
        </row>
        <row r="169">
          <cell r="A169" t="str">
            <v>朱田成</v>
          </cell>
          <cell r="B169">
            <v>1</v>
          </cell>
        </row>
        <row r="170">
          <cell r="A170" t="str">
            <v>严彬华</v>
          </cell>
          <cell r="B170">
            <v>23</v>
          </cell>
        </row>
        <row r="171">
          <cell r="A171" t="str">
            <v>李然</v>
          </cell>
          <cell r="B171">
            <v>19</v>
          </cell>
        </row>
        <row r="172">
          <cell r="A172" t="str">
            <v>张伟亮</v>
          </cell>
          <cell r="B172">
            <v>6</v>
          </cell>
        </row>
        <row r="173">
          <cell r="A173" t="str">
            <v>周逸晨</v>
          </cell>
          <cell r="B173">
            <v>9</v>
          </cell>
        </row>
        <row r="174">
          <cell r="A174" t="str">
            <v>陈倩</v>
          </cell>
          <cell r="B174">
            <v>8</v>
          </cell>
        </row>
        <row r="175">
          <cell r="A175" t="str">
            <v>陈超</v>
          </cell>
          <cell r="B175">
            <v>6</v>
          </cell>
        </row>
        <row r="176">
          <cell r="A176" t="str">
            <v>李响</v>
          </cell>
          <cell r="B176">
            <v>12</v>
          </cell>
        </row>
        <row r="177">
          <cell r="A177" t="str">
            <v>李梦霄</v>
          </cell>
          <cell r="B177">
            <v>5</v>
          </cell>
        </row>
        <row r="178">
          <cell r="A178" t="str">
            <v>杨婧</v>
          </cell>
          <cell r="B178">
            <v>4</v>
          </cell>
        </row>
        <row r="179">
          <cell r="A179" t="str">
            <v>于中宝</v>
          </cell>
          <cell r="B179">
            <v>5</v>
          </cell>
        </row>
        <row r="180">
          <cell r="A180" t="str">
            <v>崔建文</v>
          </cell>
          <cell r="B180">
            <v>4</v>
          </cell>
        </row>
        <row r="181">
          <cell r="A181" t="str">
            <v>张镓奇</v>
          </cell>
          <cell r="B181">
            <v>3</v>
          </cell>
        </row>
        <row r="182">
          <cell r="A182" t="str">
            <v>贾世林</v>
          </cell>
          <cell r="B182">
            <v>4</v>
          </cell>
        </row>
        <row r="183">
          <cell r="A183" t="str">
            <v>刘满</v>
          </cell>
          <cell r="B183">
            <v>3</v>
          </cell>
        </row>
        <row r="184">
          <cell r="A184" t="str">
            <v>谭学彤</v>
          </cell>
          <cell r="B184">
            <v>3</v>
          </cell>
        </row>
        <row r="185">
          <cell r="A185" t="str">
            <v>祁鑫</v>
          </cell>
          <cell r="B185">
            <v>3</v>
          </cell>
        </row>
        <row r="186">
          <cell r="A186" t="str">
            <v>张子璐</v>
          </cell>
          <cell r="B186">
            <v>2</v>
          </cell>
        </row>
        <row r="187">
          <cell r="A187" t="str">
            <v>蒋捷</v>
          </cell>
          <cell r="B187">
            <v>2</v>
          </cell>
        </row>
        <row r="188">
          <cell r="A188" t="str">
            <v>于俊杰</v>
          </cell>
          <cell r="B188">
            <v>2</v>
          </cell>
        </row>
        <row r="189">
          <cell r="A189" t="str">
            <v>陆文捷</v>
          </cell>
          <cell r="B189">
            <v>1</v>
          </cell>
        </row>
        <row r="190">
          <cell r="A190" t="str">
            <v>王友轩</v>
          </cell>
          <cell r="B190">
            <v>1</v>
          </cell>
        </row>
        <row r="191">
          <cell r="A191" t="str">
            <v>邱玥</v>
          </cell>
          <cell r="B191">
            <v>2</v>
          </cell>
        </row>
        <row r="192">
          <cell r="A192" t="str">
            <v>陆怡晴</v>
          </cell>
          <cell r="B192">
            <v>1</v>
          </cell>
        </row>
        <row r="193">
          <cell r="A193" t="str">
            <v>刘雅昕</v>
          </cell>
          <cell r="B193">
            <v>1</v>
          </cell>
        </row>
        <row r="194">
          <cell r="A194" t="str">
            <v>黄亦豪</v>
          </cell>
          <cell r="B194">
            <v>1</v>
          </cell>
        </row>
        <row r="195">
          <cell r="A195" t="str">
            <v>占桐</v>
          </cell>
          <cell r="B195">
            <v>0</v>
          </cell>
        </row>
        <row r="196">
          <cell r="A196" t="str">
            <v>施怡伶</v>
          </cell>
          <cell r="B196">
            <v>0</v>
          </cell>
        </row>
        <row r="197">
          <cell r="A197" t="str">
            <v>任若琳</v>
          </cell>
          <cell r="B197">
            <v>0</v>
          </cell>
        </row>
        <row r="198">
          <cell r="A198" t="str">
            <v>陈彦百</v>
          </cell>
          <cell r="B198">
            <v>0</v>
          </cell>
        </row>
        <row r="199">
          <cell r="A199" t="str">
            <v>沈子新</v>
          </cell>
          <cell r="B199">
            <v>4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62人"/>
      <sheetName val="累计工龄"/>
      <sheetName val="组长名单"/>
      <sheetName val="骨干名单"/>
      <sheetName val="导出计数_组"/>
    </sheetNames>
    <sheetDataSet>
      <sheetData sheetId="0">
        <row r="1">
          <cell r="B1" t="str">
            <v>姓名</v>
          </cell>
          <cell r="C1" t="str">
            <v>基本信息</v>
          </cell>
        </row>
        <row r="1">
          <cell r="J1" t="str">
            <v>工作履历</v>
          </cell>
        </row>
        <row r="1">
          <cell r="M1" t="str">
            <v>党工团任职情况</v>
          </cell>
        </row>
        <row r="1">
          <cell r="P1" t="str">
            <v>行内、行外荣誉</v>
          </cell>
          <cell r="Q1" t="str">
            <v>主动学习与对外输出</v>
          </cell>
        </row>
        <row r="2">
          <cell r="C2" t="str">
            <v>团队</v>
          </cell>
          <cell r="D2" t="str">
            <v>组</v>
          </cell>
          <cell r="E2" t="str">
            <v>性别</v>
          </cell>
          <cell r="F2" t="str">
            <v>累计工龄</v>
          </cell>
          <cell r="G2" t="str">
            <v>最高学历</v>
          </cell>
          <cell r="H2" t="str">
            <v>最高学历毕业院校</v>
          </cell>
          <cell r="I2" t="str">
            <v>科长/组长/骨干标识</v>
          </cell>
          <cell r="J2" t="str">
            <v>累计的工作岗位个数</v>
          </cell>
          <cell r="K2" t="str">
            <v>现在的工作岗位</v>
          </cell>
          <cell r="L2" t="str">
            <v>校招/社招标识</v>
          </cell>
          <cell r="M2" t="str">
            <v>党支部</v>
          </cell>
          <cell r="N2" t="str">
            <v>工会小组</v>
          </cell>
          <cell r="O2" t="str">
            <v>团委</v>
          </cell>
        </row>
        <row r="2">
          <cell r="R2" t="str">
            <v>年度参加培训次数</v>
          </cell>
        </row>
        <row r="3">
          <cell r="B3" t="str">
            <v>黄哲睿</v>
          </cell>
          <cell r="C3" t="str">
            <v>数据开发部</v>
          </cell>
          <cell r="D3" t="str">
            <v>模型设计组</v>
          </cell>
          <cell r="E3" t="str">
            <v>男</v>
          </cell>
          <cell r="F3">
            <v>8</v>
          </cell>
          <cell r="G3" t="str">
            <v>大学本科</v>
          </cell>
          <cell r="H3" t="str">
            <v>南京大学</v>
          </cell>
          <cell r="I3" t="str">
            <v>组长</v>
          </cell>
          <cell r="J3">
            <v>2</v>
          </cell>
          <cell r="K3" t="str">
            <v>数据研发</v>
          </cell>
          <cell r="L3" t="str">
            <v>校园招聘</v>
          </cell>
        </row>
        <row r="3">
          <cell r="O3" t="str">
            <v>团委书记</v>
          </cell>
          <cell r="P3" t="str">
            <v>24数据文化优秀贡献者</v>
          </cell>
        </row>
        <row r="3">
          <cell r="R3">
            <v>1</v>
          </cell>
        </row>
        <row r="4">
          <cell r="B4" t="str">
            <v>陆慧</v>
          </cell>
          <cell r="C4" t="str">
            <v>数据开发部</v>
          </cell>
          <cell r="D4" t="str">
            <v>模型设计组</v>
          </cell>
          <cell r="E4" t="str">
            <v>女</v>
          </cell>
          <cell r="F4">
            <v>14</v>
          </cell>
          <cell r="G4" t="str">
            <v>研究生</v>
          </cell>
          <cell r="H4" t="str">
            <v>南京大学</v>
          </cell>
          <cell r="I4" t="str">
            <v>骨干</v>
          </cell>
        </row>
        <row r="4">
          <cell r="K4" t="str">
            <v>数据研发</v>
          </cell>
          <cell r="L4" t="str">
            <v>社会招聘</v>
          </cell>
        </row>
        <row r="4">
          <cell r="R4">
            <v>2</v>
          </cell>
        </row>
        <row r="5">
          <cell r="B5" t="str">
            <v>罗仁杰</v>
          </cell>
          <cell r="C5" t="str">
            <v>数据开发部</v>
          </cell>
          <cell r="D5" t="str">
            <v>需求接入组</v>
          </cell>
          <cell r="E5" t="str">
            <v>男</v>
          </cell>
          <cell r="F5">
            <v>21</v>
          </cell>
          <cell r="G5" t="str">
            <v>大学本科</v>
          </cell>
          <cell r="H5" t="str">
            <v>兰州理工大学</v>
          </cell>
          <cell r="I5" t="str">
            <v>组长</v>
          </cell>
          <cell r="J5">
            <v>4</v>
          </cell>
          <cell r="K5" t="str">
            <v>数据研发</v>
          </cell>
          <cell r="L5" t="str">
            <v>社会招聘</v>
          </cell>
        </row>
        <row r="5">
          <cell r="P5" t="str">
            <v>23五星质量奖</v>
          </cell>
        </row>
        <row r="5">
          <cell r="R5">
            <v>16</v>
          </cell>
        </row>
        <row r="6">
          <cell r="B6" t="str">
            <v>李卓辉</v>
          </cell>
          <cell r="C6" t="str">
            <v>数据开发部</v>
          </cell>
          <cell r="D6" t="str">
            <v>需求接入组</v>
          </cell>
          <cell r="E6" t="str">
            <v>男</v>
          </cell>
          <cell r="F6">
            <v>19</v>
          </cell>
          <cell r="G6" t="str">
            <v>研究生</v>
          </cell>
          <cell r="H6" t="str">
            <v>华东师范大学</v>
          </cell>
          <cell r="I6" t="str">
            <v>骨干候选人</v>
          </cell>
          <cell r="J6">
            <v>4</v>
          </cell>
          <cell r="K6" t="str">
            <v>数据研发</v>
          </cell>
          <cell r="L6" t="str">
            <v>社会招聘</v>
          </cell>
        </row>
        <row r="6">
          <cell r="R6">
            <v>15</v>
          </cell>
        </row>
        <row r="7">
          <cell r="B7" t="str">
            <v>兰昕蕾</v>
          </cell>
          <cell r="C7" t="str">
            <v>数据开发部</v>
          </cell>
          <cell r="D7" t="str">
            <v>数仓开发组</v>
          </cell>
          <cell r="E7" t="str">
            <v>女</v>
          </cell>
          <cell r="F7">
            <v>5</v>
          </cell>
          <cell r="G7" t="str">
            <v>研究生</v>
          </cell>
          <cell r="H7" t="str">
            <v>华东师范大学</v>
          </cell>
          <cell r="I7" t="str">
            <v>组长</v>
          </cell>
          <cell r="J7">
            <v>1</v>
          </cell>
          <cell r="K7" t="str">
            <v>数据研发</v>
          </cell>
          <cell r="L7" t="str">
            <v>校园招聘</v>
          </cell>
        </row>
        <row r="7">
          <cell r="Q7">
            <v>15</v>
          </cell>
          <cell r="R7">
            <v>14</v>
          </cell>
        </row>
        <row r="8">
          <cell r="B8" t="str">
            <v>邹小芳</v>
          </cell>
          <cell r="C8" t="str">
            <v>数据开发部</v>
          </cell>
          <cell r="D8" t="str">
            <v>数仓开发组</v>
          </cell>
          <cell r="E8" t="str">
            <v>女</v>
          </cell>
          <cell r="F8">
            <v>12</v>
          </cell>
          <cell r="G8" t="str">
            <v>大学本科</v>
          </cell>
          <cell r="H8" t="str">
            <v>江西财经大学</v>
          </cell>
          <cell r="I8" t="str">
            <v>组长</v>
          </cell>
          <cell r="J8">
            <v>2</v>
          </cell>
          <cell r="K8" t="str">
            <v>数据研发</v>
          </cell>
          <cell r="L8" t="str">
            <v>社会招聘</v>
          </cell>
        </row>
        <row r="8">
          <cell r="R8">
            <v>6</v>
          </cell>
        </row>
        <row r="9">
          <cell r="B9" t="str">
            <v>丁晨</v>
          </cell>
          <cell r="C9" t="str">
            <v>数据开发部</v>
          </cell>
          <cell r="D9" t="str">
            <v>数仓开发组</v>
          </cell>
          <cell r="E9" t="str">
            <v>男</v>
          </cell>
          <cell r="F9">
            <v>4</v>
          </cell>
          <cell r="G9" t="str">
            <v>研究生</v>
          </cell>
          <cell r="H9" t="str">
            <v>南京信息工程大学</v>
          </cell>
          <cell r="I9" t="str">
            <v>组长</v>
          </cell>
          <cell r="J9">
            <v>1</v>
          </cell>
          <cell r="K9" t="str">
            <v>数据研发</v>
          </cell>
          <cell r="L9" t="str">
            <v>校园招聘</v>
          </cell>
        </row>
        <row r="9">
          <cell r="P9" t="str">
            <v>24五星质量奖</v>
          </cell>
        </row>
        <row r="9">
          <cell r="R9">
            <v>9</v>
          </cell>
        </row>
        <row r="10">
          <cell r="B10" t="str">
            <v>周龙</v>
          </cell>
          <cell r="C10" t="str">
            <v>数据开发部</v>
          </cell>
          <cell r="D10" t="str">
            <v>应用开发组</v>
          </cell>
          <cell r="E10" t="str">
            <v>男</v>
          </cell>
          <cell r="F10">
            <v>10</v>
          </cell>
          <cell r="G10" t="str">
            <v>大学本科</v>
          </cell>
          <cell r="H10" t="str">
            <v>北京科技大学</v>
          </cell>
          <cell r="I10" t="str">
            <v>骨干</v>
          </cell>
          <cell r="J10">
            <v>3</v>
          </cell>
          <cell r="K10" t="str">
            <v>数据研发</v>
          </cell>
          <cell r="L10" t="str">
            <v>社会招聘</v>
          </cell>
        </row>
        <row r="10">
          <cell r="R10">
            <v>7</v>
          </cell>
        </row>
        <row r="11">
          <cell r="B11" t="str">
            <v>史朋飞</v>
          </cell>
          <cell r="C11" t="str">
            <v>数据平台部</v>
          </cell>
          <cell r="D11" t="str">
            <v>运维支持组</v>
          </cell>
          <cell r="E11" t="str">
            <v>男</v>
          </cell>
          <cell r="F11">
            <v>13</v>
          </cell>
          <cell r="G11" t="str">
            <v>大学本科</v>
          </cell>
          <cell r="H11" t="str">
            <v>河南理工大学</v>
          </cell>
          <cell r="I11" t="str">
            <v>组长</v>
          </cell>
        </row>
        <row r="11">
          <cell r="K11" t="str">
            <v>数据研发</v>
          </cell>
          <cell r="L11" t="str">
            <v>社会招聘</v>
          </cell>
        </row>
        <row r="11">
          <cell r="R11">
            <v>2</v>
          </cell>
        </row>
        <row r="12">
          <cell r="B12" t="str">
            <v>李天卓</v>
          </cell>
          <cell r="C12" t="str">
            <v>数据平台部</v>
          </cell>
          <cell r="D12" t="str">
            <v>运维支持组</v>
          </cell>
          <cell r="E12" t="str">
            <v>男</v>
          </cell>
          <cell r="F12">
            <v>6</v>
          </cell>
          <cell r="G12" t="str">
            <v>研究生</v>
          </cell>
          <cell r="H12" t="str">
            <v>上海师范大学</v>
          </cell>
          <cell r="I12" t="str">
            <v>骨干</v>
          </cell>
          <cell r="J12">
            <v>2</v>
          </cell>
          <cell r="K12" t="str">
            <v>数据研发</v>
          </cell>
          <cell r="L12" t="str">
            <v>校园招聘</v>
          </cell>
        </row>
        <row r="12">
          <cell r="P12" t="str">
            <v>23技术能手</v>
          </cell>
        </row>
        <row r="12">
          <cell r="R12">
            <v>12</v>
          </cell>
        </row>
        <row r="13">
          <cell r="B13" t="str">
            <v>曹宁远</v>
          </cell>
          <cell r="C13" t="str">
            <v>数据平台部</v>
          </cell>
          <cell r="D13" t="str">
            <v>工具开发组</v>
          </cell>
          <cell r="E13" t="str">
            <v>男</v>
          </cell>
          <cell r="F13">
            <v>6</v>
          </cell>
          <cell r="G13" t="str">
            <v>研究生</v>
          </cell>
          <cell r="H13" t="str">
            <v>北京理工大学</v>
          </cell>
          <cell r="I13" t="str">
            <v>组长</v>
          </cell>
          <cell r="J13">
            <v>2</v>
          </cell>
          <cell r="K13" t="str">
            <v>数据研发</v>
          </cell>
          <cell r="L13" t="str">
            <v>校园招聘</v>
          </cell>
        </row>
        <row r="13">
          <cell r="R13">
            <v>8</v>
          </cell>
        </row>
        <row r="14">
          <cell r="B14" t="str">
            <v>伍恒</v>
          </cell>
          <cell r="C14" t="str">
            <v>数据平台部</v>
          </cell>
          <cell r="D14" t="str">
            <v>工具开发组</v>
          </cell>
          <cell r="E14" t="str">
            <v>男</v>
          </cell>
          <cell r="F14">
            <v>8</v>
          </cell>
          <cell r="G14" t="str">
            <v>研究生</v>
          </cell>
          <cell r="H14" t="str">
            <v>武汉科技大学</v>
          </cell>
          <cell r="I14" t="str">
            <v>骨干</v>
          </cell>
          <cell r="J14">
            <v>2</v>
          </cell>
          <cell r="K14" t="str">
            <v>数据研发</v>
          </cell>
          <cell r="L14" t="str">
            <v>校园招聘</v>
          </cell>
        </row>
        <row r="14">
          <cell r="P14" t="str">
            <v>23研究与创新奖</v>
          </cell>
        </row>
        <row r="14">
          <cell r="R14">
            <v>6</v>
          </cell>
        </row>
        <row r="15">
          <cell r="B15" t="str">
            <v>王正超</v>
          </cell>
          <cell r="C15" t="str">
            <v>数据平台部</v>
          </cell>
          <cell r="D15" t="str">
            <v>应用开发组</v>
          </cell>
          <cell r="E15" t="str">
            <v>男</v>
          </cell>
          <cell r="F15">
            <v>6</v>
          </cell>
          <cell r="G15" t="str">
            <v>研究生</v>
          </cell>
          <cell r="H15" t="str">
            <v>北京交通大学</v>
          </cell>
          <cell r="I15" t="str">
            <v>骨干</v>
          </cell>
          <cell r="J15">
            <v>3</v>
          </cell>
          <cell r="K15" t="str">
            <v>数据研发</v>
          </cell>
          <cell r="L15" t="str">
            <v>校园招聘</v>
          </cell>
        </row>
        <row r="15">
          <cell r="R15">
            <v>9</v>
          </cell>
        </row>
        <row r="16">
          <cell r="B16" t="str">
            <v>嵇雅娟</v>
          </cell>
          <cell r="C16" t="str">
            <v>数据平台部</v>
          </cell>
          <cell r="D16" t="str">
            <v>应用开发组</v>
          </cell>
          <cell r="E16" t="str">
            <v>女</v>
          </cell>
          <cell r="F16">
            <v>11</v>
          </cell>
          <cell r="G16" t="str">
            <v>大学本科</v>
          </cell>
          <cell r="H16" t="str">
            <v>中国科学技术大学</v>
          </cell>
          <cell r="I16" t="str">
            <v>骨干</v>
          </cell>
          <cell r="J16">
            <v>2</v>
          </cell>
          <cell r="K16" t="str">
            <v>数据研发</v>
          </cell>
          <cell r="L16" t="str">
            <v>社会招聘</v>
          </cell>
        </row>
        <row r="16">
          <cell r="R16">
            <v>23</v>
          </cell>
        </row>
        <row r="17">
          <cell r="B17" t="str">
            <v>鞠爱宁</v>
          </cell>
          <cell r="C17" t="str">
            <v>数据平台部</v>
          </cell>
          <cell r="D17" t="str">
            <v>数据服务组</v>
          </cell>
          <cell r="E17" t="str">
            <v>男</v>
          </cell>
          <cell r="F17">
            <v>8</v>
          </cell>
          <cell r="G17" t="str">
            <v>研究生</v>
          </cell>
          <cell r="H17" t="str">
            <v>上海大学</v>
          </cell>
          <cell r="I17" t="str">
            <v>组长</v>
          </cell>
          <cell r="J17">
            <v>3</v>
          </cell>
          <cell r="K17" t="str">
            <v>数据研发</v>
          </cell>
          <cell r="L17" t="str">
            <v>校园招聘</v>
          </cell>
        </row>
        <row r="17">
          <cell r="P17" t="str">
            <v>24技术能手</v>
          </cell>
        </row>
        <row r="17">
          <cell r="R17">
            <v>5</v>
          </cell>
        </row>
        <row r="18">
          <cell r="B18" t="str">
            <v>魏佳翔</v>
          </cell>
          <cell r="C18" t="str">
            <v>数据平台部</v>
          </cell>
          <cell r="D18" t="str">
            <v>数据服务组</v>
          </cell>
          <cell r="E18" t="str">
            <v>男</v>
          </cell>
          <cell r="F18">
            <v>12</v>
          </cell>
          <cell r="G18" t="str">
            <v>大学本科</v>
          </cell>
          <cell r="H18" t="str">
            <v>大连海事大学</v>
          </cell>
          <cell r="I18" t="str">
            <v>组长</v>
          </cell>
          <cell r="J18">
            <v>2</v>
          </cell>
          <cell r="K18" t="str">
            <v>数据研发</v>
          </cell>
          <cell r="L18" t="str">
            <v>社会招聘</v>
          </cell>
        </row>
        <row r="18">
          <cell r="R18">
            <v>11</v>
          </cell>
        </row>
        <row r="19">
          <cell r="B19" t="str">
            <v>刘燕玲</v>
          </cell>
          <cell r="C19" t="str">
            <v>数据治理部</v>
          </cell>
          <cell r="D19" t="str">
            <v>标准质量组</v>
          </cell>
          <cell r="E19" t="str">
            <v>女</v>
          </cell>
          <cell r="F19">
            <v>10</v>
          </cell>
          <cell r="G19" t="str">
            <v>研究生</v>
          </cell>
          <cell r="H19" t="str">
            <v>复旦大学</v>
          </cell>
          <cell r="I19" t="str">
            <v>组长</v>
          </cell>
        </row>
        <row r="19">
          <cell r="K19" t="str">
            <v>数据治理</v>
          </cell>
          <cell r="L19" t="str">
            <v>社会招聘</v>
          </cell>
        </row>
        <row r="19">
          <cell r="P19" t="str">
            <v>24五星质量奖/25行外获奖1</v>
          </cell>
        </row>
        <row r="19">
          <cell r="R19">
            <v>12</v>
          </cell>
        </row>
        <row r="20">
          <cell r="B20" t="str">
            <v>于璐</v>
          </cell>
          <cell r="C20" t="str">
            <v>数据治理部</v>
          </cell>
          <cell r="D20" t="str">
            <v>标准质量组</v>
          </cell>
          <cell r="E20" t="str">
            <v>女</v>
          </cell>
          <cell r="F20">
            <v>8</v>
          </cell>
          <cell r="G20" t="str">
            <v>大学本科</v>
          </cell>
          <cell r="H20" t="str">
            <v>合肥工业大学</v>
          </cell>
          <cell r="I20" t="str">
            <v>骨干</v>
          </cell>
          <cell r="J20">
            <v>3</v>
          </cell>
          <cell r="K20" t="str">
            <v>数据治理</v>
          </cell>
          <cell r="L20" t="str">
            <v>校园招聘</v>
          </cell>
        </row>
        <row r="20">
          <cell r="P20" t="str">
            <v>24最佳合作服务奖/24数据文化优秀贡献者</v>
          </cell>
        </row>
        <row r="20">
          <cell r="R20">
            <v>11</v>
          </cell>
        </row>
        <row r="21">
          <cell r="B21" t="str">
            <v>米俊文</v>
          </cell>
          <cell r="C21" t="str">
            <v>数据治理部</v>
          </cell>
          <cell r="D21" t="str">
            <v>架构安全组</v>
          </cell>
          <cell r="E21" t="str">
            <v>男</v>
          </cell>
          <cell r="F21">
            <v>16</v>
          </cell>
          <cell r="G21" t="str">
            <v>研究生</v>
          </cell>
          <cell r="H21" t="str">
            <v>同济大学</v>
          </cell>
          <cell r="I21" t="str">
            <v>骨干</v>
          </cell>
          <cell r="J21">
            <v>2</v>
          </cell>
          <cell r="K21" t="str">
            <v>架构管理</v>
          </cell>
          <cell r="L21" t="str">
            <v>社会招聘</v>
          </cell>
        </row>
        <row r="21">
          <cell r="Q21">
            <v>8</v>
          </cell>
          <cell r="R21">
            <v>7</v>
          </cell>
        </row>
        <row r="22">
          <cell r="B22" t="str">
            <v>庄家宙</v>
          </cell>
          <cell r="C22" t="str">
            <v>数据治理部</v>
          </cell>
          <cell r="D22" t="str">
            <v>架构安全组</v>
          </cell>
          <cell r="E22" t="str">
            <v>男</v>
          </cell>
          <cell r="F22">
            <v>17</v>
          </cell>
          <cell r="G22" t="str">
            <v>大学本科</v>
          </cell>
          <cell r="H22" t="str">
            <v>华东师范大学</v>
          </cell>
          <cell r="I22" t="str">
            <v>组长</v>
          </cell>
          <cell r="J22">
            <v>4</v>
          </cell>
          <cell r="K22" t="str">
            <v>数据安全</v>
          </cell>
          <cell r="L22" t="str">
            <v>社会招聘</v>
          </cell>
        </row>
        <row r="22">
          <cell r="R22">
            <v>7</v>
          </cell>
        </row>
        <row r="23">
          <cell r="B23" t="str">
            <v>舒宝龙</v>
          </cell>
          <cell r="C23" t="str">
            <v>信息管理部</v>
          </cell>
          <cell r="D23" t="str">
            <v>分行BP</v>
          </cell>
          <cell r="E23" t="str">
            <v>男</v>
          </cell>
          <cell r="F23">
            <v>4</v>
          </cell>
          <cell r="G23" t="str">
            <v>研究生</v>
          </cell>
          <cell r="H23" t="str">
            <v>南方卫理公会大学</v>
          </cell>
          <cell r="I23" t="str">
            <v>组长</v>
          </cell>
        </row>
        <row r="23">
          <cell r="K23" t="str">
            <v>数据分析</v>
          </cell>
          <cell r="L23" t="str">
            <v>社会招聘</v>
          </cell>
        </row>
        <row r="23">
          <cell r="R23">
            <v>1</v>
          </cell>
        </row>
        <row r="24">
          <cell r="B24" t="str">
            <v>陆应佳玥</v>
          </cell>
          <cell r="C24" t="str">
            <v>信息管理部</v>
          </cell>
          <cell r="D24" t="str">
            <v>分行BP</v>
          </cell>
          <cell r="E24" t="str">
            <v>女</v>
          </cell>
          <cell r="F24">
            <v>3</v>
          </cell>
          <cell r="G24" t="str">
            <v>研究生</v>
          </cell>
          <cell r="H24" t="str">
            <v>悉尼大学</v>
          </cell>
          <cell r="I24" t="str">
            <v>骨干候选人</v>
          </cell>
          <cell r="J24">
            <v>2</v>
          </cell>
          <cell r="K24" t="str">
            <v>数据分析</v>
          </cell>
          <cell r="L24" t="str">
            <v>校园招聘</v>
          </cell>
        </row>
        <row r="24">
          <cell r="R24">
            <v>14</v>
          </cell>
        </row>
        <row r="25">
          <cell r="B25" t="str">
            <v>胡承萱</v>
          </cell>
          <cell r="C25" t="str">
            <v>信息管理部</v>
          </cell>
          <cell r="D25" t="str">
            <v>非零BP</v>
          </cell>
          <cell r="E25" t="str">
            <v>女</v>
          </cell>
          <cell r="F25">
            <v>4</v>
          </cell>
          <cell r="G25" t="str">
            <v>研究生</v>
          </cell>
          <cell r="H25" t="str">
            <v>哥伦比亚大学</v>
          </cell>
          <cell r="I25" t="str">
            <v>组长</v>
          </cell>
          <cell r="J25">
            <v>2</v>
          </cell>
          <cell r="K25" t="str">
            <v>数据分析</v>
          </cell>
          <cell r="L25" t="str">
            <v>校园招聘</v>
          </cell>
        </row>
        <row r="25">
          <cell r="R25">
            <v>15</v>
          </cell>
        </row>
        <row r="26">
          <cell r="B26" t="str">
            <v>王亮</v>
          </cell>
          <cell r="C26" t="str">
            <v>信息管理部</v>
          </cell>
          <cell r="D26" t="str">
            <v>非零BP</v>
          </cell>
          <cell r="E26" t="str">
            <v>男</v>
          </cell>
          <cell r="F26">
            <v>6</v>
          </cell>
          <cell r="G26" t="str">
            <v>研究生</v>
          </cell>
          <cell r="H26" t="str">
            <v>上海大学</v>
          </cell>
          <cell r="I26" t="str">
            <v>骨干</v>
          </cell>
          <cell r="J26">
            <v>3</v>
          </cell>
          <cell r="K26" t="str">
            <v>数据分析</v>
          </cell>
          <cell r="L26" t="str">
            <v>校园招聘</v>
          </cell>
        </row>
        <row r="26">
          <cell r="R26">
            <v>10</v>
          </cell>
        </row>
        <row r="27">
          <cell r="B27" t="str">
            <v>曹婉茹</v>
          </cell>
          <cell r="C27" t="str">
            <v>信息管理部</v>
          </cell>
          <cell r="D27" t="str">
            <v>零售BP</v>
          </cell>
          <cell r="E27" t="str">
            <v>女</v>
          </cell>
          <cell r="F27">
            <v>6</v>
          </cell>
          <cell r="G27" t="str">
            <v>研究生</v>
          </cell>
          <cell r="H27" t="str">
            <v>北京师范大学</v>
          </cell>
          <cell r="I27" t="str">
            <v>组长</v>
          </cell>
          <cell r="J27">
            <v>2</v>
          </cell>
          <cell r="K27" t="str">
            <v>数据分析</v>
          </cell>
          <cell r="L27" t="str">
            <v>校园招聘</v>
          </cell>
          <cell r="M27" t="str">
            <v>第三党支部组织委员</v>
          </cell>
        </row>
        <row r="27">
          <cell r="R27">
            <v>8</v>
          </cell>
        </row>
        <row r="28">
          <cell r="B28" t="str">
            <v>杨陆</v>
          </cell>
          <cell r="C28" t="str">
            <v>信息管理部</v>
          </cell>
          <cell r="D28" t="str">
            <v>零售BP</v>
          </cell>
          <cell r="E28" t="str">
            <v>女</v>
          </cell>
          <cell r="F28">
            <v>4</v>
          </cell>
          <cell r="G28" t="str">
            <v>研究生</v>
          </cell>
          <cell r="H28" t="str">
            <v>南京师范大学</v>
          </cell>
          <cell r="I28" t="str">
            <v>骨干</v>
          </cell>
          <cell r="J28">
            <v>2</v>
          </cell>
          <cell r="K28" t="str">
            <v>数据分析</v>
          </cell>
          <cell r="L28" t="str">
            <v>校园招聘</v>
          </cell>
        </row>
        <row r="28">
          <cell r="N28" t="str">
            <v>工会会员代表</v>
          </cell>
        </row>
        <row r="28">
          <cell r="R28">
            <v>6</v>
          </cell>
        </row>
        <row r="29">
          <cell r="B29" t="str">
            <v>郭庆睿</v>
          </cell>
          <cell r="C29" t="str">
            <v>信息统计部</v>
          </cell>
          <cell r="D29" t="str">
            <v>管理信息组</v>
          </cell>
          <cell r="E29" t="str">
            <v>男</v>
          </cell>
          <cell r="F29">
            <v>8</v>
          </cell>
          <cell r="G29" t="str">
            <v>研究生</v>
          </cell>
          <cell r="H29" t="str">
            <v>复旦大学</v>
          </cell>
          <cell r="I29" t="str">
            <v>组长</v>
          </cell>
          <cell r="J29">
            <v>3</v>
          </cell>
          <cell r="K29" t="str">
            <v>数据分析</v>
          </cell>
          <cell r="L29" t="str">
            <v>校园招聘</v>
          </cell>
        </row>
        <row r="29">
          <cell r="R29">
            <v>8</v>
          </cell>
        </row>
        <row r="30">
          <cell r="B30" t="str">
            <v>王素雅</v>
          </cell>
          <cell r="C30" t="str">
            <v>信息统计部</v>
          </cell>
          <cell r="D30" t="str">
            <v>管理信息组</v>
          </cell>
          <cell r="E30" t="str">
            <v>女</v>
          </cell>
          <cell r="F30">
            <v>6</v>
          </cell>
          <cell r="G30" t="str">
            <v>研究生</v>
          </cell>
          <cell r="H30" t="str">
            <v>华中师范大学</v>
          </cell>
          <cell r="I30" t="str">
            <v>骨干</v>
          </cell>
          <cell r="J30">
            <v>3</v>
          </cell>
          <cell r="K30" t="str">
            <v>数据分析</v>
          </cell>
          <cell r="L30" t="str">
            <v>校园招聘</v>
          </cell>
        </row>
        <row r="30">
          <cell r="Q30">
            <v>12</v>
          </cell>
          <cell r="R30">
            <v>10</v>
          </cell>
        </row>
        <row r="31">
          <cell r="B31" t="str">
            <v>张伟亮</v>
          </cell>
          <cell r="C31" t="str">
            <v>信息统计部</v>
          </cell>
          <cell r="D31" t="str">
            <v>监管数据治理</v>
          </cell>
          <cell r="E31" t="str">
            <v>男</v>
          </cell>
          <cell r="F31">
            <v>7</v>
          </cell>
          <cell r="G31" t="str">
            <v>研究生</v>
          </cell>
          <cell r="H31" t="str">
            <v>西南交通大学</v>
          </cell>
          <cell r="I31" t="str">
            <v>组长</v>
          </cell>
          <cell r="J31">
            <v>4</v>
          </cell>
          <cell r="K31" t="str">
            <v>监管统计</v>
          </cell>
          <cell r="L31" t="str">
            <v>校园招聘</v>
          </cell>
        </row>
        <row r="31">
          <cell r="Q31">
            <v>12</v>
          </cell>
          <cell r="R31">
            <v>11</v>
          </cell>
        </row>
        <row r="32">
          <cell r="B32" t="str">
            <v>王书祥</v>
          </cell>
          <cell r="C32" t="str">
            <v>信息统计部</v>
          </cell>
          <cell r="D32" t="str">
            <v>监管数据治理</v>
          </cell>
          <cell r="E32" t="str">
            <v>男</v>
          </cell>
          <cell r="F32">
            <v>11</v>
          </cell>
          <cell r="G32" t="str">
            <v>大学本科</v>
          </cell>
          <cell r="H32" t="str">
            <v>上海对外经贸大学</v>
          </cell>
          <cell r="I32" t="str">
            <v>骨干</v>
          </cell>
          <cell r="J32">
            <v>2</v>
          </cell>
          <cell r="K32" t="str">
            <v>监管统计</v>
          </cell>
          <cell r="L32" t="str">
            <v>社会招聘</v>
          </cell>
        </row>
        <row r="32">
          <cell r="R32">
            <v>10</v>
          </cell>
        </row>
        <row r="33">
          <cell r="B33" t="str">
            <v>王新</v>
          </cell>
          <cell r="C33" t="str">
            <v>信息统计部</v>
          </cell>
          <cell r="D33" t="str">
            <v>监管统计组</v>
          </cell>
          <cell r="E33" t="str">
            <v>男</v>
          </cell>
          <cell r="F33">
            <v>9</v>
          </cell>
          <cell r="G33" t="str">
            <v>大学本科</v>
          </cell>
          <cell r="H33" t="str">
            <v>吉林大学</v>
          </cell>
          <cell r="I33" t="str">
            <v>组长</v>
          </cell>
          <cell r="J33">
            <v>2</v>
          </cell>
          <cell r="K33" t="str">
            <v>数据分析</v>
          </cell>
          <cell r="L33" t="str">
            <v>社会招聘</v>
          </cell>
        </row>
        <row r="33">
          <cell r="R33">
            <v>14</v>
          </cell>
        </row>
        <row r="34">
          <cell r="B34" t="str">
            <v>杨婧</v>
          </cell>
          <cell r="C34" t="str">
            <v>智能创新部</v>
          </cell>
          <cell r="D34" t="str">
            <v>AI产品运营组</v>
          </cell>
          <cell r="E34" t="str">
            <v>女</v>
          </cell>
          <cell r="F34">
            <v>5</v>
          </cell>
          <cell r="G34" t="str">
            <v>研究生</v>
          </cell>
          <cell r="H34" t="str">
            <v>中国科学技术大学</v>
          </cell>
          <cell r="I34" t="str">
            <v>组长</v>
          </cell>
          <cell r="J34">
            <v>2</v>
          </cell>
          <cell r="K34" t="str">
            <v>数据研发</v>
          </cell>
          <cell r="L34" t="str">
            <v>校园招聘</v>
          </cell>
        </row>
        <row r="34">
          <cell r="P34" t="str">
            <v>23/24数据文化优秀贡献者/24研究与创新奖</v>
          </cell>
          <cell r="Q34">
            <v>15</v>
          </cell>
          <cell r="R34">
            <v>14</v>
          </cell>
        </row>
        <row r="35">
          <cell r="B35" t="str">
            <v>邱玥</v>
          </cell>
          <cell r="C35" t="str">
            <v>智能创新部</v>
          </cell>
          <cell r="D35" t="str">
            <v>AI产品运营组</v>
          </cell>
          <cell r="E35" t="str">
            <v>女</v>
          </cell>
          <cell r="F35">
            <v>3</v>
          </cell>
          <cell r="G35" t="str">
            <v>研究生</v>
          </cell>
          <cell r="H35" t="str">
            <v>东华大学</v>
          </cell>
          <cell r="I35" t="str">
            <v>骨干</v>
          </cell>
          <cell r="J35">
            <v>2</v>
          </cell>
          <cell r="K35" t="str">
            <v>数据研发</v>
          </cell>
          <cell r="L35" t="str">
            <v>校园招聘</v>
          </cell>
        </row>
        <row r="35">
          <cell r="R35">
            <v>16</v>
          </cell>
        </row>
        <row r="36">
          <cell r="B36" t="str">
            <v>李响</v>
          </cell>
          <cell r="C36" t="str">
            <v>智能创新部</v>
          </cell>
          <cell r="D36" t="str">
            <v>AI基础研发组</v>
          </cell>
          <cell r="E36" t="str">
            <v>男</v>
          </cell>
          <cell r="F36">
            <v>13</v>
          </cell>
          <cell r="G36" t="str">
            <v>大学本科</v>
          </cell>
          <cell r="H36" t="str">
            <v>哈尔滨工业大学</v>
          </cell>
          <cell r="I36" t="str">
            <v>组长</v>
          </cell>
          <cell r="J36">
            <v>2</v>
          </cell>
          <cell r="K36" t="str">
            <v>数据研发</v>
          </cell>
          <cell r="L36" t="str">
            <v>社会招聘</v>
          </cell>
        </row>
        <row r="36">
          <cell r="Q36">
            <v>8</v>
          </cell>
          <cell r="R36">
            <v>7</v>
          </cell>
        </row>
        <row r="37">
          <cell r="B37" t="str">
            <v>于中宝</v>
          </cell>
          <cell r="C37" t="str">
            <v>智能创新部</v>
          </cell>
          <cell r="D37" t="str">
            <v>AI基础研发组</v>
          </cell>
          <cell r="E37" t="str">
            <v>男</v>
          </cell>
          <cell r="F37">
            <v>6</v>
          </cell>
          <cell r="G37" t="str">
            <v>研究生</v>
          </cell>
          <cell r="H37" t="str">
            <v>华东理工大学</v>
          </cell>
          <cell r="I37" t="str">
            <v>骨干</v>
          </cell>
          <cell r="J37">
            <v>3</v>
          </cell>
          <cell r="K37" t="str">
            <v>数据研发</v>
          </cell>
          <cell r="L37" t="str">
            <v>校园招聘</v>
          </cell>
        </row>
        <row r="37">
          <cell r="P37" t="str">
            <v>23数据文化优秀贡献者/24年度宣传大使</v>
          </cell>
          <cell r="Q37">
            <v>12</v>
          </cell>
          <cell r="R37">
            <v>12</v>
          </cell>
        </row>
        <row r="38">
          <cell r="B38" t="str">
            <v>杨萍</v>
          </cell>
          <cell r="C38" t="str">
            <v>综合管理部</v>
          </cell>
          <cell r="D38" t="str">
            <v>测试管理组</v>
          </cell>
          <cell r="E38" t="str">
            <v>女</v>
          </cell>
          <cell r="F38">
            <v>11</v>
          </cell>
          <cell r="G38" t="str">
            <v>研究生</v>
          </cell>
          <cell r="H38" t="str">
            <v>上海大学</v>
          </cell>
          <cell r="I38" t="str">
            <v>组长</v>
          </cell>
          <cell r="J38">
            <v>3</v>
          </cell>
          <cell r="K38" t="str">
            <v>数据测试</v>
          </cell>
          <cell r="L38" t="str">
            <v>社会招聘</v>
          </cell>
        </row>
        <row r="38">
          <cell r="R38">
            <v>11</v>
          </cell>
        </row>
        <row r="39">
          <cell r="B39" t="str">
            <v>蒋书润</v>
          </cell>
          <cell r="C39" t="str">
            <v>综合管理部</v>
          </cell>
          <cell r="D39" t="str">
            <v>测试管理组</v>
          </cell>
          <cell r="E39" t="str">
            <v>女</v>
          </cell>
          <cell r="F39">
            <v>3</v>
          </cell>
          <cell r="G39" t="str">
            <v>研究生</v>
          </cell>
          <cell r="H39" t="str">
            <v>南加州大学</v>
          </cell>
          <cell r="I39" t="str">
            <v>骨干候选人</v>
          </cell>
          <cell r="J39">
            <v>2</v>
          </cell>
          <cell r="K39" t="str">
            <v>数据测试</v>
          </cell>
          <cell r="L39" t="str">
            <v>校园招聘</v>
          </cell>
        </row>
        <row r="39">
          <cell r="P39" t="str">
            <v>24最佳新人</v>
          </cell>
        </row>
        <row r="39">
          <cell r="R39">
            <v>13</v>
          </cell>
        </row>
        <row r="40">
          <cell r="B40" t="str">
            <v>黄佳佳</v>
          </cell>
          <cell r="C40" t="str">
            <v>综合管理部</v>
          </cell>
          <cell r="D40" t="str">
            <v>项目管理团队</v>
          </cell>
          <cell r="E40" t="str">
            <v>男</v>
          </cell>
          <cell r="F40">
            <v>7</v>
          </cell>
          <cell r="G40" t="str">
            <v>研究生</v>
          </cell>
          <cell r="H40" t="str">
            <v>东华大学</v>
          </cell>
          <cell r="I40" t="str">
            <v>骨干</v>
          </cell>
          <cell r="J40">
            <v>4</v>
          </cell>
          <cell r="K40" t="str">
            <v>项目管理</v>
          </cell>
          <cell r="L40" t="str">
            <v>校园招聘</v>
          </cell>
          <cell r="M40" t="str">
            <v>第三党支部纪检委员</v>
          </cell>
        </row>
        <row r="40">
          <cell r="Q40">
            <v>16</v>
          </cell>
          <cell r="R40">
            <v>15</v>
          </cell>
        </row>
        <row r="41">
          <cell r="B41" t="str">
            <v>曾敏锐</v>
          </cell>
          <cell r="C41" t="str">
            <v>综合管理部</v>
          </cell>
          <cell r="D41" t="str">
            <v>项目管理团队</v>
          </cell>
          <cell r="E41" t="str">
            <v>女</v>
          </cell>
          <cell r="F41">
            <v>14</v>
          </cell>
          <cell r="G41" t="str">
            <v>大学本科</v>
          </cell>
          <cell r="H41" t="str">
            <v>山东财政学院</v>
          </cell>
          <cell r="I41" t="str">
            <v>组长</v>
          </cell>
          <cell r="J41">
            <v>2</v>
          </cell>
          <cell r="K41" t="str">
            <v>项目管理</v>
          </cell>
          <cell r="L41" t="str">
            <v>社会招聘</v>
          </cell>
        </row>
        <row r="41">
          <cell r="P41" t="str">
            <v>23最佳合作服务奖</v>
          </cell>
        </row>
        <row r="41">
          <cell r="R41">
            <v>5</v>
          </cell>
        </row>
        <row r="42">
          <cell r="B42" t="str">
            <v>李梦霄</v>
          </cell>
          <cell r="C42" t="str">
            <v>智能创新部</v>
          </cell>
          <cell r="D42" t="str">
            <v>风险模型团队</v>
          </cell>
          <cell r="E42" t="str">
            <v>女</v>
          </cell>
          <cell r="F42">
            <v>6</v>
          </cell>
          <cell r="G42" t="str">
            <v>研究生</v>
          </cell>
          <cell r="H42" t="str">
            <v>华东理工大学</v>
          </cell>
          <cell r="I42" t="str">
            <v>组长</v>
          </cell>
          <cell r="J42">
            <v>3</v>
          </cell>
          <cell r="K42" t="str">
            <v>数据研发</v>
          </cell>
          <cell r="L42" t="str">
            <v>校园招聘</v>
          </cell>
          <cell r="M42" t="str">
            <v>第二党支部组织委员</v>
          </cell>
        </row>
        <row r="42">
          <cell r="P42" t="str">
            <v>23数据文化优秀贡献者</v>
          </cell>
          <cell r="Q42">
            <v>16</v>
          </cell>
          <cell r="R42">
            <v>17</v>
          </cell>
        </row>
        <row r="43">
          <cell r="B43" t="str">
            <v>于俊杰</v>
          </cell>
          <cell r="C43" t="str">
            <v>智能创新部</v>
          </cell>
          <cell r="D43" t="str">
            <v>风险模型团队</v>
          </cell>
          <cell r="E43" t="str">
            <v>男</v>
          </cell>
          <cell r="F43">
            <v>3</v>
          </cell>
          <cell r="G43" t="str">
            <v>研究生</v>
          </cell>
          <cell r="H43" t="str">
            <v>华东理工大学</v>
          </cell>
          <cell r="I43" t="str">
            <v>骨干候选人</v>
          </cell>
          <cell r="J43">
            <v>2</v>
          </cell>
          <cell r="K43" t="str">
            <v>数据研发</v>
          </cell>
          <cell r="L43" t="str">
            <v>校园招聘</v>
          </cell>
        </row>
        <row r="43">
          <cell r="R43">
            <v>19</v>
          </cell>
        </row>
        <row r="44">
          <cell r="B44" t="str">
            <v>周影</v>
          </cell>
          <cell r="C44" t="str">
            <v>数据开发部</v>
          </cell>
          <cell r="D44" t="str">
            <v>仓库开发组</v>
          </cell>
          <cell r="E44" t="str">
            <v>女</v>
          </cell>
          <cell r="F44">
            <v>7</v>
          </cell>
          <cell r="G44" t="str">
            <v>研究生</v>
          </cell>
          <cell r="H44" t="str">
            <v>湖南大学</v>
          </cell>
          <cell r="I44" t="str">
            <v>骨干</v>
          </cell>
          <cell r="J44">
            <v>2</v>
          </cell>
          <cell r="K44" t="str">
            <v>数据研发</v>
          </cell>
          <cell r="L44" t="str">
            <v>校园招聘</v>
          </cell>
        </row>
        <row r="44">
          <cell r="Q44">
            <v>10</v>
          </cell>
          <cell r="R44">
            <v>9</v>
          </cell>
        </row>
        <row r="45">
          <cell r="B45" t="str">
            <v>康冉</v>
          </cell>
          <cell r="C45" t="str">
            <v>综合管理部</v>
          </cell>
          <cell r="D45" t="str">
            <v>项目管理团队</v>
          </cell>
          <cell r="E45" t="str">
            <v>女</v>
          </cell>
          <cell r="F45">
            <v>6</v>
          </cell>
          <cell r="G45" t="str">
            <v>研究生</v>
          </cell>
          <cell r="H45" t="str">
            <v>南京师范大学</v>
          </cell>
          <cell r="I45" t="str">
            <v>骨干</v>
          </cell>
          <cell r="J45">
            <v>4</v>
          </cell>
          <cell r="K45" t="str">
            <v>数据研发</v>
          </cell>
          <cell r="L45" t="str">
            <v>校园招聘</v>
          </cell>
          <cell r="M45" t="str">
            <v>第二党支部纪检委员</v>
          </cell>
        </row>
        <row r="45">
          <cell r="O45" t="str">
            <v>团委学习委员</v>
          </cell>
        </row>
        <row r="45">
          <cell r="R45">
            <v>12</v>
          </cell>
        </row>
        <row r="46">
          <cell r="B46" t="str">
            <v>姚志环</v>
          </cell>
          <cell r="C46" t="str">
            <v>数据开发部</v>
          </cell>
          <cell r="D46" t="str">
            <v>仓库开发组</v>
          </cell>
          <cell r="E46" t="str">
            <v>女</v>
          </cell>
          <cell r="F46">
            <v>6</v>
          </cell>
          <cell r="G46" t="str">
            <v>研究生</v>
          </cell>
          <cell r="H46" t="str">
            <v>华东理工大学</v>
          </cell>
          <cell r="I46" t="str">
            <v>骨干</v>
          </cell>
          <cell r="J46">
            <v>2</v>
          </cell>
          <cell r="K46" t="str">
            <v>数据研发</v>
          </cell>
          <cell r="L46" t="str">
            <v>校园招聘</v>
          </cell>
        </row>
        <row r="46">
          <cell r="R46">
            <v>14</v>
          </cell>
        </row>
        <row r="47">
          <cell r="B47" t="str">
            <v>林幸</v>
          </cell>
          <cell r="C47" t="str">
            <v>数据开发部</v>
          </cell>
          <cell r="D47" t="str">
            <v>仓库开发组</v>
          </cell>
          <cell r="E47" t="str">
            <v>女</v>
          </cell>
          <cell r="F47">
            <v>4</v>
          </cell>
          <cell r="G47" t="str">
            <v>研究生</v>
          </cell>
          <cell r="H47" t="str">
            <v>东北大学</v>
          </cell>
          <cell r="I47" t="str">
            <v>骨干</v>
          </cell>
          <cell r="J47">
            <v>1</v>
          </cell>
          <cell r="K47" t="str">
            <v>数据研发</v>
          </cell>
          <cell r="L47" t="str">
            <v>校园招聘</v>
          </cell>
        </row>
        <row r="47">
          <cell r="Q47">
            <v>13</v>
          </cell>
          <cell r="R47">
            <v>12</v>
          </cell>
        </row>
        <row r="48">
          <cell r="B48" t="str">
            <v>骆静龙</v>
          </cell>
          <cell r="C48" t="str">
            <v>数据开发部</v>
          </cell>
          <cell r="D48" t="str">
            <v>应用开发组</v>
          </cell>
          <cell r="E48" t="str">
            <v>男</v>
          </cell>
          <cell r="F48">
            <v>3</v>
          </cell>
          <cell r="G48" t="str">
            <v>大学本科</v>
          </cell>
          <cell r="H48" t="str">
            <v>华东师范大学</v>
          </cell>
          <cell r="I48" t="str">
            <v>骨干</v>
          </cell>
          <cell r="J48">
            <v>2</v>
          </cell>
          <cell r="K48" t="str">
            <v>数据研发</v>
          </cell>
          <cell r="L48" t="str">
            <v>校园招聘</v>
          </cell>
        </row>
        <row r="48">
          <cell r="P48" t="str">
            <v>23五星质量奖</v>
          </cell>
          <cell r="Q48">
            <v>16</v>
          </cell>
          <cell r="R48">
            <v>15</v>
          </cell>
        </row>
        <row r="49">
          <cell r="B49" t="str">
            <v>王言哲</v>
          </cell>
          <cell r="C49" t="str">
            <v>数据开发部</v>
          </cell>
          <cell r="D49" t="str">
            <v>应用开发组</v>
          </cell>
          <cell r="E49" t="str">
            <v>男</v>
          </cell>
          <cell r="F49">
            <v>4</v>
          </cell>
          <cell r="G49" t="str">
            <v>大学本科</v>
          </cell>
          <cell r="H49" t="str">
            <v>华东师范大学</v>
          </cell>
          <cell r="I49" t="str">
            <v>骨干</v>
          </cell>
          <cell r="J49">
            <v>1</v>
          </cell>
          <cell r="K49" t="str">
            <v>数据研发</v>
          </cell>
          <cell r="L49" t="str">
            <v>校园招聘</v>
          </cell>
        </row>
        <row r="49">
          <cell r="R49">
            <v>17</v>
          </cell>
        </row>
        <row r="50">
          <cell r="B50" t="str">
            <v>马富强</v>
          </cell>
          <cell r="C50" t="str">
            <v>数据开发部</v>
          </cell>
          <cell r="D50" t="str">
            <v>仓库开发组</v>
          </cell>
          <cell r="E50" t="str">
            <v>男</v>
          </cell>
          <cell r="F50">
            <v>8</v>
          </cell>
          <cell r="G50" t="str">
            <v>大学本科</v>
          </cell>
          <cell r="H50" t="str">
            <v>上海理工大学</v>
          </cell>
          <cell r="I50" t="str">
            <v>骨干</v>
          </cell>
        </row>
        <row r="50">
          <cell r="K50" t="str">
            <v>数据研发</v>
          </cell>
          <cell r="L50" t="str">
            <v>社会招聘</v>
          </cell>
        </row>
        <row r="50">
          <cell r="Q50">
            <v>14</v>
          </cell>
          <cell r="R50">
            <v>14</v>
          </cell>
        </row>
        <row r="51">
          <cell r="B51" t="str">
            <v>胡帆</v>
          </cell>
          <cell r="C51" t="str">
            <v>数据平台部</v>
          </cell>
          <cell r="D51" t="str">
            <v>数据服务组</v>
          </cell>
          <cell r="E51" t="str">
            <v>男</v>
          </cell>
          <cell r="F51">
            <v>4</v>
          </cell>
          <cell r="G51" t="str">
            <v>研究生</v>
          </cell>
          <cell r="H51" t="str">
            <v>华东理工大学</v>
          </cell>
          <cell r="I51" t="str">
            <v>骨干</v>
          </cell>
          <cell r="J51">
            <v>2</v>
          </cell>
          <cell r="K51" t="str">
            <v>数据研发</v>
          </cell>
          <cell r="L51" t="str">
            <v>校园招聘</v>
          </cell>
        </row>
        <row r="51">
          <cell r="R51">
            <v>14</v>
          </cell>
        </row>
        <row r="52">
          <cell r="B52" t="str">
            <v>陆凯华</v>
          </cell>
          <cell r="C52" t="str">
            <v>数据平台部</v>
          </cell>
          <cell r="D52" t="str">
            <v>数据服务组</v>
          </cell>
          <cell r="E52" t="str">
            <v>男</v>
          </cell>
          <cell r="F52" t="e">
            <v>#VALUE!</v>
          </cell>
          <cell r="G52" t="str">
            <v>研究生</v>
          </cell>
          <cell r="H52" t="str">
            <v>苏州大学</v>
          </cell>
          <cell r="I52" t="str">
            <v>骨干</v>
          </cell>
          <cell r="J52">
            <v>2</v>
          </cell>
          <cell r="K52" t="str">
            <v>数据研发</v>
          </cell>
          <cell r="L52" t="str">
            <v>校园招聘</v>
          </cell>
          <cell r="M52" t="str">
            <v>第一党支部组织委员</v>
          </cell>
        </row>
        <row r="52">
          <cell r="Q52">
            <v>13</v>
          </cell>
          <cell r="R52">
            <v>12</v>
          </cell>
        </row>
        <row r="53">
          <cell r="B53" t="str">
            <v>朱文川</v>
          </cell>
          <cell r="C53" t="str">
            <v>数据平台部</v>
          </cell>
          <cell r="D53" t="str">
            <v>工具开发组</v>
          </cell>
          <cell r="E53" t="str">
            <v>男</v>
          </cell>
          <cell r="F53">
            <v>3</v>
          </cell>
          <cell r="G53" t="str">
            <v>研究生</v>
          </cell>
          <cell r="H53" t="str">
            <v>上海大学</v>
          </cell>
          <cell r="I53" t="str">
            <v>骨干</v>
          </cell>
          <cell r="J53">
            <v>1</v>
          </cell>
          <cell r="K53" t="str">
            <v>数据研发</v>
          </cell>
          <cell r="L53" t="str">
            <v>校园招聘</v>
          </cell>
        </row>
        <row r="53">
          <cell r="R53">
            <v>11</v>
          </cell>
        </row>
        <row r="54">
          <cell r="B54" t="str">
            <v>王璐珊</v>
          </cell>
          <cell r="C54" t="str">
            <v>信息管理部</v>
          </cell>
          <cell r="D54" t="str">
            <v>零售BP</v>
          </cell>
          <cell r="E54" t="str">
            <v>女</v>
          </cell>
          <cell r="F54">
            <v>5</v>
          </cell>
          <cell r="G54" t="str">
            <v>研究生</v>
          </cell>
          <cell r="H54" t="str">
            <v>南开大学</v>
          </cell>
          <cell r="I54" t="str">
            <v>骨干</v>
          </cell>
          <cell r="J54">
            <v>2</v>
          </cell>
          <cell r="K54" t="str">
            <v>数据分析</v>
          </cell>
          <cell r="L54" t="str">
            <v>校园招聘</v>
          </cell>
        </row>
        <row r="54">
          <cell r="R54">
            <v>11</v>
          </cell>
        </row>
        <row r="55">
          <cell r="B55" t="str">
            <v>俞振飞</v>
          </cell>
          <cell r="C55" t="str">
            <v>信息管理部</v>
          </cell>
          <cell r="D55" t="str">
            <v>非零BP</v>
          </cell>
          <cell r="E55" t="str">
            <v>女</v>
          </cell>
          <cell r="F55">
            <v>4</v>
          </cell>
          <cell r="G55" t="str">
            <v>研究生</v>
          </cell>
          <cell r="H55" t="str">
            <v>波士顿大学</v>
          </cell>
          <cell r="I55" t="str">
            <v>骨干</v>
          </cell>
          <cell r="J55">
            <v>3</v>
          </cell>
          <cell r="K55" t="str">
            <v>数据分析</v>
          </cell>
          <cell r="L55" t="str">
            <v>校园招聘</v>
          </cell>
        </row>
        <row r="55">
          <cell r="Q55">
            <v>12</v>
          </cell>
          <cell r="R55">
            <v>11</v>
          </cell>
        </row>
        <row r="56">
          <cell r="B56" t="str">
            <v>汪乐乐</v>
          </cell>
          <cell r="C56" t="str">
            <v>信息管理部</v>
          </cell>
          <cell r="D56" t="str">
            <v>分行BP</v>
          </cell>
          <cell r="E56" t="str">
            <v>女</v>
          </cell>
          <cell r="F56">
            <v>3</v>
          </cell>
          <cell r="G56" t="str">
            <v>研究生</v>
          </cell>
          <cell r="H56" t="str">
            <v>东南大学</v>
          </cell>
          <cell r="I56" t="str">
            <v>骨干</v>
          </cell>
          <cell r="J56">
            <v>2</v>
          </cell>
          <cell r="K56" t="str">
            <v>数据分析</v>
          </cell>
          <cell r="L56" t="str">
            <v>校园招聘</v>
          </cell>
        </row>
        <row r="56">
          <cell r="R56">
            <v>8</v>
          </cell>
        </row>
        <row r="57">
          <cell r="B57" t="str">
            <v>姚蜜</v>
          </cell>
          <cell r="C57" t="str">
            <v>信息统计部</v>
          </cell>
          <cell r="D57" t="str">
            <v>管理信息应用</v>
          </cell>
          <cell r="E57" t="str">
            <v>女</v>
          </cell>
          <cell r="F57">
            <v>5</v>
          </cell>
          <cell r="G57" t="str">
            <v>研究生</v>
          </cell>
          <cell r="H57" t="str">
            <v>华中师范大学</v>
          </cell>
          <cell r="I57" t="str">
            <v>骨干</v>
          </cell>
          <cell r="J57">
            <v>2</v>
          </cell>
          <cell r="K57" t="str">
            <v>数据分析</v>
          </cell>
          <cell r="L57" t="str">
            <v>校园招聘</v>
          </cell>
        </row>
        <row r="57">
          <cell r="R57">
            <v>9</v>
          </cell>
        </row>
        <row r="58">
          <cell r="B58" t="str">
            <v>李然</v>
          </cell>
          <cell r="C58" t="str">
            <v>信息统计部</v>
          </cell>
          <cell r="D58" t="str">
            <v>监管统计</v>
          </cell>
          <cell r="E58" t="str">
            <v>男</v>
          </cell>
          <cell r="F58">
            <v>20</v>
          </cell>
          <cell r="G58" t="str">
            <v>研究生</v>
          </cell>
          <cell r="H58" t="str">
            <v>南新罕布什尔大学</v>
          </cell>
          <cell r="I58" t="str">
            <v>骨干</v>
          </cell>
          <cell r="J58">
            <v>3</v>
          </cell>
          <cell r="K58" t="str">
            <v>监管统计</v>
          </cell>
          <cell r="L58" t="str">
            <v>社会招聘</v>
          </cell>
        </row>
        <row r="58">
          <cell r="Q58">
            <v>9</v>
          </cell>
          <cell r="R58">
            <v>10</v>
          </cell>
        </row>
        <row r="59">
          <cell r="B59" t="str">
            <v>崔建文</v>
          </cell>
          <cell r="C59" t="str">
            <v>智能创新部</v>
          </cell>
          <cell r="D59" t="str">
            <v>模型开发组</v>
          </cell>
          <cell r="E59" t="str">
            <v>男</v>
          </cell>
          <cell r="F59">
            <v>5</v>
          </cell>
          <cell r="G59" t="str">
            <v>研究生</v>
          </cell>
          <cell r="H59" t="str">
            <v>厦门大学</v>
          </cell>
          <cell r="I59" t="str">
            <v>骨干</v>
          </cell>
          <cell r="J59">
            <v>2</v>
          </cell>
          <cell r="K59" t="str">
            <v>数据研发</v>
          </cell>
          <cell r="L59" t="str">
            <v>校园招聘</v>
          </cell>
        </row>
        <row r="59">
          <cell r="P59" t="str">
            <v>23/24数据文化优秀贡献者/25专利1</v>
          </cell>
        </row>
        <row r="59">
          <cell r="R59">
            <v>14</v>
          </cell>
        </row>
        <row r="60">
          <cell r="B60" t="str">
            <v>贾世林</v>
          </cell>
          <cell r="C60" t="str">
            <v>智能创新部</v>
          </cell>
          <cell r="D60" t="str">
            <v>AI基础研发组</v>
          </cell>
          <cell r="E60" t="str">
            <v>男</v>
          </cell>
          <cell r="F60">
            <v>5</v>
          </cell>
          <cell r="G60" t="str">
            <v>研究生</v>
          </cell>
          <cell r="H60" t="str">
            <v>上海师范大学</v>
          </cell>
          <cell r="I60" t="str">
            <v>骨干</v>
          </cell>
          <cell r="J60">
            <v>2</v>
          </cell>
          <cell r="K60" t="str">
            <v>数据研发</v>
          </cell>
          <cell r="L60" t="str">
            <v>社会招聘</v>
          </cell>
        </row>
        <row r="60">
          <cell r="P60" t="str">
            <v>23数据文化优秀贡献者/25专利1</v>
          </cell>
        </row>
        <row r="60">
          <cell r="R60">
            <v>11</v>
          </cell>
        </row>
        <row r="61">
          <cell r="B61" t="str">
            <v>陆文捷</v>
          </cell>
          <cell r="C61" t="str">
            <v>智能创新部</v>
          </cell>
          <cell r="D61" t="str">
            <v>模型开发组</v>
          </cell>
          <cell r="E61" t="str">
            <v>女</v>
          </cell>
          <cell r="F61">
            <v>1</v>
          </cell>
          <cell r="G61" t="str">
            <v>研究生</v>
          </cell>
          <cell r="H61" t="str">
            <v>苏州大学</v>
          </cell>
          <cell r="I61" t="str">
            <v>骨干</v>
          </cell>
          <cell r="J61">
            <v>2</v>
          </cell>
          <cell r="K61" t="str">
            <v>数据研发</v>
          </cell>
          <cell r="L61" t="str">
            <v>校园招聘</v>
          </cell>
        </row>
        <row r="61">
          <cell r="P61" t="str">
            <v>24最佳新人/25专利1</v>
          </cell>
          <cell r="Q61">
            <v>20</v>
          </cell>
          <cell r="R61">
            <v>18</v>
          </cell>
        </row>
        <row r="62">
          <cell r="B62" t="str">
            <v>陆雨欣</v>
          </cell>
          <cell r="C62" t="str">
            <v>综合管理部</v>
          </cell>
          <cell r="D62" t="str">
            <v>项目管理团队</v>
          </cell>
          <cell r="E62" t="str">
            <v>女</v>
          </cell>
          <cell r="F62">
            <v>6</v>
          </cell>
          <cell r="G62" t="str">
            <v>研究生</v>
          </cell>
          <cell r="H62" t="str">
            <v>加州大学戴维斯分校</v>
          </cell>
          <cell r="I62" t="str">
            <v>骨干</v>
          </cell>
          <cell r="J62">
            <v>3</v>
          </cell>
          <cell r="K62" t="str">
            <v>项目管理</v>
          </cell>
          <cell r="L62" t="str">
            <v>校园招聘</v>
          </cell>
        </row>
        <row r="62">
          <cell r="R62">
            <v>6</v>
          </cell>
        </row>
        <row r="63">
          <cell r="B63" t="str">
            <v>许阿云</v>
          </cell>
          <cell r="C63" t="str">
            <v>综合管理部</v>
          </cell>
          <cell r="D63" t="str">
            <v>综合管理组</v>
          </cell>
          <cell r="E63" t="str">
            <v>女</v>
          </cell>
          <cell r="F63">
            <v>6</v>
          </cell>
          <cell r="G63" t="str">
            <v>研究生</v>
          </cell>
          <cell r="H63" t="str">
            <v>华中师范大学</v>
          </cell>
          <cell r="I63" t="str">
            <v>骨干</v>
          </cell>
          <cell r="J63">
            <v>3</v>
          </cell>
          <cell r="K63" t="str">
            <v>综合管理</v>
          </cell>
          <cell r="L63" t="str">
            <v>校园招聘</v>
          </cell>
          <cell r="M63" t="str">
            <v>党总支宣传委员、
第一党支部书记</v>
          </cell>
          <cell r="N63" t="str">
            <v>工会会员代表</v>
          </cell>
        </row>
        <row r="63">
          <cell r="R63">
            <v>11</v>
          </cell>
        </row>
        <row r="64">
          <cell r="B64" t="str">
            <v>陈世辉</v>
          </cell>
          <cell r="C64" t="str">
            <v>综合管理部</v>
          </cell>
          <cell r="D64" t="str">
            <v>测试管理组</v>
          </cell>
          <cell r="E64" t="str">
            <v>男</v>
          </cell>
          <cell r="F64">
            <v>1</v>
          </cell>
          <cell r="G64" t="str">
            <v>大学本科</v>
          </cell>
          <cell r="H64" t="str">
            <v>上海对外经贸大学</v>
          </cell>
          <cell r="I64" t="str">
            <v>骨干</v>
          </cell>
          <cell r="J64">
            <v>2</v>
          </cell>
          <cell r="K64" t="str">
            <v>数据测试</v>
          </cell>
          <cell r="L64" t="str">
            <v>校园招聘</v>
          </cell>
        </row>
        <row r="64">
          <cell r="P64" t="str">
            <v>23最佳新人\24最佳合作服务奖</v>
          </cell>
        </row>
        <row r="64">
          <cell r="R64">
            <v>12</v>
          </cell>
        </row>
        <row r="65">
          <cell r="B65" t="str">
            <v>杨晓彦</v>
          </cell>
          <cell r="C65" t="str">
            <v>综合管理部</v>
          </cell>
          <cell r="D65" t="str">
            <v>负责人</v>
          </cell>
          <cell r="E65" t="str">
            <v>女</v>
          </cell>
          <cell r="F65">
            <v>8</v>
          </cell>
          <cell r="G65" t="str">
            <v>研究生</v>
          </cell>
          <cell r="H65" t="str">
            <v>伊利诺伊大学厄巴纳-香槟分校</v>
          </cell>
          <cell r="I65" t="str">
            <v>科长</v>
          </cell>
          <cell r="J65">
            <v>5</v>
          </cell>
          <cell r="K65" t="str">
            <v>负责人</v>
          </cell>
          <cell r="L65" t="str">
            <v>校园招聘</v>
          </cell>
        </row>
        <row r="65">
          <cell r="R65">
            <v>10</v>
          </cell>
        </row>
        <row r="66">
          <cell r="B66" t="str">
            <v>顾小萍</v>
          </cell>
          <cell r="C66" t="str">
            <v>综合管理部</v>
          </cell>
          <cell r="D66" t="str">
            <v>综合管理组</v>
          </cell>
          <cell r="E66" t="str">
            <v>女</v>
          </cell>
          <cell r="F66">
            <v>20</v>
          </cell>
          <cell r="G66" t="str">
            <v>研究生</v>
          </cell>
          <cell r="H66" t="str">
            <v>东华大学</v>
          </cell>
          <cell r="I66" t="str">
            <v>/</v>
          </cell>
          <cell r="J66">
            <v>5</v>
          </cell>
          <cell r="K66" t="str">
            <v>综合管理</v>
          </cell>
          <cell r="L66" t="str">
            <v>校园招聘</v>
          </cell>
        </row>
        <row r="66">
          <cell r="R66">
            <v>15</v>
          </cell>
        </row>
        <row r="67">
          <cell r="B67" t="str">
            <v>武燕蓉</v>
          </cell>
          <cell r="C67" t="str">
            <v>综合管理部</v>
          </cell>
          <cell r="D67" t="str">
            <v>综合管理组</v>
          </cell>
          <cell r="E67" t="str">
            <v>女</v>
          </cell>
          <cell r="F67">
            <v>31</v>
          </cell>
          <cell r="G67" t="str">
            <v>大学本科</v>
          </cell>
          <cell r="H67" t="str">
            <v>上海工程技术大学</v>
          </cell>
          <cell r="I67" t="str">
            <v>/</v>
          </cell>
          <cell r="J67">
            <v>3</v>
          </cell>
          <cell r="K67" t="str">
            <v>综合管理</v>
          </cell>
          <cell r="L67" t="str">
            <v>校园招聘</v>
          </cell>
        </row>
        <row r="67">
          <cell r="P67" t="str">
            <v>24风雨同舟/24数据文化优秀贡献者</v>
          </cell>
        </row>
        <row r="67">
          <cell r="R67">
            <v>12</v>
          </cell>
        </row>
        <row r="68">
          <cell r="B68" t="str">
            <v>胡超亭</v>
          </cell>
          <cell r="C68" t="str">
            <v>综合管理部</v>
          </cell>
          <cell r="D68" t="str">
            <v>综合管理组</v>
          </cell>
          <cell r="E68" t="str">
            <v>女</v>
          </cell>
          <cell r="F68">
            <v>5</v>
          </cell>
          <cell r="G68" t="str">
            <v>研究生</v>
          </cell>
          <cell r="H68" t="str">
            <v>华东理工大学</v>
          </cell>
          <cell r="I68" t="str">
            <v>/</v>
          </cell>
          <cell r="J68">
            <v>2</v>
          </cell>
          <cell r="K68" t="str">
            <v>综合管理</v>
          </cell>
          <cell r="L68" t="str">
            <v>校园招聘</v>
          </cell>
        </row>
        <row r="68">
          <cell r="R68">
            <v>16</v>
          </cell>
        </row>
        <row r="69">
          <cell r="B69" t="str">
            <v>宋子夜</v>
          </cell>
          <cell r="C69" t="str">
            <v>综合管理部</v>
          </cell>
          <cell r="D69" t="str">
            <v>综合管理组</v>
          </cell>
          <cell r="E69" t="str">
            <v>女</v>
          </cell>
          <cell r="F69">
            <v>4</v>
          </cell>
          <cell r="G69" t="str">
            <v>研究生</v>
          </cell>
          <cell r="H69" t="str">
            <v>东南大学</v>
          </cell>
          <cell r="I69" t="str">
            <v>/</v>
          </cell>
          <cell r="J69">
            <v>2</v>
          </cell>
          <cell r="K69" t="str">
            <v>综合管理</v>
          </cell>
          <cell r="L69" t="str">
            <v>校园招聘</v>
          </cell>
        </row>
        <row r="69">
          <cell r="R69">
            <v>12</v>
          </cell>
        </row>
        <row r="70">
          <cell r="B70" t="str">
            <v>马亦沁</v>
          </cell>
          <cell r="C70" t="str">
            <v>综合管理部</v>
          </cell>
          <cell r="D70" t="str">
            <v>测试管理组</v>
          </cell>
          <cell r="E70" t="str">
            <v>女</v>
          </cell>
          <cell r="F70">
            <v>3</v>
          </cell>
          <cell r="G70" t="str">
            <v>大学本科</v>
          </cell>
          <cell r="H70" t="str">
            <v>上海大学</v>
          </cell>
          <cell r="I70" t="str">
            <v>/</v>
          </cell>
          <cell r="J70">
            <v>3</v>
          </cell>
          <cell r="K70" t="str">
            <v>数据测试</v>
          </cell>
          <cell r="L70" t="str">
            <v>校园招聘</v>
          </cell>
        </row>
        <row r="70">
          <cell r="P70" t="str">
            <v>24技术能手</v>
          </cell>
        </row>
        <row r="70">
          <cell r="R70">
            <v>15</v>
          </cell>
        </row>
        <row r="71">
          <cell r="B71" t="str">
            <v>曹翔</v>
          </cell>
          <cell r="C71" t="str">
            <v>综合管理部</v>
          </cell>
          <cell r="D71" t="str">
            <v>测试管理组</v>
          </cell>
          <cell r="E71" t="str">
            <v>女</v>
          </cell>
          <cell r="F71">
            <v>1</v>
          </cell>
          <cell r="G71" t="str">
            <v>研究生</v>
          </cell>
          <cell r="H71" t="str">
            <v>上海海洋大学</v>
          </cell>
          <cell r="I71" t="str">
            <v>/</v>
          </cell>
          <cell r="J71">
            <v>2</v>
          </cell>
          <cell r="K71" t="str">
            <v>数据测试</v>
          </cell>
          <cell r="L71" t="str">
            <v>校园招聘</v>
          </cell>
        </row>
        <row r="71">
          <cell r="P71" t="str">
            <v>24研究与创新奖</v>
          </cell>
        </row>
        <row r="71">
          <cell r="R71">
            <v>15</v>
          </cell>
        </row>
        <row r="72">
          <cell r="B72" t="str">
            <v>乐洋</v>
          </cell>
          <cell r="C72" t="str">
            <v>综合管理部</v>
          </cell>
          <cell r="D72" t="str">
            <v>项目管理团队</v>
          </cell>
          <cell r="E72" t="str">
            <v>男</v>
          </cell>
          <cell r="F72">
            <v>20</v>
          </cell>
          <cell r="G72" t="str">
            <v>研究生</v>
          </cell>
          <cell r="H72" t="str">
            <v>东华大学</v>
          </cell>
          <cell r="I72" t="str">
            <v>/</v>
          </cell>
          <cell r="J72">
            <v>4</v>
          </cell>
          <cell r="K72" t="str">
            <v>项目管理</v>
          </cell>
          <cell r="L72" t="str">
            <v>社会招聘</v>
          </cell>
        </row>
        <row r="72">
          <cell r="R72">
            <v>9</v>
          </cell>
        </row>
        <row r="73">
          <cell r="B73" t="str">
            <v>王枫</v>
          </cell>
          <cell r="C73" t="str">
            <v>综合管理部</v>
          </cell>
          <cell r="D73" t="str">
            <v>项目管理团队</v>
          </cell>
          <cell r="E73" t="str">
            <v>男</v>
          </cell>
          <cell r="F73">
            <v>10</v>
          </cell>
          <cell r="G73" t="str">
            <v>大学本科</v>
          </cell>
          <cell r="H73" t="str">
            <v>四川大学</v>
          </cell>
          <cell r="I73" t="str">
            <v>/</v>
          </cell>
          <cell r="J73">
            <v>5</v>
          </cell>
          <cell r="K73" t="str">
            <v>项目管理</v>
          </cell>
          <cell r="L73" t="str">
            <v>校园招聘</v>
          </cell>
        </row>
        <row r="73">
          <cell r="R73">
            <v>14</v>
          </cell>
        </row>
        <row r="74">
          <cell r="B74" t="str">
            <v>刘召龙</v>
          </cell>
          <cell r="C74" t="str">
            <v>综合管理部</v>
          </cell>
          <cell r="D74" t="str">
            <v>项目管理团队</v>
          </cell>
          <cell r="E74" t="str">
            <v>男</v>
          </cell>
          <cell r="F74">
            <v>25</v>
          </cell>
          <cell r="G74" t="str">
            <v>大学本科</v>
          </cell>
          <cell r="H74" t="str">
            <v>上海大学</v>
          </cell>
          <cell r="I74" t="str">
            <v>/</v>
          </cell>
          <cell r="J74">
            <v>3</v>
          </cell>
          <cell r="K74" t="str">
            <v>项目管理</v>
          </cell>
          <cell r="L74" t="str">
            <v>社会招聘</v>
          </cell>
        </row>
        <row r="74">
          <cell r="R74">
            <v>16</v>
          </cell>
        </row>
        <row r="75">
          <cell r="B75" t="str">
            <v>占桐</v>
          </cell>
          <cell r="C75" t="str">
            <v>综合管理部</v>
          </cell>
          <cell r="D75" t="str">
            <v>2025届校招</v>
          </cell>
          <cell r="E75" t="str">
            <v>女</v>
          </cell>
          <cell r="F75">
            <v>0</v>
          </cell>
          <cell r="G75" t="str">
            <v>研究生</v>
          </cell>
          <cell r="H75" t="str">
            <v>伦敦国王学院</v>
          </cell>
          <cell r="I75" t="str">
            <v>/</v>
          </cell>
          <cell r="J75">
            <v>1</v>
          </cell>
          <cell r="K75" t="str">
            <v>综合管理</v>
          </cell>
          <cell r="L75" t="str">
            <v>校园招聘</v>
          </cell>
        </row>
        <row r="75">
          <cell r="R75">
            <v>6</v>
          </cell>
        </row>
        <row r="76">
          <cell r="B76" t="str">
            <v>陈彦百</v>
          </cell>
          <cell r="C76" t="str">
            <v>综合管理部</v>
          </cell>
          <cell r="D76" t="str">
            <v>2025届校招</v>
          </cell>
          <cell r="E76" t="str">
            <v>男</v>
          </cell>
          <cell r="F76">
            <v>0</v>
          </cell>
          <cell r="G76" t="str">
            <v>研究生</v>
          </cell>
          <cell r="H76" t="str">
            <v>澳大利亚国立大学</v>
          </cell>
          <cell r="I76" t="str">
            <v>/</v>
          </cell>
          <cell r="J76">
            <v>1</v>
          </cell>
          <cell r="K76" t="str">
            <v>综合管理</v>
          </cell>
          <cell r="L76" t="str">
            <v>校园招聘</v>
          </cell>
        </row>
        <row r="76">
          <cell r="R76">
            <v>5</v>
          </cell>
        </row>
        <row r="77">
          <cell r="B77" t="str">
            <v>任若琳</v>
          </cell>
          <cell r="C77" t="str">
            <v>综合管理部</v>
          </cell>
          <cell r="D77" t="str">
            <v>2025届校招</v>
          </cell>
          <cell r="E77" t="str">
            <v>女</v>
          </cell>
          <cell r="F77">
            <v>0</v>
          </cell>
          <cell r="G77" t="str">
            <v>研究生</v>
          </cell>
          <cell r="H77" t="str">
            <v>香港大学</v>
          </cell>
          <cell r="I77" t="str">
            <v>/</v>
          </cell>
          <cell r="J77">
            <v>1</v>
          </cell>
          <cell r="K77" t="str">
            <v>综合管理</v>
          </cell>
          <cell r="L77" t="str">
            <v>校园招聘</v>
          </cell>
        </row>
        <row r="77">
          <cell r="R77">
            <v>6</v>
          </cell>
        </row>
        <row r="78">
          <cell r="B78" t="str">
            <v>沈子新</v>
          </cell>
          <cell r="C78" t="str">
            <v>综合管理部</v>
          </cell>
          <cell r="D78" t="str">
            <v>2025届校招</v>
          </cell>
          <cell r="E78" t="str">
            <v>女</v>
          </cell>
          <cell r="F78">
            <v>0</v>
          </cell>
          <cell r="G78" t="str">
            <v>研究生</v>
          </cell>
          <cell r="H78" t="str">
            <v>南加州大学</v>
          </cell>
          <cell r="I78" t="str">
            <v>/</v>
          </cell>
          <cell r="J78">
            <v>1</v>
          </cell>
          <cell r="K78" t="str">
            <v>综合管理</v>
          </cell>
          <cell r="L78" t="str">
            <v>校园招聘</v>
          </cell>
        </row>
        <row r="78">
          <cell r="R78">
            <v>5</v>
          </cell>
        </row>
        <row r="79">
          <cell r="B79" t="str">
            <v>张雨轩</v>
          </cell>
          <cell r="C79" t="str">
            <v>综合管理部</v>
          </cell>
          <cell r="D79" t="str">
            <v>2025届校招</v>
          </cell>
          <cell r="E79" t="str">
            <v>男</v>
          </cell>
          <cell r="F79">
            <v>0</v>
          </cell>
          <cell r="G79" t="str">
            <v>研究生</v>
          </cell>
          <cell r="H79" t="str">
            <v>圣路易斯华盛顿大学</v>
          </cell>
          <cell r="I79" t="str">
            <v>/</v>
          </cell>
          <cell r="J79">
            <v>1</v>
          </cell>
          <cell r="K79" t="str">
            <v>轮岗培训</v>
          </cell>
          <cell r="L79" t="str">
            <v>校园招聘</v>
          </cell>
        </row>
        <row r="79">
          <cell r="R79">
            <v>8</v>
          </cell>
        </row>
        <row r="80">
          <cell r="B80" t="str">
            <v>温皓文</v>
          </cell>
          <cell r="C80" t="str">
            <v>综合管理部</v>
          </cell>
          <cell r="D80" t="str">
            <v>2025届校招</v>
          </cell>
          <cell r="E80" t="str">
            <v>男</v>
          </cell>
          <cell r="F80">
            <v>0</v>
          </cell>
        </row>
        <row r="80">
          <cell r="I80" t="str">
            <v>/</v>
          </cell>
          <cell r="J80">
            <v>1</v>
          </cell>
          <cell r="K80" t="str">
            <v>轮岗培训</v>
          </cell>
          <cell r="L80" t="str">
            <v>校园招聘</v>
          </cell>
        </row>
        <row r="80">
          <cell r="R80">
            <v>10</v>
          </cell>
        </row>
        <row r="81">
          <cell r="B81" t="str">
            <v>朱嘉玮</v>
          </cell>
          <cell r="C81" t="str">
            <v>综合管理部</v>
          </cell>
          <cell r="D81" t="str">
            <v>2025届校招</v>
          </cell>
          <cell r="E81" t="str">
            <v>男</v>
          </cell>
          <cell r="F81">
            <v>0</v>
          </cell>
        </row>
        <row r="81">
          <cell r="I81" t="str">
            <v>/</v>
          </cell>
          <cell r="J81">
            <v>1</v>
          </cell>
          <cell r="K81" t="str">
            <v>轮岗培训</v>
          </cell>
          <cell r="L81" t="str">
            <v>校园招聘</v>
          </cell>
        </row>
        <row r="81">
          <cell r="R81">
            <v>8</v>
          </cell>
        </row>
        <row r="82">
          <cell r="B82" t="str">
            <v>吕晶</v>
          </cell>
          <cell r="C82" t="str">
            <v>综合管理部</v>
          </cell>
          <cell r="D82" t="str">
            <v>2025届校招</v>
          </cell>
          <cell r="E82" t="str">
            <v>女</v>
          </cell>
          <cell r="F82">
            <v>0</v>
          </cell>
        </row>
        <row r="82">
          <cell r="I82" t="str">
            <v>/</v>
          </cell>
          <cell r="J82">
            <v>1</v>
          </cell>
          <cell r="K82" t="str">
            <v>轮岗培训</v>
          </cell>
          <cell r="L82" t="str">
            <v>校园招聘</v>
          </cell>
        </row>
        <row r="82">
          <cell r="R82">
            <v>10</v>
          </cell>
        </row>
        <row r="83">
          <cell r="B83" t="str">
            <v>刘雅雯</v>
          </cell>
          <cell r="C83" t="str">
            <v>综合管理部</v>
          </cell>
          <cell r="D83" t="str">
            <v>2025届校招</v>
          </cell>
          <cell r="E83" t="str">
            <v>女</v>
          </cell>
          <cell r="F83">
            <v>0</v>
          </cell>
        </row>
        <row r="83">
          <cell r="I83" t="str">
            <v>/</v>
          </cell>
          <cell r="J83">
            <v>1</v>
          </cell>
          <cell r="K83" t="str">
            <v>轮岗培训</v>
          </cell>
          <cell r="L83" t="str">
            <v>校园招聘</v>
          </cell>
        </row>
        <row r="83">
          <cell r="R83">
            <v>13</v>
          </cell>
        </row>
        <row r="84">
          <cell r="B84" t="str">
            <v>成绘茜</v>
          </cell>
          <cell r="C84" t="str">
            <v>综合管理部</v>
          </cell>
          <cell r="D84" t="str">
            <v>2025届校招</v>
          </cell>
          <cell r="E84" t="str">
            <v>女</v>
          </cell>
          <cell r="F84">
            <v>0</v>
          </cell>
        </row>
        <row r="84">
          <cell r="I84" t="str">
            <v>/</v>
          </cell>
          <cell r="J84">
            <v>1</v>
          </cell>
          <cell r="K84" t="str">
            <v>轮岗培训</v>
          </cell>
          <cell r="L84" t="str">
            <v>校园招聘</v>
          </cell>
        </row>
        <row r="84">
          <cell r="R84">
            <v>17</v>
          </cell>
        </row>
        <row r="85">
          <cell r="B85" t="str">
            <v>罗辰昊</v>
          </cell>
          <cell r="C85" t="str">
            <v>综合管理部</v>
          </cell>
          <cell r="D85" t="str">
            <v>2025届校招</v>
          </cell>
          <cell r="E85" t="str">
            <v>男</v>
          </cell>
          <cell r="F85">
            <v>0</v>
          </cell>
        </row>
        <row r="85">
          <cell r="I85" t="str">
            <v>/</v>
          </cell>
          <cell r="J85">
            <v>1</v>
          </cell>
          <cell r="K85" t="str">
            <v>轮岗培训</v>
          </cell>
          <cell r="L85" t="str">
            <v>校园招聘</v>
          </cell>
        </row>
        <row r="85">
          <cell r="R85">
            <v>12</v>
          </cell>
        </row>
        <row r="86">
          <cell r="B86" t="str">
            <v>张漫</v>
          </cell>
          <cell r="C86" t="str">
            <v>综合管理部</v>
          </cell>
          <cell r="D86" t="str">
            <v>2025届校招</v>
          </cell>
          <cell r="E86" t="str">
            <v>女</v>
          </cell>
          <cell r="F86">
            <v>0</v>
          </cell>
        </row>
        <row r="86">
          <cell r="I86" t="str">
            <v>/</v>
          </cell>
          <cell r="J86">
            <v>1</v>
          </cell>
          <cell r="K86" t="str">
            <v>轮岗培训</v>
          </cell>
          <cell r="L86" t="str">
            <v>校园招聘</v>
          </cell>
        </row>
        <row r="86">
          <cell r="R86">
            <v>6</v>
          </cell>
        </row>
        <row r="87">
          <cell r="B87" t="str">
            <v>宛蕾</v>
          </cell>
          <cell r="C87" t="str">
            <v>综合管理部</v>
          </cell>
          <cell r="D87" t="str">
            <v>2025届校招</v>
          </cell>
          <cell r="E87" t="str">
            <v>女</v>
          </cell>
          <cell r="F87">
            <v>0</v>
          </cell>
        </row>
        <row r="87">
          <cell r="I87" t="str">
            <v>/</v>
          </cell>
          <cell r="J87">
            <v>1</v>
          </cell>
          <cell r="K87" t="str">
            <v>轮岗培训</v>
          </cell>
          <cell r="L87" t="str">
            <v>校园招聘</v>
          </cell>
        </row>
        <row r="87">
          <cell r="R87">
            <v>11</v>
          </cell>
        </row>
        <row r="88">
          <cell r="B88" t="str">
            <v>姚陈潇</v>
          </cell>
          <cell r="C88" t="str">
            <v>综合管理部</v>
          </cell>
          <cell r="D88" t="str">
            <v>2025届校招</v>
          </cell>
          <cell r="E88" t="str">
            <v>女</v>
          </cell>
          <cell r="F88">
            <v>0</v>
          </cell>
        </row>
        <row r="88">
          <cell r="I88" t="str">
            <v>/</v>
          </cell>
          <cell r="J88">
            <v>1</v>
          </cell>
          <cell r="K88" t="str">
            <v>轮岗培训</v>
          </cell>
          <cell r="L88" t="str">
            <v>校园招聘</v>
          </cell>
        </row>
        <row r="88">
          <cell r="R88">
            <v>15</v>
          </cell>
        </row>
        <row r="89">
          <cell r="B89" t="str">
            <v>朱宇畅</v>
          </cell>
          <cell r="C89" t="str">
            <v>综合管理部</v>
          </cell>
          <cell r="D89" t="str">
            <v>2025届校招</v>
          </cell>
          <cell r="E89" t="str">
            <v>女</v>
          </cell>
          <cell r="F89">
            <v>0</v>
          </cell>
        </row>
        <row r="89">
          <cell r="I89" t="str">
            <v>/</v>
          </cell>
          <cell r="J89">
            <v>1</v>
          </cell>
          <cell r="K89" t="str">
            <v>轮岗培训</v>
          </cell>
          <cell r="L89" t="str">
            <v>校园招聘</v>
          </cell>
        </row>
        <row r="89">
          <cell r="R89">
            <v>13</v>
          </cell>
        </row>
        <row r="90">
          <cell r="B90" t="str">
            <v>廖宇杰</v>
          </cell>
          <cell r="C90" t="str">
            <v>综合管理部</v>
          </cell>
          <cell r="D90" t="str">
            <v>2025届校招</v>
          </cell>
          <cell r="E90" t="str">
            <v>男</v>
          </cell>
          <cell r="F90">
            <v>0</v>
          </cell>
        </row>
        <row r="90">
          <cell r="I90" t="str">
            <v>/</v>
          </cell>
          <cell r="J90">
            <v>1</v>
          </cell>
          <cell r="K90" t="str">
            <v>轮岗培训</v>
          </cell>
          <cell r="L90" t="str">
            <v>校园招聘</v>
          </cell>
        </row>
        <row r="90">
          <cell r="R90">
            <v>4</v>
          </cell>
        </row>
        <row r="91">
          <cell r="B91" t="str">
            <v>陈睿菁</v>
          </cell>
          <cell r="C91" t="str">
            <v>综合管理部</v>
          </cell>
          <cell r="D91" t="str">
            <v>2025届校招</v>
          </cell>
          <cell r="E91" t="str">
            <v>女</v>
          </cell>
          <cell r="F91">
            <v>0</v>
          </cell>
        </row>
        <row r="91">
          <cell r="I91" t="str">
            <v>/</v>
          </cell>
          <cell r="J91">
            <v>1</v>
          </cell>
          <cell r="K91" t="str">
            <v>轮岗培训</v>
          </cell>
          <cell r="L91" t="str">
            <v>校园招聘</v>
          </cell>
        </row>
        <row r="91">
          <cell r="R91">
            <v>11</v>
          </cell>
        </row>
        <row r="92">
          <cell r="B92" t="str">
            <v>单曙兵</v>
          </cell>
          <cell r="C92" t="str">
            <v>数据治理部</v>
          </cell>
          <cell r="D92" t="str">
            <v>负责人</v>
          </cell>
          <cell r="E92" t="str">
            <v>男</v>
          </cell>
          <cell r="F92">
            <v>15</v>
          </cell>
          <cell r="G92" t="str">
            <v>研究生</v>
          </cell>
          <cell r="H92" t="str">
            <v>中国科学技术大学/
同济大学</v>
          </cell>
          <cell r="I92" t="str">
            <v>科长</v>
          </cell>
          <cell r="J92">
            <v>2</v>
          </cell>
          <cell r="K92" t="str">
            <v>负责人</v>
          </cell>
          <cell r="L92" t="str">
            <v>社会招聘</v>
          </cell>
          <cell r="M92" t="str">
            <v>党总支群工委员、
第三党支部书记</v>
          </cell>
        </row>
        <row r="92">
          <cell r="P92" t="str">
            <v>2025行外发文1/行外获奖2</v>
          </cell>
        </row>
        <row r="92">
          <cell r="R92">
            <v>3</v>
          </cell>
        </row>
        <row r="93">
          <cell r="B93" t="str">
            <v>李凯达</v>
          </cell>
          <cell r="C93" t="str">
            <v>数据治理部</v>
          </cell>
          <cell r="D93" t="str">
            <v>架构安全组</v>
          </cell>
          <cell r="E93" t="str">
            <v>男</v>
          </cell>
          <cell r="F93">
            <v>3</v>
          </cell>
          <cell r="G93" t="str">
            <v>大学本科</v>
          </cell>
          <cell r="H93" t="str">
            <v>天津大学</v>
          </cell>
          <cell r="I93" t="str">
            <v>/</v>
          </cell>
          <cell r="J93">
            <v>2</v>
          </cell>
          <cell r="K93" t="str">
            <v>数据安全</v>
          </cell>
          <cell r="L93" t="str">
            <v>校园招聘</v>
          </cell>
        </row>
        <row r="93">
          <cell r="R93">
            <v>7</v>
          </cell>
        </row>
        <row r="94">
          <cell r="B94" t="str">
            <v>傅潜林</v>
          </cell>
          <cell r="C94" t="str">
            <v>数据治理部</v>
          </cell>
          <cell r="D94" t="str">
            <v>标准资产组</v>
          </cell>
          <cell r="E94" t="str">
            <v>男</v>
          </cell>
          <cell r="F94">
            <v>4</v>
          </cell>
          <cell r="G94" t="str">
            <v>研究生</v>
          </cell>
          <cell r="H94" t="str">
            <v>悉尼大学</v>
          </cell>
          <cell r="I94" t="str">
            <v>/</v>
          </cell>
        </row>
        <row r="94">
          <cell r="K94" t="str">
            <v>数据治理</v>
          </cell>
          <cell r="L94" t="str">
            <v>社会招聘</v>
          </cell>
        </row>
        <row r="94">
          <cell r="R94">
            <v>1</v>
          </cell>
        </row>
        <row r="95">
          <cell r="B95" t="str">
            <v>王玉祥</v>
          </cell>
          <cell r="C95" t="str">
            <v>数据治理部</v>
          </cell>
          <cell r="D95" t="str">
            <v>标准资产组</v>
          </cell>
          <cell r="E95" t="str">
            <v>男</v>
          </cell>
          <cell r="F95">
            <v>20</v>
          </cell>
          <cell r="G95" t="str">
            <v>研究生</v>
          </cell>
          <cell r="H95" t="str">
            <v>同济大学</v>
          </cell>
          <cell r="I95" t="str">
            <v>/</v>
          </cell>
        </row>
        <row r="95">
          <cell r="K95" t="str">
            <v>数据治理</v>
          </cell>
          <cell r="L95" t="str">
            <v>社会招聘</v>
          </cell>
        </row>
        <row r="95">
          <cell r="R95">
            <v>1</v>
          </cell>
        </row>
        <row r="96">
          <cell r="B96" t="str">
            <v>李焕彰</v>
          </cell>
          <cell r="C96" t="str">
            <v>信息管理部</v>
          </cell>
          <cell r="D96" t="str">
            <v>负责人</v>
          </cell>
          <cell r="E96" t="str">
            <v>男</v>
          </cell>
          <cell r="F96">
            <v>14</v>
          </cell>
          <cell r="G96" t="str">
            <v>大学本科</v>
          </cell>
          <cell r="H96" t="str">
            <v>上海理工大学</v>
          </cell>
          <cell r="I96" t="str">
            <v>科长</v>
          </cell>
          <cell r="J96">
            <v>3</v>
          </cell>
          <cell r="K96" t="str">
            <v>负责人</v>
          </cell>
          <cell r="L96" t="str">
            <v>社会招聘</v>
          </cell>
        </row>
        <row r="96">
          <cell r="R96">
            <v>10</v>
          </cell>
        </row>
        <row r="97">
          <cell r="B97" t="str">
            <v>孙菡悦</v>
          </cell>
          <cell r="C97" t="str">
            <v>信息管理部</v>
          </cell>
          <cell r="D97" t="str">
            <v>分行BP</v>
          </cell>
          <cell r="E97" t="str">
            <v>女</v>
          </cell>
          <cell r="F97">
            <v>3</v>
          </cell>
          <cell r="G97" t="str">
            <v>研究生</v>
          </cell>
          <cell r="H97" t="str">
            <v>华东师范大学</v>
          </cell>
          <cell r="I97" t="str">
            <v>/</v>
          </cell>
          <cell r="J97">
            <v>2</v>
          </cell>
          <cell r="K97" t="str">
            <v>数据分析</v>
          </cell>
          <cell r="L97" t="str">
            <v>校园招聘</v>
          </cell>
        </row>
        <row r="97">
          <cell r="P97" t="str">
            <v>24数据文化优秀贡献者</v>
          </cell>
        </row>
        <row r="97">
          <cell r="R97">
            <v>10</v>
          </cell>
        </row>
        <row r="98">
          <cell r="B98" t="str">
            <v>刘思言</v>
          </cell>
          <cell r="C98" t="str">
            <v>信息管理部</v>
          </cell>
          <cell r="D98" t="str">
            <v>分行BP</v>
          </cell>
          <cell r="E98" t="str">
            <v>男</v>
          </cell>
          <cell r="F98">
            <v>3</v>
          </cell>
          <cell r="G98" t="str">
            <v>研究生</v>
          </cell>
          <cell r="H98" t="str">
            <v>上海财经大学</v>
          </cell>
          <cell r="I98" t="str">
            <v>/</v>
          </cell>
          <cell r="J98">
            <v>1</v>
          </cell>
          <cell r="K98" t="str">
            <v>数据分析</v>
          </cell>
          <cell r="L98" t="str">
            <v>校园招聘</v>
          </cell>
        </row>
        <row r="98">
          <cell r="R98">
            <v>11</v>
          </cell>
        </row>
        <row r="99">
          <cell r="B99" t="str">
            <v>李小萌</v>
          </cell>
          <cell r="C99" t="str">
            <v>信息管理部</v>
          </cell>
          <cell r="D99" t="str">
            <v>分行BP</v>
          </cell>
          <cell r="E99" t="str">
            <v>女</v>
          </cell>
          <cell r="F99">
            <v>1</v>
          </cell>
          <cell r="G99" t="str">
            <v>研究生</v>
          </cell>
          <cell r="H99" t="str">
            <v>大连理工大学</v>
          </cell>
          <cell r="I99" t="str">
            <v>/</v>
          </cell>
          <cell r="J99">
            <v>1</v>
          </cell>
          <cell r="K99" t="str">
            <v>数据分析</v>
          </cell>
          <cell r="L99" t="str">
            <v>校园招聘</v>
          </cell>
        </row>
        <row r="99">
          <cell r="R99">
            <v>14</v>
          </cell>
        </row>
        <row r="100">
          <cell r="B100" t="str">
            <v>宋轲</v>
          </cell>
          <cell r="C100" t="str">
            <v>信息管理部</v>
          </cell>
          <cell r="D100" t="str">
            <v>分行BP</v>
          </cell>
          <cell r="E100" t="str">
            <v>女</v>
          </cell>
          <cell r="F100">
            <v>8</v>
          </cell>
          <cell r="G100" t="str">
            <v>研究生</v>
          </cell>
          <cell r="H100" t="str">
            <v>上海交通大学</v>
          </cell>
          <cell r="I100" t="str">
            <v>/</v>
          </cell>
        </row>
        <row r="100">
          <cell r="K100" t="str">
            <v>数据分析</v>
          </cell>
          <cell r="L100" t="str">
            <v>社会招聘</v>
          </cell>
        </row>
        <row r="100">
          <cell r="R100">
            <v>4</v>
          </cell>
        </row>
        <row r="101">
          <cell r="B101" t="str">
            <v>张文婉</v>
          </cell>
          <cell r="C101" t="str">
            <v>信息管理部</v>
          </cell>
          <cell r="D101" t="str">
            <v>分行BP</v>
          </cell>
          <cell r="E101" t="str">
            <v>女</v>
          </cell>
          <cell r="F101">
            <v>4</v>
          </cell>
          <cell r="G101" t="str">
            <v>研究生</v>
          </cell>
          <cell r="H101" t="str">
            <v>圣路易斯华盛顿大学</v>
          </cell>
          <cell r="I101" t="str">
            <v>/</v>
          </cell>
          <cell r="J101">
            <v>2</v>
          </cell>
          <cell r="K101" t="str">
            <v>数据分析</v>
          </cell>
          <cell r="L101" t="str">
            <v>校园招聘</v>
          </cell>
        </row>
        <row r="101">
          <cell r="R101">
            <v>1</v>
          </cell>
        </row>
        <row r="102">
          <cell r="B102" t="str">
            <v>刘子昕</v>
          </cell>
          <cell r="C102" t="str">
            <v>信息管理部</v>
          </cell>
          <cell r="D102" t="str">
            <v>零售BP</v>
          </cell>
          <cell r="E102" t="str">
            <v>女</v>
          </cell>
          <cell r="F102">
            <v>1</v>
          </cell>
          <cell r="G102" t="str">
            <v>研究生</v>
          </cell>
          <cell r="H102" t="str">
            <v>东华大学</v>
          </cell>
          <cell r="I102" t="str">
            <v>/</v>
          </cell>
          <cell r="J102">
            <v>1</v>
          </cell>
          <cell r="K102" t="str">
            <v>数据分析</v>
          </cell>
          <cell r="L102" t="str">
            <v>校园招聘</v>
          </cell>
        </row>
        <row r="102">
          <cell r="R102">
            <v>6</v>
          </cell>
        </row>
        <row r="103">
          <cell r="B103" t="str">
            <v>俞筱晨</v>
          </cell>
          <cell r="C103" t="str">
            <v>信息管理部</v>
          </cell>
          <cell r="D103" t="str">
            <v>零售BP</v>
          </cell>
          <cell r="E103" t="str">
            <v>女</v>
          </cell>
          <cell r="F103">
            <v>3</v>
          </cell>
          <cell r="G103" t="str">
            <v>研究生</v>
          </cell>
          <cell r="H103" t="str">
            <v>同济大学</v>
          </cell>
          <cell r="I103" t="str">
            <v>/</v>
          </cell>
          <cell r="J103">
            <v>1</v>
          </cell>
          <cell r="K103" t="str">
            <v>数据分析</v>
          </cell>
          <cell r="L103" t="str">
            <v>校园招聘</v>
          </cell>
        </row>
        <row r="103">
          <cell r="R103">
            <v>11</v>
          </cell>
        </row>
        <row r="104">
          <cell r="B104" t="str">
            <v>魏榕慧</v>
          </cell>
          <cell r="C104" t="str">
            <v>信息管理部</v>
          </cell>
          <cell r="D104" t="str">
            <v>零售BP</v>
          </cell>
          <cell r="E104" t="str">
            <v>女</v>
          </cell>
          <cell r="F104">
            <v>3</v>
          </cell>
          <cell r="G104" t="str">
            <v>研究生</v>
          </cell>
          <cell r="H104" t="str">
            <v>同济大学</v>
          </cell>
          <cell r="I104" t="str">
            <v>/</v>
          </cell>
          <cell r="J104">
            <v>2</v>
          </cell>
          <cell r="K104" t="str">
            <v>数据分析</v>
          </cell>
          <cell r="L104" t="str">
            <v>校园招聘</v>
          </cell>
        </row>
        <row r="104">
          <cell r="R104">
            <v>10</v>
          </cell>
        </row>
        <row r="105">
          <cell r="B105" t="str">
            <v>路立静</v>
          </cell>
          <cell r="C105" t="str">
            <v>信息管理部</v>
          </cell>
          <cell r="D105" t="str">
            <v>零售BP</v>
          </cell>
          <cell r="E105" t="str">
            <v>女</v>
          </cell>
          <cell r="F105">
            <v>3</v>
          </cell>
          <cell r="G105" t="str">
            <v>研究生</v>
          </cell>
          <cell r="H105" t="str">
            <v>武汉大学</v>
          </cell>
          <cell r="I105" t="str">
            <v>/</v>
          </cell>
          <cell r="J105">
            <v>2</v>
          </cell>
          <cell r="K105" t="str">
            <v>数据分析</v>
          </cell>
          <cell r="L105" t="str">
            <v>校园招聘</v>
          </cell>
        </row>
        <row r="105">
          <cell r="R105">
            <v>12</v>
          </cell>
        </row>
        <row r="106">
          <cell r="B106" t="str">
            <v>周叶珉</v>
          </cell>
          <cell r="C106" t="str">
            <v>信息管理部</v>
          </cell>
          <cell r="D106" t="str">
            <v>零售BP</v>
          </cell>
          <cell r="E106" t="str">
            <v>男</v>
          </cell>
          <cell r="F106">
            <v>3</v>
          </cell>
          <cell r="G106" t="str">
            <v>研究生</v>
          </cell>
          <cell r="H106" t="str">
            <v>新加坡国立大学</v>
          </cell>
          <cell r="I106" t="str">
            <v>/</v>
          </cell>
          <cell r="J106">
            <v>2</v>
          </cell>
          <cell r="K106" t="str">
            <v>数据分析</v>
          </cell>
          <cell r="L106" t="str">
            <v>校园招聘</v>
          </cell>
        </row>
        <row r="106">
          <cell r="P106" t="str">
            <v>25专利1</v>
          </cell>
        </row>
        <row r="106">
          <cell r="R106">
            <v>18</v>
          </cell>
        </row>
        <row r="107">
          <cell r="B107" t="str">
            <v>张鑫</v>
          </cell>
          <cell r="C107" t="str">
            <v>信息管理部</v>
          </cell>
          <cell r="D107" t="str">
            <v>零售BP</v>
          </cell>
          <cell r="E107" t="str">
            <v>女</v>
          </cell>
          <cell r="F107">
            <v>6</v>
          </cell>
          <cell r="G107" t="str">
            <v>研究生</v>
          </cell>
          <cell r="H107" t="str">
            <v>上海师范大学</v>
          </cell>
          <cell r="I107" t="str">
            <v>/</v>
          </cell>
        </row>
        <row r="107">
          <cell r="K107" t="str">
            <v>数据分析</v>
          </cell>
          <cell r="L107" t="str">
            <v>社会招聘</v>
          </cell>
        </row>
        <row r="107">
          <cell r="R107">
            <v>1</v>
          </cell>
        </row>
        <row r="108">
          <cell r="B108" t="str">
            <v>施怡伶</v>
          </cell>
          <cell r="C108" t="str">
            <v>信息管理部</v>
          </cell>
          <cell r="D108" t="str">
            <v>零售BP</v>
          </cell>
          <cell r="E108" t="str">
            <v>女</v>
          </cell>
          <cell r="F108">
            <v>0</v>
          </cell>
          <cell r="G108" t="str">
            <v>研究生</v>
          </cell>
          <cell r="H108" t="str">
            <v>悉尼大学</v>
          </cell>
          <cell r="I108" t="str">
            <v>/</v>
          </cell>
          <cell r="J108">
            <v>1</v>
          </cell>
          <cell r="K108" t="str">
            <v>数据分析</v>
          </cell>
          <cell r="L108" t="str">
            <v>校园招聘</v>
          </cell>
        </row>
        <row r="108">
          <cell r="R108">
            <v>4</v>
          </cell>
        </row>
        <row r="109">
          <cell r="B109" t="str">
            <v>郭骏</v>
          </cell>
          <cell r="C109" t="str">
            <v>信息管理部</v>
          </cell>
          <cell r="D109" t="str">
            <v>零售BP</v>
          </cell>
          <cell r="E109" t="str">
            <v>男</v>
          </cell>
          <cell r="F109">
            <v>3</v>
          </cell>
          <cell r="G109" t="str">
            <v>研究生</v>
          </cell>
          <cell r="H109" t="str">
            <v>杜伦大学</v>
          </cell>
          <cell r="I109" t="str">
            <v>/</v>
          </cell>
          <cell r="J109">
            <v>1</v>
          </cell>
          <cell r="K109" t="str">
            <v>数据分析</v>
          </cell>
          <cell r="L109" t="str">
            <v>校园招聘</v>
          </cell>
        </row>
        <row r="109">
          <cell r="R109">
            <v>8</v>
          </cell>
        </row>
        <row r="110">
          <cell r="B110" t="str">
            <v>范佳</v>
          </cell>
          <cell r="C110" t="str">
            <v>信息管理部</v>
          </cell>
          <cell r="D110" t="str">
            <v>零售BP</v>
          </cell>
        </row>
        <row r="110">
          <cell r="F110" t="e">
            <v>#N/A</v>
          </cell>
        </row>
        <row r="110">
          <cell r="I110" t="str">
            <v>/</v>
          </cell>
          <cell r="J110">
            <v>4</v>
          </cell>
          <cell r="K110" t="str">
            <v>数据分析</v>
          </cell>
          <cell r="L110" t="str">
            <v>社会招聘</v>
          </cell>
        </row>
        <row r="110">
          <cell r="R110">
            <v>1</v>
          </cell>
        </row>
        <row r="111">
          <cell r="B111" t="str">
            <v>李瑞敏</v>
          </cell>
          <cell r="C111" t="str">
            <v>信息管理部</v>
          </cell>
          <cell r="D111" t="str">
            <v>非零BP</v>
          </cell>
          <cell r="E111" t="str">
            <v>女</v>
          </cell>
          <cell r="F111">
            <v>1</v>
          </cell>
          <cell r="G111" t="str">
            <v>研究生</v>
          </cell>
          <cell r="H111" t="str">
            <v>华东师范大学</v>
          </cell>
          <cell r="I111" t="str">
            <v>/</v>
          </cell>
          <cell r="J111">
            <v>1</v>
          </cell>
          <cell r="K111" t="str">
            <v>数据分析</v>
          </cell>
          <cell r="L111" t="str">
            <v>校园招聘</v>
          </cell>
        </row>
        <row r="111">
          <cell r="P111" t="str">
            <v>24最佳新人</v>
          </cell>
        </row>
        <row r="111">
          <cell r="R111">
            <v>11</v>
          </cell>
        </row>
        <row r="112">
          <cell r="B112" t="str">
            <v>韩统优</v>
          </cell>
          <cell r="C112" t="str">
            <v>信息管理部</v>
          </cell>
          <cell r="D112" t="str">
            <v>非零BP</v>
          </cell>
          <cell r="E112" t="str">
            <v>男</v>
          </cell>
          <cell r="F112">
            <v>1</v>
          </cell>
          <cell r="G112" t="str">
            <v>研究生</v>
          </cell>
          <cell r="H112" t="str">
            <v>东华大学</v>
          </cell>
          <cell r="I112" t="str">
            <v>/</v>
          </cell>
          <cell r="J112">
            <v>2</v>
          </cell>
          <cell r="K112" t="str">
            <v>数据分析</v>
          </cell>
          <cell r="L112" t="str">
            <v>校园招聘</v>
          </cell>
        </row>
        <row r="112">
          <cell r="R112">
            <v>16</v>
          </cell>
        </row>
        <row r="113">
          <cell r="B113" t="str">
            <v>蒋嘉石</v>
          </cell>
          <cell r="C113" t="str">
            <v>信息管理部</v>
          </cell>
          <cell r="D113" t="str">
            <v>非零BP</v>
          </cell>
          <cell r="E113" t="str">
            <v>男</v>
          </cell>
          <cell r="F113">
            <v>3</v>
          </cell>
          <cell r="G113" t="str">
            <v>研究生</v>
          </cell>
          <cell r="H113" t="str">
            <v>华东理工大学</v>
          </cell>
          <cell r="I113" t="str">
            <v>/</v>
          </cell>
          <cell r="J113">
            <v>2</v>
          </cell>
          <cell r="K113" t="str">
            <v>数据分析</v>
          </cell>
          <cell r="L113" t="str">
            <v>校园招聘</v>
          </cell>
        </row>
        <row r="113">
          <cell r="R113">
            <v>18</v>
          </cell>
        </row>
        <row r="114">
          <cell r="B114" t="str">
            <v>林子琪</v>
          </cell>
          <cell r="C114" t="str">
            <v>信息管理部</v>
          </cell>
          <cell r="D114" t="str">
            <v>非零BP</v>
          </cell>
          <cell r="E114" t="str">
            <v>女</v>
          </cell>
          <cell r="F114" t="e">
            <v>#N/A</v>
          </cell>
          <cell r="G114" t="str">
            <v>研究生</v>
          </cell>
          <cell r="H114" t="str">
            <v>澳大利亚国立大学</v>
          </cell>
          <cell r="I114" t="str">
            <v>/</v>
          </cell>
          <cell r="J114">
            <v>2</v>
          </cell>
          <cell r="K114" t="str">
            <v>数据分析</v>
          </cell>
          <cell r="L114" t="str">
            <v>校园招聘</v>
          </cell>
        </row>
        <row r="114">
          <cell r="R114">
            <v>2</v>
          </cell>
        </row>
        <row r="115">
          <cell r="B115" t="str">
            <v>白迪</v>
          </cell>
          <cell r="C115" t="str">
            <v>数据平台部</v>
          </cell>
          <cell r="D115" t="str">
            <v>工具开发组&amp;数据服务组负责人</v>
          </cell>
          <cell r="E115" t="str">
            <v>男</v>
          </cell>
          <cell r="F115">
            <v>7</v>
          </cell>
          <cell r="G115" t="str">
            <v>研究生</v>
          </cell>
          <cell r="H115" t="str">
            <v>东华大学</v>
          </cell>
          <cell r="I115" t="str">
            <v>/</v>
          </cell>
          <cell r="J115">
            <v>4</v>
          </cell>
          <cell r="K115" t="str">
            <v>数据研发</v>
          </cell>
          <cell r="L115" t="str">
            <v>校园招聘</v>
          </cell>
        </row>
        <row r="115">
          <cell r="R115">
            <v>8</v>
          </cell>
        </row>
        <row r="116">
          <cell r="B116" t="str">
            <v>濮敏</v>
          </cell>
          <cell r="C116" t="str">
            <v>数据平台部</v>
          </cell>
          <cell r="D116" t="str">
            <v>工具开发组</v>
          </cell>
          <cell r="E116" t="str">
            <v>女</v>
          </cell>
          <cell r="F116">
            <v>5</v>
          </cell>
          <cell r="G116" t="str">
            <v>研究生</v>
          </cell>
          <cell r="H116" t="str">
            <v>华东师范大学</v>
          </cell>
          <cell r="I116" t="str">
            <v>/</v>
          </cell>
          <cell r="J116">
            <v>2</v>
          </cell>
          <cell r="K116" t="str">
            <v>数据研发</v>
          </cell>
          <cell r="L116" t="str">
            <v>校园招聘</v>
          </cell>
        </row>
        <row r="116">
          <cell r="R116">
            <v>16</v>
          </cell>
        </row>
        <row r="117">
          <cell r="B117" t="str">
            <v>沈志贇</v>
          </cell>
          <cell r="C117" t="str">
            <v>数据平台部</v>
          </cell>
          <cell r="D117" t="str">
            <v>工具开发组</v>
          </cell>
          <cell r="E117" t="str">
            <v>男</v>
          </cell>
          <cell r="F117">
            <v>3</v>
          </cell>
          <cell r="G117" t="str">
            <v>大学本科</v>
          </cell>
          <cell r="H117" t="str">
            <v>上海大学</v>
          </cell>
          <cell r="I117" t="str">
            <v>/</v>
          </cell>
          <cell r="J117">
            <v>1</v>
          </cell>
          <cell r="K117" t="str">
            <v>数据研发</v>
          </cell>
          <cell r="L117" t="str">
            <v>校园招聘</v>
          </cell>
        </row>
        <row r="117">
          <cell r="R117">
            <v>14</v>
          </cell>
        </row>
        <row r="118">
          <cell r="B118" t="str">
            <v>王双钰</v>
          </cell>
          <cell r="C118" t="str">
            <v>数据平台部</v>
          </cell>
          <cell r="D118" t="str">
            <v>工具开发组</v>
          </cell>
          <cell r="E118" t="str">
            <v>女</v>
          </cell>
          <cell r="F118">
            <v>3</v>
          </cell>
          <cell r="G118" t="str">
            <v>研究生</v>
          </cell>
          <cell r="H118" t="str">
            <v>爱丁堡大学</v>
          </cell>
          <cell r="I118" t="str">
            <v>/</v>
          </cell>
          <cell r="J118">
            <v>1</v>
          </cell>
          <cell r="K118" t="str">
            <v>数据研发</v>
          </cell>
          <cell r="L118" t="str">
            <v>校园招聘</v>
          </cell>
        </row>
        <row r="118">
          <cell r="R118">
            <v>15</v>
          </cell>
        </row>
        <row r="119">
          <cell r="B119" t="str">
            <v>吕丽丽</v>
          </cell>
          <cell r="C119" t="str">
            <v>数据平台部</v>
          </cell>
          <cell r="D119" t="str">
            <v>工具开发组</v>
          </cell>
          <cell r="E119" t="str">
            <v>女</v>
          </cell>
          <cell r="F119">
            <v>3</v>
          </cell>
          <cell r="G119" t="str">
            <v>研究生</v>
          </cell>
          <cell r="H119" t="str">
            <v>华威大学</v>
          </cell>
          <cell r="I119" t="str">
            <v>/</v>
          </cell>
          <cell r="J119">
            <v>1</v>
          </cell>
          <cell r="K119" t="str">
            <v>数据研发</v>
          </cell>
          <cell r="L119" t="str">
            <v>校园招聘</v>
          </cell>
        </row>
        <row r="119">
          <cell r="R119">
            <v>11</v>
          </cell>
        </row>
        <row r="120">
          <cell r="B120" t="str">
            <v>陈玉思</v>
          </cell>
          <cell r="C120" t="str">
            <v>数据平台部</v>
          </cell>
          <cell r="D120" t="str">
            <v>工具开发组</v>
          </cell>
          <cell r="E120" t="str">
            <v>女</v>
          </cell>
          <cell r="F120">
            <v>1</v>
          </cell>
          <cell r="G120" t="str">
            <v>研究生</v>
          </cell>
          <cell r="H120" t="str">
            <v>河海大学</v>
          </cell>
          <cell r="I120" t="str">
            <v>/</v>
          </cell>
          <cell r="J120">
            <v>2</v>
          </cell>
          <cell r="K120" t="str">
            <v>数据研发</v>
          </cell>
          <cell r="L120" t="str">
            <v>校园招聘</v>
          </cell>
        </row>
        <row r="120">
          <cell r="R120">
            <v>12</v>
          </cell>
        </row>
        <row r="121">
          <cell r="B121" t="str">
            <v>周浩</v>
          </cell>
          <cell r="C121" t="str">
            <v>数据平台部</v>
          </cell>
          <cell r="D121" t="str">
            <v>数据服务组</v>
          </cell>
          <cell r="E121" t="str">
            <v>男</v>
          </cell>
          <cell r="F121">
            <v>6</v>
          </cell>
          <cell r="G121" t="str">
            <v>研究生</v>
          </cell>
          <cell r="H121" t="str">
            <v>太原理工大学</v>
          </cell>
          <cell r="I121" t="str">
            <v>/</v>
          </cell>
          <cell r="J121">
            <v>3</v>
          </cell>
          <cell r="K121" t="str">
            <v>数据研发</v>
          </cell>
          <cell r="L121" t="str">
            <v>校园招聘</v>
          </cell>
        </row>
        <row r="121">
          <cell r="P121" t="str">
            <v>23研究与创新奖、23数据文化优秀贡献者</v>
          </cell>
        </row>
        <row r="121">
          <cell r="R121">
            <v>11</v>
          </cell>
        </row>
        <row r="122">
          <cell r="B122" t="str">
            <v>安新宜</v>
          </cell>
          <cell r="C122" t="str">
            <v>数据平台部</v>
          </cell>
          <cell r="D122" t="str">
            <v>数据服务组</v>
          </cell>
          <cell r="E122" t="str">
            <v>女</v>
          </cell>
          <cell r="F122">
            <v>3</v>
          </cell>
          <cell r="G122" t="str">
            <v>研究生</v>
          </cell>
          <cell r="H122" t="str">
            <v>南加州大学</v>
          </cell>
          <cell r="I122" t="str">
            <v>/</v>
          </cell>
          <cell r="J122">
            <v>2</v>
          </cell>
          <cell r="K122" t="str">
            <v>数据研发</v>
          </cell>
          <cell r="L122" t="str">
            <v>校园招聘</v>
          </cell>
        </row>
        <row r="122">
          <cell r="P122" t="str">
            <v>23最佳新人</v>
          </cell>
        </row>
        <row r="122">
          <cell r="R122">
            <v>14</v>
          </cell>
        </row>
        <row r="123">
          <cell r="B123" t="str">
            <v>张放</v>
          </cell>
          <cell r="C123" t="str">
            <v>数据平台部</v>
          </cell>
          <cell r="D123" t="str">
            <v>数据服务组</v>
          </cell>
          <cell r="E123" t="str">
            <v>男</v>
          </cell>
          <cell r="F123">
            <v>3</v>
          </cell>
          <cell r="G123" t="str">
            <v>研究生</v>
          </cell>
          <cell r="H123" t="str">
            <v>南开大学</v>
          </cell>
          <cell r="I123" t="str">
            <v>/</v>
          </cell>
          <cell r="J123">
            <v>2</v>
          </cell>
          <cell r="K123" t="str">
            <v>数据研发</v>
          </cell>
          <cell r="L123" t="str">
            <v>校园招聘</v>
          </cell>
        </row>
        <row r="123">
          <cell r="R123">
            <v>17</v>
          </cell>
        </row>
        <row r="124">
          <cell r="B124" t="str">
            <v>任欣宇</v>
          </cell>
          <cell r="C124" t="str">
            <v>数据平台部</v>
          </cell>
          <cell r="D124" t="str">
            <v>数据服务组</v>
          </cell>
          <cell r="E124" t="str">
            <v>男</v>
          </cell>
          <cell r="F124">
            <v>1</v>
          </cell>
          <cell r="G124" t="str">
            <v>研究生</v>
          </cell>
          <cell r="H124" t="str">
            <v>长安大学</v>
          </cell>
          <cell r="I124" t="str">
            <v>/</v>
          </cell>
          <cell r="J124">
            <v>1</v>
          </cell>
          <cell r="K124" t="str">
            <v>数据研发</v>
          </cell>
          <cell r="L124" t="str">
            <v>校园招聘</v>
          </cell>
        </row>
        <row r="124">
          <cell r="R124">
            <v>17</v>
          </cell>
        </row>
        <row r="125">
          <cell r="B125" t="str">
            <v>刘金良</v>
          </cell>
          <cell r="C125" t="str">
            <v>数据平台部</v>
          </cell>
          <cell r="D125" t="str">
            <v>数据服务组</v>
          </cell>
          <cell r="E125" t="str">
            <v>男</v>
          </cell>
          <cell r="F125">
            <v>13</v>
          </cell>
          <cell r="G125" t="str">
            <v>研究生</v>
          </cell>
          <cell r="H125" t="str">
            <v>浙江工业大学</v>
          </cell>
          <cell r="I125" t="str">
            <v>/</v>
          </cell>
        </row>
        <row r="125">
          <cell r="K125" t="str">
            <v>数据研发</v>
          </cell>
          <cell r="L125" t="str">
            <v>社会招聘</v>
          </cell>
        </row>
        <row r="125">
          <cell r="R125">
            <v>2</v>
          </cell>
        </row>
        <row r="126">
          <cell r="B126" t="str">
            <v>吴证</v>
          </cell>
          <cell r="C126" t="str">
            <v>数据平台部</v>
          </cell>
          <cell r="D126" t="str">
            <v>应用开发组&amp;运维支持组负责人</v>
          </cell>
          <cell r="E126" t="str">
            <v>男</v>
          </cell>
          <cell r="F126">
            <v>18</v>
          </cell>
          <cell r="G126" t="str">
            <v>研究生</v>
          </cell>
          <cell r="H126" t="str">
            <v>上海交通大学</v>
          </cell>
          <cell r="I126" t="str">
            <v>科长</v>
          </cell>
        </row>
        <row r="126">
          <cell r="K126" t="str">
            <v>数据研发</v>
          </cell>
          <cell r="L126" t="str">
            <v>社会招聘</v>
          </cell>
        </row>
        <row r="126">
          <cell r="R126">
            <v>11</v>
          </cell>
        </row>
        <row r="127">
          <cell r="B127" t="str">
            <v>梅凯磊</v>
          </cell>
          <cell r="C127" t="str">
            <v>数据平台部</v>
          </cell>
          <cell r="D127" t="str">
            <v>应用开发组</v>
          </cell>
          <cell r="E127" t="str">
            <v>男</v>
          </cell>
          <cell r="F127">
            <v>4</v>
          </cell>
          <cell r="G127" t="str">
            <v>研究生</v>
          </cell>
          <cell r="H127" t="str">
            <v>华东师范大学</v>
          </cell>
          <cell r="I127" t="str">
            <v>/</v>
          </cell>
          <cell r="J127">
            <v>2</v>
          </cell>
          <cell r="K127" t="str">
            <v>数据研发</v>
          </cell>
          <cell r="L127" t="str">
            <v>校园招聘</v>
          </cell>
        </row>
        <row r="127">
          <cell r="R127">
            <v>11</v>
          </cell>
        </row>
        <row r="128">
          <cell r="B128" t="str">
            <v>李敏吉</v>
          </cell>
          <cell r="C128" t="str">
            <v>数据平台部</v>
          </cell>
          <cell r="D128" t="str">
            <v>应用开发组</v>
          </cell>
          <cell r="E128" t="str">
            <v>男</v>
          </cell>
          <cell r="F128">
            <v>1</v>
          </cell>
          <cell r="G128" t="str">
            <v>研究生</v>
          </cell>
          <cell r="H128" t="str">
            <v>华东师范大学</v>
          </cell>
          <cell r="I128" t="str">
            <v>/</v>
          </cell>
          <cell r="J128">
            <v>2</v>
          </cell>
          <cell r="K128" t="str">
            <v>数据研发</v>
          </cell>
          <cell r="L128" t="str">
            <v>校园招聘</v>
          </cell>
        </row>
        <row r="128">
          <cell r="R128">
            <v>15</v>
          </cell>
        </row>
        <row r="129">
          <cell r="B129" t="str">
            <v>万珊红</v>
          </cell>
          <cell r="C129" t="str">
            <v>数据平台部</v>
          </cell>
          <cell r="D129" t="str">
            <v>应用开发组</v>
          </cell>
          <cell r="E129" t="str">
            <v>女</v>
          </cell>
          <cell r="F129">
            <v>5</v>
          </cell>
          <cell r="G129" t="str">
            <v>研究生</v>
          </cell>
          <cell r="H129" t="str">
            <v>武汉大学</v>
          </cell>
          <cell r="I129" t="str">
            <v>/</v>
          </cell>
          <cell r="J129">
            <v>1</v>
          </cell>
          <cell r="K129" t="str">
            <v>数据研发</v>
          </cell>
          <cell r="L129" t="str">
            <v>校园招聘</v>
          </cell>
        </row>
        <row r="129">
          <cell r="R129">
            <v>6</v>
          </cell>
        </row>
        <row r="130">
          <cell r="B130" t="str">
            <v>刘惠</v>
          </cell>
          <cell r="C130" t="str">
            <v>数据平台部</v>
          </cell>
          <cell r="D130" t="str">
            <v>应用开发组</v>
          </cell>
          <cell r="E130" t="str">
            <v>女</v>
          </cell>
          <cell r="F130">
            <v>9</v>
          </cell>
          <cell r="G130" t="str">
            <v>研究生</v>
          </cell>
          <cell r="H130" t="str">
            <v>浙江大学</v>
          </cell>
          <cell r="I130" t="str">
            <v>/</v>
          </cell>
          <cell r="J130">
            <v>2</v>
          </cell>
          <cell r="K130" t="str">
            <v>数据研发</v>
          </cell>
          <cell r="L130" t="str">
            <v>社会招聘</v>
          </cell>
        </row>
        <row r="130">
          <cell r="R130">
            <v>14</v>
          </cell>
        </row>
        <row r="131">
          <cell r="B131" t="str">
            <v>佟嘉欣</v>
          </cell>
          <cell r="C131" t="str">
            <v>数据平台部</v>
          </cell>
          <cell r="D131" t="str">
            <v>应用开发组</v>
          </cell>
          <cell r="E131" t="str">
            <v>女</v>
          </cell>
          <cell r="F131">
            <v>1</v>
          </cell>
          <cell r="G131" t="str">
            <v>研究生</v>
          </cell>
          <cell r="H131" t="str">
            <v>华东师范大学</v>
          </cell>
          <cell r="I131" t="str">
            <v>/</v>
          </cell>
          <cell r="J131">
            <v>1</v>
          </cell>
          <cell r="K131" t="str">
            <v>数据研发</v>
          </cell>
          <cell r="L131" t="str">
            <v>校园招聘</v>
          </cell>
        </row>
        <row r="131">
          <cell r="R131">
            <v>13</v>
          </cell>
        </row>
        <row r="132">
          <cell r="B132" t="str">
            <v>张顺</v>
          </cell>
          <cell r="C132" t="str">
            <v>数据平台部</v>
          </cell>
          <cell r="D132" t="str">
            <v>应用开发组</v>
          </cell>
          <cell r="E132" t="str">
            <v>女</v>
          </cell>
          <cell r="F132">
            <v>1</v>
          </cell>
          <cell r="G132" t="str">
            <v>研究生</v>
          </cell>
          <cell r="H132" t="str">
            <v>大连理工大学</v>
          </cell>
          <cell r="I132" t="str">
            <v>/</v>
          </cell>
          <cell r="J132">
            <v>1</v>
          </cell>
          <cell r="K132" t="str">
            <v>数据研发</v>
          </cell>
          <cell r="L132" t="str">
            <v>校园招聘</v>
          </cell>
        </row>
        <row r="132">
          <cell r="R132">
            <v>21</v>
          </cell>
        </row>
        <row r="133">
          <cell r="B133" t="str">
            <v>冯晓煜</v>
          </cell>
          <cell r="C133" t="str">
            <v>数据平台部</v>
          </cell>
          <cell r="D133" t="str">
            <v>运维支持组</v>
          </cell>
          <cell r="E133" t="str">
            <v>男</v>
          </cell>
          <cell r="F133">
            <v>6</v>
          </cell>
          <cell r="G133" t="str">
            <v>研究生</v>
          </cell>
          <cell r="H133" t="str">
            <v>东华大学</v>
          </cell>
          <cell r="I133" t="str">
            <v>/</v>
          </cell>
          <cell r="J133">
            <v>2</v>
          </cell>
          <cell r="K133" t="str">
            <v>数据研发</v>
          </cell>
          <cell r="L133" t="str">
            <v>校园招聘</v>
          </cell>
        </row>
        <row r="133">
          <cell r="R133">
            <v>14</v>
          </cell>
        </row>
        <row r="134">
          <cell r="B134" t="str">
            <v>冯潇</v>
          </cell>
          <cell r="C134" t="str">
            <v>数据平台部</v>
          </cell>
          <cell r="D134" t="str">
            <v>运维支持组</v>
          </cell>
          <cell r="E134" t="str">
            <v>女</v>
          </cell>
          <cell r="F134">
            <v>5</v>
          </cell>
          <cell r="G134" t="str">
            <v>研究生</v>
          </cell>
          <cell r="H134" t="str">
            <v>华东师范大学</v>
          </cell>
          <cell r="I134" t="str">
            <v>/</v>
          </cell>
          <cell r="J134">
            <v>1</v>
          </cell>
          <cell r="K134" t="str">
            <v>数据研发</v>
          </cell>
          <cell r="L134" t="str">
            <v>校园招聘</v>
          </cell>
        </row>
        <row r="134">
          <cell r="R134">
            <v>16</v>
          </cell>
        </row>
        <row r="135">
          <cell r="B135" t="str">
            <v>陈朗</v>
          </cell>
          <cell r="C135" t="str">
            <v>数据平台部</v>
          </cell>
          <cell r="D135" t="str">
            <v>运维支持组</v>
          </cell>
          <cell r="E135" t="str">
            <v>男</v>
          </cell>
          <cell r="F135">
            <v>1</v>
          </cell>
          <cell r="G135" t="str">
            <v>大学本科</v>
          </cell>
          <cell r="H135" t="str">
            <v>上海理工大学</v>
          </cell>
          <cell r="I135" t="str">
            <v>/</v>
          </cell>
          <cell r="J135">
            <v>1</v>
          </cell>
          <cell r="K135" t="str">
            <v>数据研发</v>
          </cell>
          <cell r="L135" t="str">
            <v>校园招聘</v>
          </cell>
        </row>
        <row r="135">
          <cell r="R135">
            <v>16</v>
          </cell>
        </row>
        <row r="136">
          <cell r="B136" t="str">
            <v>王新蕾</v>
          </cell>
          <cell r="C136" t="str">
            <v>数据平台部</v>
          </cell>
          <cell r="D136" t="str">
            <v>待定</v>
          </cell>
          <cell r="E136" t="str">
            <v>女</v>
          </cell>
          <cell r="F136">
            <v>1</v>
          </cell>
          <cell r="G136" t="str">
            <v>研究生</v>
          </cell>
          <cell r="H136" t="str">
            <v>中国科学技术大学</v>
          </cell>
          <cell r="I136" t="str">
            <v>/</v>
          </cell>
          <cell r="J136">
            <v>1</v>
          </cell>
          <cell r="K136" t="str">
            <v>数据研发</v>
          </cell>
          <cell r="L136" t="str">
            <v>校园招聘</v>
          </cell>
        </row>
        <row r="136">
          <cell r="R136">
            <v>0</v>
          </cell>
        </row>
        <row r="137">
          <cell r="B137" t="str">
            <v>顾恺</v>
          </cell>
          <cell r="C137" t="str">
            <v>数据开发部</v>
          </cell>
          <cell r="D137" t="str">
            <v>负责人</v>
          </cell>
          <cell r="E137" t="str">
            <v>男</v>
          </cell>
          <cell r="F137">
            <v>20</v>
          </cell>
          <cell r="G137" t="str">
            <v>大学本科</v>
          </cell>
          <cell r="H137" t="str">
            <v>东华大学</v>
          </cell>
          <cell r="I137" t="str">
            <v>科长</v>
          </cell>
          <cell r="J137">
            <v>3</v>
          </cell>
          <cell r="K137" t="str">
            <v>负责人</v>
          </cell>
          <cell r="L137" t="str">
            <v>社会招聘</v>
          </cell>
        </row>
        <row r="137">
          <cell r="R137">
            <v>4</v>
          </cell>
        </row>
        <row r="138">
          <cell r="B138" t="str">
            <v>杨青</v>
          </cell>
          <cell r="C138" t="str">
            <v>数据开发部</v>
          </cell>
          <cell r="D138" t="str">
            <v>负责人</v>
          </cell>
          <cell r="E138" t="str">
            <v>女</v>
          </cell>
          <cell r="F138">
            <v>15</v>
          </cell>
          <cell r="G138" t="str">
            <v>研究生</v>
          </cell>
          <cell r="H138" t="str">
            <v>东华大学</v>
          </cell>
          <cell r="I138" t="str">
            <v>/</v>
          </cell>
          <cell r="J138">
            <v>2</v>
          </cell>
          <cell r="K138" t="str">
            <v>数据研发</v>
          </cell>
          <cell r="L138" t="str">
            <v>社会招聘</v>
          </cell>
          <cell r="M138" t="str">
            <v>第一党支部纪检委员</v>
          </cell>
          <cell r="N138" t="str">
            <v>工会会员代表</v>
          </cell>
        </row>
        <row r="138">
          <cell r="R138">
            <v>4</v>
          </cell>
        </row>
        <row r="139">
          <cell r="B139" t="str">
            <v>田振宇</v>
          </cell>
          <cell r="C139" t="str">
            <v>数据开发部</v>
          </cell>
          <cell r="D139" t="str">
            <v>模型设计组</v>
          </cell>
          <cell r="E139" t="str">
            <v>男</v>
          </cell>
          <cell r="F139">
            <v>3</v>
          </cell>
          <cell r="G139" t="str">
            <v>研究生</v>
          </cell>
          <cell r="H139" t="str">
            <v>上海大学</v>
          </cell>
          <cell r="I139" t="str">
            <v>/</v>
          </cell>
          <cell r="J139">
            <v>2</v>
          </cell>
          <cell r="K139" t="str">
            <v>数据研发</v>
          </cell>
          <cell r="L139" t="str">
            <v>校园招聘</v>
          </cell>
        </row>
        <row r="139">
          <cell r="R139">
            <v>14</v>
          </cell>
        </row>
        <row r="140">
          <cell r="B140" t="str">
            <v>陈科宇</v>
          </cell>
          <cell r="C140" t="str">
            <v>数据开发部</v>
          </cell>
          <cell r="D140" t="str">
            <v>应用开发组/风险管理</v>
          </cell>
          <cell r="E140" t="str">
            <v>女</v>
          </cell>
          <cell r="F140">
            <v>6</v>
          </cell>
          <cell r="G140" t="str">
            <v>大学本科</v>
          </cell>
          <cell r="H140" t="str">
            <v>江南大学</v>
          </cell>
          <cell r="I140" t="str">
            <v>/</v>
          </cell>
          <cell r="J140">
            <v>3</v>
          </cell>
          <cell r="K140" t="str">
            <v>数据研发</v>
          </cell>
          <cell r="L140" t="str">
            <v>校园招聘</v>
          </cell>
        </row>
        <row r="140">
          <cell r="O140" t="str">
            <v>团委副书记</v>
          </cell>
        </row>
        <row r="140">
          <cell r="R140">
            <v>17</v>
          </cell>
        </row>
        <row r="141">
          <cell r="B141" t="str">
            <v>胡庆</v>
          </cell>
          <cell r="C141" t="str">
            <v>数据开发部</v>
          </cell>
          <cell r="D141" t="str">
            <v>应用开发组/风险管理</v>
          </cell>
          <cell r="E141" t="str">
            <v>男</v>
          </cell>
          <cell r="F141">
            <v>3</v>
          </cell>
          <cell r="G141" t="str">
            <v>研究生</v>
          </cell>
          <cell r="H141" t="str">
            <v>上海对外经贸大学</v>
          </cell>
          <cell r="I141" t="str">
            <v>/</v>
          </cell>
          <cell r="J141">
            <v>1</v>
          </cell>
          <cell r="K141" t="str">
            <v>数据研发</v>
          </cell>
          <cell r="L141" t="str">
            <v>校园招聘</v>
          </cell>
        </row>
        <row r="141">
          <cell r="P141" t="str">
            <v>2025行外发文1</v>
          </cell>
        </row>
        <row r="141">
          <cell r="R141">
            <v>13</v>
          </cell>
        </row>
        <row r="142">
          <cell r="B142" t="str">
            <v>张倩</v>
          </cell>
          <cell r="C142" t="str">
            <v>数据开发部</v>
          </cell>
          <cell r="D142" t="str">
            <v>应用开发组/风险管理</v>
          </cell>
          <cell r="E142" t="str">
            <v>女</v>
          </cell>
          <cell r="F142">
            <v>3</v>
          </cell>
          <cell r="G142" t="str">
            <v>研究生</v>
          </cell>
          <cell r="H142" t="str">
            <v>上海财经大学</v>
          </cell>
          <cell r="I142" t="str">
            <v>/</v>
          </cell>
          <cell r="J142">
            <v>1</v>
          </cell>
          <cell r="K142" t="str">
            <v>数据研发</v>
          </cell>
          <cell r="L142" t="str">
            <v>校园招聘</v>
          </cell>
        </row>
        <row r="142">
          <cell r="R142">
            <v>9</v>
          </cell>
        </row>
        <row r="143">
          <cell r="B143" t="str">
            <v>龚毅磊</v>
          </cell>
          <cell r="C143" t="str">
            <v>数据开发部</v>
          </cell>
          <cell r="D143" t="str">
            <v>应用开发组/监管报送</v>
          </cell>
          <cell r="E143" t="str">
            <v>男</v>
          </cell>
          <cell r="F143">
            <v>3</v>
          </cell>
          <cell r="G143" t="str">
            <v>研究生</v>
          </cell>
          <cell r="H143" t="str">
            <v>香港中文大学</v>
          </cell>
          <cell r="I143" t="str">
            <v>/</v>
          </cell>
          <cell r="J143">
            <v>2</v>
          </cell>
          <cell r="K143" t="str">
            <v>数据研发</v>
          </cell>
          <cell r="L143" t="str">
            <v>校园招聘</v>
          </cell>
        </row>
        <row r="143">
          <cell r="R143">
            <v>12</v>
          </cell>
        </row>
        <row r="144">
          <cell r="B144" t="str">
            <v>景丞</v>
          </cell>
          <cell r="C144" t="str">
            <v>数据开发部</v>
          </cell>
          <cell r="D144" t="str">
            <v>应用开发组/监管报送</v>
          </cell>
          <cell r="E144" t="str">
            <v>女</v>
          </cell>
          <cell r="F144">
            <v>7</v>
          </cell>
          <cell r="G144" t="str">
            <v>大学本科</v>
          </cell>
          <cell r="H144" t="str">
            <v>南京理工大学</v>
          </cell>
          <cell r="I144" t="str">
            <v>/</v>
          </cell>
          <cell r="J144">
            <v>3</v>
          </cell>
          <cell r="K144" t="str">
            <v>数据研发</v>
          </cell>
          <cell r="L144" t="str">
            <v>社会招聘</v>
          </cell>
        </row>
        <row r="144">
          <cell r="R144">
            <v>16</v>
          </cell>
        </row>
        <row r="145">
          <cell r="B145" t="str">
            <v>刘梦颖</v>
          </cell>
          <cell r="C145" t="str">
            <v>数据开发部</v>
          </cell>
          <cell r="D145" t="str">
            <v>应用开发组/监管报送</v>
          </cell>
          <cell r="E145" t="str">
            <v>女</v>
          </cell>
          <cell r="F145">
            <v>7</v>
          </cell>
          <cell r="G145" t="str">
            <v>研究生</v>
          </cell>
          <cell r="H145" t="str">
            <v>上海大学</v>
          </cell>
          <cell r="I145" t="str">
            <v>/</v>
          </cell>
          <cell r="J145">
            <v>3</v>
          </cell>
          <cell r="K145" t="str">
            <v>数据研发</v>
          </cell>
          <cell r="L145" t="str">
            <v>社会招聘</v>
          </cell>
        </row>
        <row r="145">
          <cell r="R145">
            <v>16</v>
          </cell>
        </row>
        <row r="146">
          <cell r="B146" t="str">
            <v>钱磊</v>
          </cell>
          <cell r="C146" t="str">
            <v>数据开发部</v>
          </cell>
          <cell r="D146" t="str">
            <v>应用开发组/监管报送</v>
          </cell>
          <cell r="E146" t="str">
            <v>男</v>
          </cell>
          <cell r="F146">
            <v>10</v>
          </cell>
          <cell r="G146" t="str">
            <v>大学本科</v>
          </cell>
          <cell r="H146" t="str">
            <v>海南大学</v>
          </cell>
          <cell r="I146" t="str">
            <v>/</v>
          </cell>
          <cell r="J146">
            <v>2</v>
          </cell>
          <cell r="K146" t="str">
            <v>数据研发</v>
          </cell>
          <cell r="L146" t="str">
            <v>社会招聘</v>
          </cell>
        </row>
        <row r="146">
          <cell r="R146">
            <v>14</v>
          </cell>
        </row>
        <row r="147">
          <cell r="B147" t="str">
            <v>王子枫</v>
          </cell>
          <cell r="C147" t="str">
            <v>数据开发部</v>
          </cell>
          <cell r="D147" t="str">
            <v>应用开发组/监管报送</v>
          </cell>
          <cell r="E147" t="str">
            <v>男</v>
          </cell>
          <cell r="F147">
            <v>3</v>
          </cell>
          <cell r="G147" t="str">
            <v>大学本科</v>
          </cell>
          <cell r="H147" t="str">
            <v>上海师范大学</v>
          </cell>
          <cell r="I147" t="str">
            <v>/</v>
          </cell>
          <cell r="J147">
            <v>1</v>
          </cell>
          <cell r="K147" t="str">
            <v>数据研发</v>
          </cell>
          <cell r="L147" t="str">
            <v>校园招聘</v>
          </cell>
        </row>
        <row r="147">
          <cell r="R147">
            <v>17</v>
          </cell>
        </row>
        <row r="148">
          <cell r="B148" t="str">
            <v>卫彩萍</v>
          </cell>
          <cell r="C148" t="str">
            <v>数据开发部</v>
          </cell>
          <cell r="D148" t="str">
            <v>应用开发组/监管报送</v>
          </cell>
          <cell r="E148" t="str">
            <v>女</v>
          </cell>
          <cell r="F148">
            <v>1</v>
          </cell>
          <cell r="G148" t="str">
            <v>研究生</v>
          </cell>
          <cell r="H148" t="str">
            <v>东华大学</v>
          </cell>
          <cell r="I148" t="str">
            <v>/</v>
          </cell>
          <cell r="J148">
            <v>3</v>
          </cell>
          <cell r="K148" t="str">
            <v>数据研发</v>
          </cell>
          <cell r="L148" t="str">
            <v>校园招聘</v>
          </cell>
        </row>
        <row r="148">
          <cell r="R148">
            <v>18</v>
          </cell>
        </row>
        <row r="149">
          <cell r="B149" t="str">
            <v>吴小倩</v>
          </cell>
          <cell r="C149" t="str">
            <v>数据开发部</v>
          </cell>
          <cell r="D149" t="str">
            <v>应用开发组/监管报送</v>
          </cell>
          <cell r="E149" t="str">
            <v>女</v>
          </cell>
          <cell r="F149">
            <v>4</v>
          </cell>
          <cell r="G149" t="str">
            <v>大学本科</v>
          </cell>
          <cell r="H149" t="str">
            <v>电子科技大学</v>
          </cell>
          <cell r="I149" t="str">
            <v>/</v>
          </cell>
          <cell r="J149">
            <v>3</v>
          </cell>
          <cell r="K149" t="str">
            <v>数据研发</v>
          </cell>
          <cell r="L149" t="str">
            <v>校园招聘</v>
          </cell>
        </row>
        <row r="149">
          <cell r="R149">
            <v>8</v>
          </cell>
        </row>
        <row r="150">
          <cell r="B150" t="str">
            <v>徐倩茹</v>
          </cell>
          <cell r="C150" t="str">
            <v>数据开发部</v>
          </cell>
          <cell r="D150" t="str">
            <v>应用开发组/监管报送</v>
          </cell>
          <cell r="E150" t="str">
            <v>女</v>
          </cell>
          <cell r="F150">
            <v>5</v>
          </cell>
          <cell r="G150" t="str">
            <v>研究生</v>
          </cell>
          <cell r="H150" t="str">
            <v>东北财经大学</v>
          </cell>
          <cell r="I150" t="str">
            <v>/</v>
          </cell>
          <cell r="J150">
            <v>1</v>
          </cell>
          <cell r="K150" t="str">
            <v>数据研发</v>
          </cell>
          <cell r="L150" t="str">
            <v>校园招聘</v>
          </cell>
        </row>
        <row r="150">
          <cell r="R150">
            <v>24</v>
          </cell>
        </row>
        <row r="151">
          <cell r="B151" t="str">
            <v>陈佳宁</v>
          </cell>
          <cell r="C151" t="str">
            <v>数据开发部</v>
          </cell>
          <cell r="D151" t="str">
            <v>应用开发组/经营管理</v>
          </cell>
          <cell r="E151" t="str">
            <v>女</v>
          </cell>
          <cell r="F151">
            <v>1</v>
          </cell>
          <cell r="G151" t="str">
            <v>研究生</v>
          </cell>
          <cell r="H151" t="str">
            <v>中南财经政法大学</v>
          </cell>
          <cell r="I151" t="str">
            <v>/</v>
          </cell>
          <cell r="J151">
            <v>1</v>
          </cell>
          <cell r="K151" t="str">
            <v>数据研发</v>
          </cell>
          <cell r="L151" t="str">
            <v>校园招聘</v>
          </cell>
        </row>
        <row r="151">
          <cell r="R151">
            <v>18</v>
          </cell>
        </row>
        <row r="152">
          <cell r="B152" t="str">
            <v>陈笑轩</v>
          </cell>
          <cell r="C152" t="str">
            <v>数据开发部</v>
          </cell>
          <cell r="D152" t="str">
            <v>应用开发组/经营管理</v>
          </cell>
          <cell r="E152" t="str">
            <v>女</v>
          </cell>
          <cell r="F152">
            <v>4</v>
          </cell>
          <cell r="G152" t="str">
            <v>研究生</v>
          </cell>
          <cell r="H152" t="str">
            <v>悉尼大学</v>
          </cell>
          <cell r="I152" t="str">
            <v>/</v>
          </cell>
          <cell r="J152">
            <v>4</v>
          </cell>
          <cell r="K152" t="str">
            <v>数据研发</v>
          </cell>
          <cell r="L152" t="str">
            <v>校园招聘</v>
          </cell>
        </row>
        <row r="152">
          <cell r="O152" t="str">
            <v>团委宣传委员</v>
          </cell>
        </row>
        <row r="152">
          <cell r="R152">
            <v>16</v>
          </cell>
        </row>
        <row r="153">
          <cell r="B153" t="str">
            <v>胡雯</v>
          </cell>
          <cell r="C153" t="str">
            <v>数据开发部</v>
          </cell>
          <cell r="D153" t="str">
            <v>应用开发组/经营管理</v>
          </cell>
          <cell r="E153" t="str">
            <v>女</v>
          </cell>
          <cell r="F153">
            <v>4</v>
          </cell>
          <cell r="G153" t="str">
            <v>大学本科</v>
          </cell>
          <cell r="H153" t="str">
            <v>上海财经大学</v>
          </cell>
          <cell r="I153" t="str">
            <v>/</v>
          </cell>
          <cell r="J153">
            <v>4</v>
          </cell>
          <cell r="K153" t="str">
            <v>数据研发</v>
          </cell>
          <cell r="L153" t="str">
            <v>校园招聘</v>
          </cell>
        </row>
        <row r="153">
          <cell r="R153">
            <v>14</v>
          </cell>
        </row>
        <row r="154">
          <cell r="B154" t="str">
            <v>梅苏源</v>
          </cell>
          <cell r="C154" t="str">
            <v>数据开发部</v>
          </cell>
          <cell r="D154" t="str">
            <v>应用开发组/经营管理</v>
          </cell>
          <cell r="E154" t="str">
            <v>男</v>
          </cell>
          <cell r="F154">
            <v>1</v>
          </cell>
          <cell r="G154" t="str">
            <v>研究生</v>
          </cell>
          <cell r="H154" t="str">
            <v>合肥工业大学</v>
          </cell>
          <cell r="I154" t="str">
            <v>/</v>
          </cell>
          <cell r="J154">
            <v>2</v>
          </cell>
          <cell r="K154" t="str">
            <v>数据研发</v>
          </cell>
          <cell r="L154" t="str">
            <v>校园招聘</v>
          </cell>
        </row>
        <row r="154">
          <cell r="R154">
            <v>15</v>
          </cell>
        </row>
        <row r="155">
          <cell r="B155" t="str">
            <v>阮靖龙</v>
          </cell>
          <cell r="C155" t="str">
            <v>数据开发部</v>
          </cell>
          <cell r="D155" t="str">
            <v>应用开发组/经营管理</v>
          </cell>
          <cell r="E155" t="str">
            <v>男</v>
          </cell>
          <cell r="F155">
            <v>1</v>
          </cell>
          <cell r="G155" t="str">
            <v>研究生</v>
          </cell>
          <cell r="H155" t="str">
            <v>华中师范大学</v>
          </cell>
          <cell r="I155" t="str">
            <v>/</v>
          </cell>
          <cell r="J155">
            <v>2</v>
          </cell>
          <cell r="K155" t="str">
            <v>数据研发</v>
          </cell>
          <cell r="L155" t="str">
            <v>校园招聘</v>
          </cell>
        </row>
        <row r="155">
          <cell r="R155">
            <v>10</v>
          </cell>
        </row>
        <row r="156">
          <cell r="B156" t="str">
            <v>张雅淇</v>
          </cell>
          <cell r="C156" t="str">
            <v>数据开发部</v>
          </cell>
          <cell r="D156" t="str">
            <v>应用开发组/经营管理</v>
          </cell>
          <cell r="E156" t="str">
            <v>女</v>
          </cell>
          <cell r="F156">
            <v>6</v>
          </cell>
          <cell r="G156" t="str">
            <v>大学本科</v>
          </cell>
          <cell r="H156" t="str">
            <v>东北大学</v>
          </cell>
          <cell r="I156" t="str">
            <v>/</v>
          </cell>
          <cell r="J156">
            <v>5</v>
          </cell>
          <cell r="K156" t="str">
            <v>数据研发</v>
          </cell>
          <cell r="L156" t="str">
            <v>校园招聘</v>
          </cell>
        </row>
        <row r="156">
          <cell r="R156">
            <v>12</v>
          </cell>
        </row>
        <row r="157">
          <cell r="B157" t="str">
            <v>陈晨</v>
          </cell>
          <cell r="C157" t="str">
            <v>数据开发部</v>
          </cell>
          <cell r="D157" t="str">
            <v>数仓开发组</v>
          </cell>
          <cell r="E157" t="str">
            <v>男</v>
          </cell>
          <cell r="F157">
            <v>1</v>
          </cell>
          <cell r="G157" t="str">
            <v>研究生</v>
          </cell>
          <cell r="H157" t="str">
            <v>上海大学</v>
          </cell>
          <cell r="I157" t="str">
            <v>/</v>
          </cell>
          <cell r="J157">
            <v>1</v>
          </cell>
          <cell r="K157" t="str">
            <v>数据研发</v>
          </cell>
          <cell r="L157" t="str">
            <v>校园招聘</v>
          </cell>
        </row>
        <row r="157">
          <cell r="R157">
            <v>15</v>
          </cell>
        </row>
        <row r="158">
          <cell r="B158" t="str">
            <v>袁凯</v>
          </cell>
          <cell r="C158" t="str">
            <v>数据开发部</v>
          </cell>
          <cell r="D158" t="str">
            <v>数仓开发组</v>
          </cell>
          <cell r="E158" t="str">
            <v>男</v>
          </cell>
          <cell r="F158">
            <v>3</v>
          </cell>
          <cell r="G158" t="str">
            <v>研究生</v>
          </cell>
          <cell r="H158" t="str">
            <v>中国科学院大学</v>
          </cell>
          <cell r="I158" t="str">
            <v>/</v>
          </cell>
          <cell r="J158">
            <v>1</v>
          </cell>
          <cell r="K158" t="str">
            <v>数据研发</v>
          </cell>
          <cell r="L158" t="str">
            <v>校园招聘</v>
          </cell>
        </row>
        <row r="158">
          <cell r="R158">
            <v>14</v>
          </cell>
        </row>
        <row r="159">
          <cell r="B159" t="str">
            <v>王萌萌</v>
          </cell>
          <cell r="C159" t="str">
            <v>数据开发部</v>
          </cell>
          <cell r="D159" t="str">
            <v>数仓开发组</v>
          </cell>
          <cell r="E159" t="str">
            <v>女</v>
          </cell>
          <cell r="F159">
            <v>3</v>
          </cell>
          <cell r="G159" t="str">
            <v>研究生</v>
          </cell>
          <cell r="H159" t="str">
            <v>上海市计算技术研究所</v>
          </cell>
          <cell r="I159" t="str">
            <v>/</v>
          </cell>
          <cell r="J159">
            <v>1</v>
          </cell>
          <cell r="K159" t="str">
            <v>数据研发</v>
          </cell>
          <cell r="L159" t="str">
            <v>校园招聘</v>
          </cell>
        </row>
        <row r="159">
          <cell r="P159" t="str">
            <v>23最佳新人</v>
          </cell>
        </row>
        <row r="159">
          <cell r="R159">
            <v>13</v>
          </cell>
        </row>
        <row r="160">
          <cell r="B160" t="str">
            <v>赵雅婷</v>
          </cell>
          <cell r="C160" t="str">
            <v>数据开发部</v>
          </cell>
          <cell r="D160" t="str">
            <v>数仓开发组</v>
          </cell>
          <cell r="E160" t="str">
            <v>女</v>
          </cell>
          <cell r="F160">
            <v>3</v>
          </cell>
          <cell r="G160" t="str">
            <v>研究生</v>
          </cell>
          <cell r="H160" t="str">
            <v>东华大学</v>
          </cell>
          <cell r="I160" t="str">
            <v>/</v>
          </cell>
          <cell r="J160">
            <v>1</v>
          </cell>
          <cell r="K160" t="str">
            <v>数据研发</v>
          </cell>
          <cell r="L160" t="str">
            <v>校园招聘</v>
          </cell>
        </row>
        <row r="160">
          <cell r="R160">
            <v>11</v>
          </cell>
        </row>
        <row r="161">
          <cell r="B161" t="str">
            <v>李禹凝</v>
          </cell>
          <cell r="C161" t="str">
            <v>数据开发部</v>
          </cell>
          <cell r="D161" t="str">
            <v>数仓开发组</v>
          </cell>
          <cell r="E161" t="str">
            <v>女</v>
          </cell>
          <cell r="F161">
            <v>3</v>
          </cell>
          <cell r="G161" t="str">
            <v>研究生</v>
          </cell>
          <cell r="H161" t="str">
            <v>伦敦国王学院</v>
          </cell>
          <cell r="I161" t="str">
            <v>/</v>
          </cell>
          <cell r="J161">
            <v>1</v>
          </cell>
          <cell r="K161" t="str">
            <v>数据研发</v>
          </cell>
          <cell r="L161" t="str">
            <v>校园招聘</v>
          </cell>
        </row>
        <row r="161">
          <cell r="R161">
            <v>13</v>
          </cell>
        </row>
        <row r="162">
          <cell r="B162" t="str">
            <v>潘修滔</v>
          </cell>
          <cell r="C162" t="str">
            <v>数据开发部</v>
          </cell>
          <cell r="D162" t="str">
            <v>数仓开发组</v>
          </cell>
          <cell r="E162" t="str">
            <v>男</v>
          </cell>
          <cell r="F162">
            <v>3</v>
          </cell>
          <cell r="G162" t="str">
            <v>研究生</v>
          </cell>
          <cell r="H162" t="str">
            <v>浙江理工大学</v>
          </cell>
          <cell r="I162" t="str">
            <v>/</v>
          </cell>
          <cell r="J162">
            <v>1</v>
          </cell>
          <cell r="K162" t="str">
            <v>数据研发</v>
          </cell>
          <cell r="L162" t="str">
            <v>校园招聘</v>
          </cell>
        </row>
        <row r="162">
          <cell r="R162">
            <v>11</v>
          </cell>
        </row>
        <row r="163">
          <cell r="B163" t="str">
            <v>曹婕</v>
          </cell>
          <cell r="C163" t="str">
            <v>数据开发部</v>
          </cell>
          <cell r="D163" t="str">
            <v>数仓开发组</v>
          </cell>
          <cell r="E163" t="str">
            <v>女</v>
          </cell>
          <cell r="F163">
            <v>3</v>
          </cell>
          <cell r="G163" t="str">
            <v>研究生</v>
          </cell>
          <cell r="H163" t="str">
            <v>中国地质大学（北京）</v>
          </cell>
          <cell r="I163" t="str">
            <v>/</v>
          </cell>
          <cell r="J163">
            <v>1</v>
          </cell>
          <cell r="K163" t="str">
            <v>数据研发</v>
          </cell>
          <cell r="L163" t="str">
            <v>校园招聘</v>
          </cell>
        </row>
        <row r="163">
          <cell r="R163">
            <v>8</v>
          </cell>
        </row>
        <row r="164">
          <cell r="B164" t="str">
            <v>郑卞钰</v>
          </cell>
          <cell r="C164" t="str">
            <v>数据开发部</v>
          </cell>
          <cell r="D164" t="str">
            <v>数仓开发组</v>
          </cell>
          <cell r="E164" t="str">
            <v>女</v>
          </cell>
          <cell r="F164">
            <v>4</v>
          </cell>
          <cell r="G164" t="str">
            <v>研究生</v>
          </cell>
          <cell r="H164" t="str">
            <v>华中科技大学</v>
          </cell>
          <cell r="I164" t="str">
            <v>/</v>
          </cell>
          <cell r="J164">
            <v>1</v>
          </cell>
          <cell r="K164" t="str">
            <v>数据研发</v>
          </cell>
          <cell r="L164" t="str">
            <v>校园招聘</v>
          </cell>
        </row>
        <row r="164">
          <cell r="R164">
            <v>13</v>
          </cell>
        </row>
        <row r="165">
          <cell r="B165" t="str">
            <v>诸倩铷</v>
          </cell>
          <cell r="C165" t="str">
            <v>数据开发部</v>
          </cell>
          <cell r="D165" t="str">
            <v>数仓开发组</v>
          </cell>
          <cell r="E165" t="str">
            <v>女</v>
          </cell>
          <cell r="F165">
            <v>3</v>
          </cell>
          <cell r="G165" t="str">
            <v>研究生</v>
          </cell>
          <cell r="H165" t="str">
            <v>新加坡国立大学</v>
          </cell>
          <cell r="I165" t="str">
            <v>/</v>
          </cell>
          <cell r="J165">
            <v>1</v>
          </cell>
          <cell r="K165" t="str">
            <v>数据研发</v>
          </cell>
          <cell r="L165" t="str">
            <v>校园招聘</v>
          </cell>
        </row>
        <row r="165">
          <cell r="R165">
            <v>13</v>
          </cell>
        </row>
        <row r="166">
          <cell r="B166" t="str">
            <v>吴越</v>
          </cell>
          <cell r="C166" t="str">
            <v>数据开发部</v>
          </cell>
          <cell r="D166" t="str">
            <v>数仓开发组</v>
          </cell>
          <cell r="E166" t="str">
            <v>女</v>
          </cell>
          <cell r="F166">
            <v>1</v>
          </cell>
          <cell r="G166" t="str">
            <v>研究生</v>
          </cell>
          <cell r="H166" t="str">
            <v>华北电力大学</v>
          </cell>
          <cell r="I166" t="str">
            <v>/</v>
          </cell>
          <cell r="J166">
            <v>1</v>
          </cell>
          <cell r="K166" t="str">
            <v>数据研发</v>
          </cell>
          <cell r="L166" t="str">
            <v>校园招聘</v>
          </cell>
        </row>
        <row r="166">
          <cell r="R166">
            <v>13</v>
          </cell>
        </row>
        <row r="167">
          <cell r="B167" t="str">
            <v>张必歌</v>
          </cell>
          <cell r="C167" t="str">
            <v>数据开发部</v>
          </cell>
          <cell r="D167" t="str">
            <v>需求接入组</v>
          </cell>
          <cell r="E167" t="str">
            <v>女</v>
          </cell>
          <cell r="F167">
            <v>4</v>
          </cell>
          <cell r="G167" t="str">
            <v>研究生</v>
          </cell>
          <cell r="H167" t="str">
            <v>吉林大学</v>
          </cell>
          <cell r="I167" t="str">
            <v>/</v>
          </cell>
          <cell r="J167">
            <v>2</v>
          </cell>
          <cell r="K167" t="str">
            <v>数据研发</v>
          </cell>
          <cell r="L167" t="str">
            <v>校园招聘</v>
          </cell>
        </row>
        <row r="167">
          <cell r="R167">
            <v>3</v>
          </cell>
        </row>
        <row r="168">
          <cell r="B168" t="str">
            <v>李凯文</v>
          </cell>
          <cell r="C168" t="str">
            <v>数据开发部</v>
          </cell>
          <cell r="D168" t="str">
            <v>需求接入组</v>
          </cell>
          <cell r="E168" t="str">
            <v>男</v>
          </cell>
          <cell r="F168">
            <v>3</v>
          </cell>
          <cell r="G168" t="str">
            <v>研究生</v>
          </cell>
          <cell r="H168" t="str">
            <v>中国科学技术大学</v>
          </cell>
          <cell r="I168" t="str">
            <v>/</v>
          </cell>
          <cell r="J168">
            <v>2</v>
          </cell>
          <cell r="K168" t="str">
            <v>数据研发</v>
          </cell>
          <cell r="L168" t="str">
            <v>校园招聘</v>
          </cell>
        </row>
        <row r="168">
          <cell r="R168">
            <v>13</v>
          </cell>
        </row>
        <row r="169">
          <cell r="B169" t="str">
            <v>杜乐</v>
          </cell>
          <cell r="C169" t="str">
            <v>数据开发部</v>
          </cell>
          <cell r="D169" t="str">
            <v>需求接入组</v>
          </cell>
          <cell r="E169" t="str">
            <v>男</v>
          </cell>
          <cell r="F169">
            <v>1</v>
          </cell>
          <cell r="G169" t="str">
            <v>研究生</v>
          </cell>
          <cell r="H169" t="str">
            <v>华东理工大学</v>
          </cell>
          <cell r="I169" t="str">
            <v>/</v>
          </cell>
          <cell r="J169">
            <v>2</v>
          </cell>
          <cell r="K169" t="str">
            <v>数据研发</v>
          </cell>
          <cell r="L169" t="str">
            <v>校园招聘</v>
          </cell>
        </row>
        <row r="169">
          <cell r="R169">
            <v>13</v>
          </cell>
        </row>
        <row r="170">
          <cell r="B170" t="str">
            <v>连静</v>
          </cell>
          <cell r="C170" t="str">
            <v>数据开发部</v>
          </cell>
          <cell r="D170" t="str">
            <v>需求接入组</v>
          </cell>
          <cell r="E170" t="str">
            <v>女</v>
          </cell>
          <cell r="F170">
            <v>1</v>
          </cell>
          <cell r="G170" t="str">
            <v>研究生</v>
          </cell>
          <cell r="H170" t="str">
            <v>吉林大学</v>
          </cell>
          <cell r="I170" t="str">
            <v>/</v>
          </cell>
          <cell r="J170">
            <v>2</v>
          </cell>
          <cell r="K170" t="str">
            <v>数据研发</v>
          </cell>
          <cell r="L170" t="str">
            <v>校园招聘</v>
          </cell>
        </row>
        <row r="170">
          <cell r="R170">
            <v>10</v>
          </cell>
        </row>
        <row r="171">
          <cell r="B171" t="str">
            <v>贺文军</v>
          </cell>
          <cell r="C171" t="str">
            <v>信息统计部</v>
          </cell>
          <cell r="D171" t="str">
            <v>负责人</v>
          </cell>
          <cell r="E171" t="str">
            <v>男</v>
          </cell>
          <cell r="F171">
            <v>12</v>
          </cell>
          <cell r="G171" t="str">
            <v>研究生</v>
          </cell>
          <cell r="H171" t="str">
            <v>上海交通大学</v>
          </cell>
          <cell r="I171" t="str">
            <v>科长</v>
          </cell>
          <cell r="J171">
            <v>3</v>
          </cell>
          <cell r="K171" t="str">
            <v>负责人</v>
          </cell>
          <cell r="L171" t="str">
            <v>校园招聘</v>
          </cell>
        </row>
        <row r="171">
          <cell r="R171">
            <v>4</v>
          </cell>
        </row>
        <row r="172">
          <cell r="B172" t="str">
            <v>向治蓉</v>
          </cell>
          <cell r="C172" t="str">
            <v>信息统计部</v>
          </cell>
          <cell r="D172" t="str">
            <v>管理信息组</v>
          </cell>
          <cell r="E172" t="str">
            <v>女</v>
          </cell>
          <cell r="F172">
            <v>4</v>
          </cell>
          <cell r="G172" t="str">
            <v>研究生</v>
          </cell>
          <cell r="H172" t="str">
            <v>南京师范大学</v>
          </cell>
          <cell r="I172" t="str">
            <v>/</v>
          </cell>
          <cell r="J172">
            <v>2</v>
          </cell>
          <cell r="K172" t="str">
            <v>数据分析</v>
          </cell>
          <cell r="L172" t="str">
            <v>校园招聘</v>
          </cell>
        </row>
        <row r="172">
          <cell r="R172">
            <v>13</v>
          </cell>
        </row>
        <row r="173">
          <cell r="B173" t="str">
            <v>张海濛</v>
          </cell>
          <cell r="C173" t="str">
            <v>信息统计部</v>
          </cell>
          <cell r="D173" t="str">
            <v>管理信息组</v>
          </cell>
          <cell r="E173" t="str">
            <v>女</v>
          </cell>
          <cell r="F173">
            <v>4</v>
          </cell>
          <cell r="G173" t="str">
            <v>研究生</v>
          </cell>
          <cell r="H173" t="str">
            <v>南加州大学</v>
          </cell>
          <cell r="I173" t="str">
            <v>/</v>
          </cell>
          <cell r="J173">
            <v>2</v>
          </cell>
          <cell r="K173" t="str">
            <v>数据分析</v>
          </cell>
          <cell r="L173" t="str">
            <v>校园招聘</v>
          </cell>
        </row>
        <row r="173">
          <cell r="R173">
            <v>12</v>
          </cell>
        </row>
        <row r="174">
          <cell r="B174" t="str">
            <v>胡楚</v>
          </cell>
          <cell r="C174" t="str">
            <v>信息统计部</v>
          </cell>
          <cell r="D174" t="str">
            <v>管理信息组</v>
          </cell>
          <cell r="E174" t="str">
            <v>女</v>
          </cell>
          <cell r="F174">
            <v>4</v>
          </cell>
          <cell r="G174" t="str">
            <v>研究生</v>
          </cell>
          <cell r="H174" t="str">
            <v>乔治亚理工学院</v>
          </cell>
          <cell r="I174" t="str">
            <v>/</v>
          </cell>
          <cell r="J174">
            <v>2</v>
          </cell>
          <cell r="K174" t="str">
            <v>数据分析</v>
          </cell>
          <cell r="L174" t="str">
            <v>校园招聘</v>
          </cell>
        </row>
        <row r="174">
          <cell r="R174">
            <v>14</v>
          </cell>
        </row>
        <row r="175">
          <cell r="B175" t="str">
            <v>王晓璇</v>
          </cell>
          <cell r="C175" t="str">
            <v>信息统计部</v>
          </cell>
          <cell r="D175" t="str">
            <v>管理信息组</v>
          </cell>
          <cell r="E175" t="str">
            <v>女</v>
          </cell>
          <cell r="F175">
            <v>4</v>
          </cell>
          <cell r="G175" t="str">
            <v>研究生</v>
          </cell>
          <cell r="H175" t="str">
            <v>南开大学</v>
          </cell>
          <cell r="I175" t="str">
            <v>/</v>
          </cell>
          <cell r="J175">
            <v>2</v>
          </cell>
          <cell r="K175" t="str">
            <v>数据分析</v>
          </cell>
          <cell r="L175" t="str">
            <v>校园招聘</v>
          </cell>
        </row>
        <row r="175">
          <cell r="N175" t="str">
            <v>工会会员代表</v>
          </cell>
        </row>
        <row r="175">
          <cell r="P175" t="str">
            <v>23最佳合作服务奖</v>
          </cell>
        </row>
        <row r="175">
          <cell r="R175">
            <v>12</v>
          </cell>
        </row>
        <row r="176">
          <cell r="B176" t="str">
            <v>黄澜</v>
          </cell>
          <cell r="C176" t="str">
            <v>信息统计部</v>
          </cell>
          <cell r="D176" t="str">
            <v>管理信息组</v>
          </cell>
          <cell r="E176" t="str">
            <v>女</v>
          </cell>
          <cell r="F176">
            <v>5</v>
          </cell>
          <cell r="G176" t="str">
            <v>研究生</v>
          </cell>
          <cell r="H176" t="str">
            <v>厦门大学</v>
          </cell>
          <cell r="I176" t="str">
            <v>/</v>
          </cell>
          <cell r="J176">
            <v>2</v>
          </cell>
          <cell r="K176" t="str">
            <v>数据分析</v>
          </cell>
          <cell r="L176" t="str">
            <v>校园招聘</v>
          </cell>
        </row>
        <row r="176">
          <cell r="R176">
            <v>12</v>
          </cell>
        </row>
        <row r="177">
          <cell r="B177" t="str">
            <v>曾世杰</v>
          </cell>
          <cell r="C177" t="str">
            <v>信息统计部</v>
          </cell>
          <cell r="D177" t="str">
            <v>管理信息组</v>
          </cell>
          <cell r="E177" t="str">
            <v>男</v>
          </cell>
          <cell r="F177">
            <v>1</v>
          </cell>
          <cell r="G177" t="str">
            <v>研究生</v>
          </cell>
          <cell r="H177" t="str">
            <v>华东师范大学</v>
          </cell>
          <cell r="I177" t="str">
            <v>/</v>
          </cell>
          <cell r="J177">
            <v>2</v>
          </cell>
          <cell r="K177" t="str">
            <v>数据分析</v>
          </cell>
          <cell r="L177" t="str">
            <v>校园招聘</v>
          </cell>
        </row>
        <row r="177">
          <cell r="P177" t="str">
            <v>23、24最佳新人</v>
          </cell>
        </row>
        <row r="177">
          <cell r="R177">
            <v>13</v>
          </cell>
        </row>
        <row r="178">
          <cell r="B178" t="str">
            <v>张梦琦</v>
          </cell>
          <cell r="C178" t="str">
            <v>信息统计部</v>
          </cell>
          <cell r="D178" t="str">
            <v>监管数据治理组</v>
          </cell>
          <cell r="E178" t="str">
            <v>女</v>
          </cell>
          <cell r="F178">
            <v>4</v>
          </cell>
          <cell r="G178" t="str">
            <v>研究生</v>
          </cell>
          <cell r="H178" t="str">
            <v>大连理工大学</v>
          </cell>
          <cell r="I178" t="str">
            <v>/</v>
          </cell>
          <cell r="J178">
            <v>1</v>
          </cell>
          <cell r="K178" t="str">
            <v>监管统计</v>
          </cell>
          <cell r="L178" t="str">
            <v>校园招聘</v>
          </cell>
        </row>
        <row r="178">
          <cell r="R178">
            <v>12</v>
          </cell>
        </row>
        <row r="179">
          <cell r="B179" t="str">
            <v>王笑丹</v>
          </cell>
          <cell r="C179" t="str">
            <v>信息统计部</v>
          </cell>
          <cell r="D179" t="str">
            <v>监管数据治理组</v>
          </cell>
          <cell r="E179" t="str">
            <v>女</v>
          </cell>
          <cell r="F179">
            <v>9</v>
          </cell>
          <cell r="G179" t="str">
            <v>研究生</v>
          </cell>
          <cell r="H179" t="str">
            <v>东华大学</v>
          </cell>
          <cell r="I179" t="str">
            <v>/</v>
          </cell>
        </row>
        <row r="179">
          <cell r="K179" t="str">
            <v>监管统计</v>
          </cell>
          <cell r="L179" t="str">
            <v>社会招聘</v>
          </cell>
        </row>
        <row r="179">
          <cell r="R179">
            <v>12</v>
          </cell>
        </row>
        <row r="180">
          <cell r="B180" t="str">
            <v>李虎</v>
          </cell>
          <cell r="C180" t="str">
            <v>信息统计部</v>
          </cell>
          <cell r="D180" t="str">
            <v>监管数据治理组</v>
          </cell>
          <cell r="E180" t="str">
            <v>男</v>
          </cell>
          <cell r="F180">
            <v>3</v>
          </cell>
          <cell r="G180" t="str">
            <v>研究生</v>
          </cell>
          <cell r="H180" t="str">
            <v>中南财经政法大学</v>
          </cell>
          <cell r="I180" t="str">
            <v>/</v>
          </cell>
        </row>
        <row r="180">
          <cell r="K180" t="str">
            <v>监管统计</v>
          </cell>
          <cell r="L180" t="str">
            <v>校园招聘</v>
          </cell>
        </row>
        <row r="180">
          <cell r="R180">
            <v>10</v>
          </cell>
        </row>
        <row r="181">
          <cell r="B181" t="str">
            <v>张小天</v>
          </cell>
          <cell r="C181" t="str">
            <v>信息统计部</v>
          </cell>
          <cell r="D181" t="str">
            <v>监管数据治理组</v>
          </cell>
          <cell r="E181" t="str">
            <v>女</v>
          </cell>
          <cell r="F181">
            <v>3</v>
          </cell>
          <cell r="G181" t="str">
            <v>研究生</v>
          </cell>
          <cell r="H181" t="str">
            <v>中南财经政法大学</v>
          </cell>
          <cell r="I181" t="str">
            <v>/</v>
          </cell>
          <cell r="J181">
            <v>1</v>
          </cell>
          <cell r="K181" t="str">
            <v>监管统计</v>
          </cell>
          <cell r="L181" t="str">
            <v>校园招聘</v>
          </cell>
        </row>
        <row r="181">
          <cell r="P181" t="str">
            <v>23最佳新人</v>
          </cell>
        </row>
        <row r="181">
          <cell r="R181">
            <v>13</v>
          </cell>
        </row>
        <row r="182">
          <cell r="B182" t="str">
            <v>方晴</v>
          </cell>
          <cell r="C182" t="str">
            <v>信息统计部</v>
          </cell>
          <cell r="D182" t="str">
            <v>监管数据治理组</v>
          </cell>
          <cell r="E182" t="str">
            <v>女</v>
          </cell>
          <cell r="F182">
            <v>3</v>
          </cell>
          <cell r="G182" t="str">
            <v>研究生</v>
          </cell>
          <cell r="H182" t="str">
            <v>西安交通大学</v>
          </cell>
          <cell r="I182" t="str">
            <v>/</v>
          </cell>
          <cell r="J182">
            <v>3</v>
          </cell>
          <cell r="K182" t="str">
            <v>监管统计</v>
          </cell>
          <cell r="L182" t="str">
            <v>校园招聘</v>
          </cell>
        </row>
        <row r="182">
          <cell r="R182">
            <v>11</v>
          </cell>
        </row>
        <row r="183">
          <cell r="B183" t="str">
            <v>刘智超</v>
          </cell>
          <cell r="C183" t="str">
            <v>信息统计部</v>
          </cell>
          <cell r="D183" t="str">
            <v>监管数据治理组</v>
          </cell>
        </row>
        <row r="183">
          <cell r="G183" t="str">
            <v>研究生</v>
          </cell>
          <cell r="H183" t="str">
            <v>华东理工大学</v>
          </cell>
          <cell r="I183" t="str">
            <v>/</v>
          </cell>
          <cell r="J183">
            <v>4</v>
          </cell>
          <cell r="K183" t="str">
            <v>监管统计</v>
          </cell>
          <cell r="L183" t="str">
            <v>校园招聘</v>
          </cell>
        </row>
        <row r="183">
          <cell r="R183">
            <v>1</v>
          </cell>
        </row>
        <row r="184">
          <cell r="B184" t="str">
            <v>严彬华</v>
          </cell>
          <cell r="C184" t="str">
            <v>信息统计部</v>
          </cell>
          <cell r="D184" t="str">
            <v>监管统计组</v>
          </cell>
          <cell r="E184" t="str">
            <v>女</v>
          </cell>
          <cell r="F184">
            <v>24</v>
          </cell>
          <cell r="G184" t="str">
            <v>大学本科</v>
          </cell>
          <cell r="H184" t="str">
            <v>同济大学</v>
          </cell>
          <cell r="I184" t="str">
            <v>/</v>
          </cell>
          <cell r="J184">
            <v>2</v>
          </cell>
          <cell r="K184" t="str">
            <v>监管统计</v>
          </cell>
          <cell r="L184" t="str">
            <v>校园招聘</v>
          </cell>
        </row>
        <row r="184">
          <cell r="R184">
            <v>7</v>
          </cell>
        </row>
        <row r="185">
          <cell r="B185" t="str">
            <v>周逸晨</v>
          </cell>
          <cell r="C185" t="str">
            <v>信息统计部</v>
          </cell>
          <cell r="D185" t="str">
            <v>监管统计组</v>
          </cell>
          <cell r="E185" t="str">
            <v>女</v>
          </cell>
          <cell r="F185">
            <v>10</v>
          </cell>
          <cell r="G185" t="str">
            <v>大学本科</v>
          </cell>
          <cell r="H185" t="str">
            <v>武汉大学</v>
          </cell>
          <cell r="I185" t="str">
            <v>/</v>
          </cell>
          <cell r="J185">
            <v>3</v>
          </cell>
          <cell r="K185" t="str">
            <v>监管统计</v>
          </cell>
          <cell r="L185" t="str">
            <v>校园招聘</v>
          </cell>
        </row>
        <row r="185">
          <cell r="R185">
            <v>2</v>
          </cell>
        </row>
        <row r="186">
          <cell r="B186" t="str">
            <v>李亦佳</v>
          </cell>
          <cell r="C186" t="str">
            <v>信息统计部</v>
          </cell>
          <cell r="D186" t="str">
            <v>监管统计组</v>
          </cell>
          <cell r="E186" t="str">
            <v>女</v>
          </cell>
          <cell r="F186">
            <v>6</v>
          </cell>
          <cell r="G186" t="str">
            <v>大学本科</v>
          </cell>
          <cell r="H186" t="str">
            <v>哈尔滨工程大学</v>
          </cell>
          <cell r="I186" t="str">
            <v>/</v>
          </cell>
          <cell r="J186">
            <v>2</v>
          </cell>
          <cell r="K186" t="str">
            <v>监管统计</v>
          </cell>
          <cell r="L186" t="str">
            <v>校园招聘</v>
          </cell>
        </row>
        <row r="186">
          <cell r="R186">
            <v>5</v>
          </cell>
        </row>
        <row r="187">
          <cell r="B187" t="str">
            <v>陈倩</v>
          </cell>
          <cell r="C187" t="str">
            <v>信息统计部</v>
          </cell>
          <cell r="D187" t="str">
            <v>监管统计组</v>
          </cell>
          <cell r="E187" t="str">
            <v>女</v>
          </cell>
          <cell r="F187">
            <v>9</v>
          </cell>
          <cell r="G187" t="str">
            <v>大学本科</v>
          </cell>
          <cell r="H187" t="str">
            <v>华东政法大学</v>
          </cell>
          <cell r="I187" t="str">
            <v>/</v>
          </cell>
          <cell r="J187">
            <v>3</v>
          </cell>
          <cell r="K187" t="str">
            <v>监管统计</v>
          </cell>
          <cell r="L187" t="str">
            <v>校园招聘</v>
          </cell>
        </row>
        <row r="187">
          <cell r="R187">
            <v>1</v>
          </cell>
        </row>
        <row r="188">
          <cell r="B188" t="str">
            <v>赵超</v>
          </cell>
          <cell r="C188" t="str">
            <v>信息统计部</v>
          </cell>
          <cell r="D188" t="str">
            <v>监管统计组</v>
          </cell>
          <cell r="E188" t="str">
            <v>男</v>
          </cell>
          <cell r="F188">
            <v>5</v>
          </cell>
          <cell r="G188" t="str">
            <v>研究生</v>
          </cell>
          <cell r="H188" t="str">
            <v>香港城市大学</v>
          </cell>
          <cell r="I188" t="str">
            <v>/</v>
          </cell>
        </row>
        <row r="188">
          <cell r="K188" t="str">
            <v>监管统计</v>
          </cell>
          <cell r="L188" t="str">
            <v>社会招聘</v>
          </cell>
        </row>
        <row r="188">
          <cell r="R188">
            <v>19</v>
          </cell>
        </row>
        <row r="189">
          <cell r="B189" t="str">
            <v>徐陶然</v>
          </cell>
          <cell r="C189" t="str">
            <v>信息统计部</v>
          </cell>
          <cell r="D189" t="str">
            <v>监管统计组</v>
          </cell>
          <cell r="E189" t="str">
            <v>女</v>
          </cell>
          <cell r="F189">
            <v>3</v>
          </cell>
          <cell r="G189" t="str">
            <v>研究生</v>
          </cell>
          <cell r="H189" t="str">
            <v>北京师范大学</v>
          </cell>
          <cell r="I189" t="str">
            <v>/</v>
          </cell>
          <cell r="J189">
            <v>1</v>
          </cell>
          <cell r="K189" t="str">
            <v>监管统计</v>
          </cell>
          <cell r="L189" t="str">
            <v>校园招聘</v>
          </cell>
        </row>
        <row r="189">
          <cell r="P189" t="str">
            <v>感谢信1</v>
          </cell>
        </row>
        <row r="189">
          <cell r="R189">
            <v>18</v>
          </cell>
        </row>
        <row r="190">
          <cell r="B190" t="str">
            <v>周静</v>
          </cell>
          <cell r="C190" t="str">
            <v>信息统计部</v>
          </cell>
          <cell r="D190" t="str">
            <v>监管统计组</v>
          </cell>
          <cell r="E190" t="str">
            <v>女</v>
          </cell>
          <cell r="F190">
            <v>3</v>
          </cell>
          <cell r="G190" t="str">
            <v>大学本科</v>
          </cell>
          <cell r="H190" t="str">
            <v>威廉玛丽学院</v>
          </cell>
          <cell r="I190" t="str">
            <v>/</v>
          </cell>
          <cell r="J190">
            <v>1</v>
          </cell>
          <cell r="K190" t="str">
            <v>监管统计</v>
          </cell>
          <cell r="L190" t="str">
            <v>校园招聘</v>
          </cell>
        </row>
        <row r="190">
          <cell r="R190">
            <v>8</v>
          </cell>
        </row>
        <row r="191">
          <cell r="B191" t="str">
            <v>胡申民</v>
          </cell>
          <cell r="C191" t="str">
            <v>智能创新部</v>
          </cell>
          <cell r="D191" t="str">
            <v>负责人</v>
          </cell>
          <cell r="E191" t="str">
            <v>男</v>
          </cell>
          <cell r="F191">
            <v>10</v>
          </cell>
          <cell r="G191" t="str">
            <v>大学本科</v>
          </cell>
          <cell r="H191" t="str">
            <v>渤海大学</v>
          </cell>
          <cell r="I191" t="str">
            <v>科长</v>
          </cell>
          <cell r="J191">
            <v>2</v>
          </cell>
          <cell r="K191" t="str">
            <v>负责人</v>
          </cell>
          <cell r="L191" t="str">
            <v>社会招聘</v>
          </cell>
        </row>
        <row r="191">
          <cell r="R191">
            <v>1</v>
          </cell>
        </row>
        <row r="192">
          <cell r="B192" t="str">
            <v>陈超</v>
          </cell>
          <cell r="C192" t="str">
            <v>智能创新部</v>
          </cell>
          <cell r="D192" t="str">
            <v>待定</v>
          </cell>
          <cell r="E192" t="str">
            <v>女</v>
          </cell>
          <cell r="F192">
            <v>7</v>
          </cell>
          <cell r="G192" t="str">
            <v>研究生</v>
          </cell>
          <cell r="H192" t="str">
            <v>东南大学</v>
          </cell>
          <cell r="I192" t="str">
            <v>/</v>
          </cell>
          <cell r="J192">
            <v>3</v>
          </cell>
        </row>
        <row r="192">
          <cell r="L192" t="str">
            <v>校园招聘</v>
          </cell>
          <cell r="M192" t="str">
            <v>党总支组织委员</v>
          </cell>
        </row>
        <row r="192">
          <cell r="R192">
            <v>2</v>
          </cell>
        </row>
        <row r="193">
          <cell r="B193" t="str">
            <v>祁鑫</v>
          </cell>
          <cell r="C193" t="str">
            <v>智能创新部</v>
          </cell>
          <cell r="D193" t="str">
            <v>AI基础研发组</v>
          </cell>
          <cell r="E193" t="str">
            <v>男</v>
          </cell>
          <cell r="F193">
            <v>4</v>
          </cell>
          <cell r="G193" t="str">
            <v>研究生</v>
          </cell>
          <cell r="H193" t="str">
            <v>昆士兰大学</v>
          </cell>
          <cell r="I193" t="str">
            <v>/</v>
          </cell>
          <cell r="J193">
            <v>2</v>
          </cell>
          <cell r="K193" t="str">
            <v>数据研发</v>
          </cell>
          <cell r="L193" t="str">
            <v>校园招聘</v>
          </cell>
        </row>
        <row r="193">
          <cell r="P193" t="str">
            <v>24数据文化优秀贡献者</v>
          </cell>
        </row>
        <row r="193">
          <cell r="R193">
            <v>14</v>
          </cell>
        </row>
        <row r="194">
          <cell r="B194" t="str">
            <v>黄亦豪</v>
          </cell>
          <cell r="C194" t="str">
            <v>智能创新部</v>
          </cell>
          <cell r="D194" t="str">
            <v>AI基础研发组</v>
          </cell>
          <cell r="E194" t="str">
            <v>男</v>
          </cell>
          <cell r="F194">
            <v>1</v>
          </cell>
          <cell r="G194" t="str">
            <v>研究生</v>
          </cell>
          <cell r="H194" t="str">
            <v>同济大学</v>
          </cell>
          <cell r="I194" t="str">
            <v>/</v>
          </cell>
          <cell r="J194">
            <v>2</v>
          </cell>
          <cell r="K194" t="str">
            <v>数据研发</v>
          </cell>
          <cell r="L194" t="str">
            <v>校园招聘</v>
          </cell>
        </row>
        <row r="194">
          <cell r="P194" t="str">
            <v>24数据文化优秀贡献者</v>
          </cell>
        </row>
        <row r="194">
          <cell r="R194">
            <v>18</v>
          </cell>
        </row>
        <row r="195">
          <cell r="B195" t="str">
            <v>王友轩</v>
          </cell>
          <cell r="C195" t="str">
            <v>智能创新部</v>
          </cell>
          <cell r="D195" t="str">
            <v>AI基础研发组</v>
          </cell>
          <cell r="E195" t="str">
            <v>男</v>
          </cell>
          <cell r="F195">
            <v>1</v>
          </cell>
          <cell r="G195" t="str">
            <v>研究生</v>
          </cell>
          <cell r="H195" t="str">
            <v>南京理工大学</v>
          </cell>
          <cell r="I195" t="str">
            <v>/</v>
          </cell>
          <cell r="J195">
            <v>1</v>
          </cell>
          <cell r="K195" t="str">
            <v>数据研发</v>
          </cell>
          <cell r="L195" t="str">
            <v>校园招聘</v>
          </cell>
        </row>
        <row r="195">
          <cell r="R195">
            <v>23</v>
          </cell>
        </row>
        <row r="196">
          <cell r="B196" t="str">
            <v>刘雅昕</v>
          </cell>
          <cell r="C196" t="str">
            <v>智能创新部</v>
          </cell>
          <cell r="D196" t="str">
            <v>AI基础研发组</v>
          </cell>
          <cell r="E196" t="str">
            <v>女</v>
          </cell>
          <cell r="F196">
            <v>1</v>
          </cell>
          <cell r="G196" t="str">
            <v>研究生</v>
          </cell>
          <cell r="H196" t="str">
            <v>哥伦比亚大学</v>
          </cell>
          <cell r="I196" t="str">
            <v>/</v>
          </cell>
          <cell r="J196">
            <v>3</v>
          </cell>
          <cell r="K196" t="str">
            <v>数据研发</v>
          </cell>
          <cell r="L196" t="str">
            <v>校园招聘</v>
          </cell>
        </row>
        <row r="196">
          <cell r="R196">
            <v>12</v>
          </cell>
        </row>
        <row r="197">
          <cell r="B197" t="str">
            <v>杨沁怡</v>
          </cell>
          <cell r="C197" t="str">
            <v>智能创新部</v>
          </cell>
          <cell r="D197" t="str">
            <v>风险模型组</v>
          </cell>
          <cell r="E197" t="str">
            <v>女</v>
          </cell>
          <cell r="F197">
            <v>1</v>
          </cell>
          <cell r="G197" t="str">
            <v>研究生</v>
          </cell>
          <cell r="H197" t="str">
            <v>新加坡管理大学</v>
          </cell>
          <cell r="I197" t="str">
            <v>/</v>
          </cell>
          <cell r="J197">
            <v>2</v>
          </cell>
          <cell r="K197" t="str">
            <v>数据研发</v>
          </cell>
          <cell r="L197" t="str">
            <v>校园招聘</v>
          </cell>
        </row>
        <row r="197">
          <cell r="R197">
            <v>16</v>
          </cell>
        </row>
        <row r="198">
          <cell r="B198" t="str">
            <v>赵家乐</v>
          </cell>
          <cell r="C198" t="str">
            <v>智能创新部</v>
          </cell>
          <cell r="D198" t="str">
            <v>AI基础研发组</v>
          </cell>
        </row>
        <row r="198">
          <cell r="I198" t="str">
            <v>/</v>
          </cell>
        </row>
        <row r="198">
          <cell r="K198" t="str">
            <v>数据研发</v>
          </cell>
          <cell r="L198" t="str">
            <v>社会招聘</v>
          </cell>
        </row>
        <row r="198">
          <cell r="R198">
            <v>0</v>
          </cell>
        </row>
        <row r="199">
          <cell r="B199" t="str">
            <v>张镓奇</v>
          </cell>
          <cell r="C199" t="str">
            <v>智能创新部</v>
          </cell>
          <cell r="D199" t="str">
            <v>AI产品运营组</v>
          </cell>
          <cell r="E199" t="str">
            <v>男</v>
          </cell>
          <cell r="F199">
            <v>4</v>
          </cell>
          <cell r="G199" t="str">
            <v>研究生</v>
          </cell>
          <cell r="H199" t="str">
            <v>新加坡国立大学</v>
          </cell>
          <cell r="I199" t="str">
            <v>/</v>
          </cell>
          <cell r="J199">
            <v>2</v>
          </cell>
          <cell r="K199" t="str">
            <v>数据研发</v>
          </cell>
          <cell r="L199" t="str">
            <v>校园招聘</v>
          </cell>
        </row>
        <row r="199">
          <cell r="P199" t="str">
            <v>23年度宣传大使、24数据文化优秀贡献者</v>
          </cell>
        </row>
        <row r="199">
          <cell r="R199">
            <v>15</v>
          </cell>
        </row>
        <row r="200">
          <cell r="B200" t="str">
            <v>张子璐</v>
          </cell>
          <cell r="C200" t="str">
            <v>智能创新部</v>
          </cell>
          <cell r="D200" t="str">
            <v>AI产品运营组</v>
          </cell>
          <cell r="E200" t="str">
            <v>女</v>
          </cell>
          <cell r="F200">
            <v>3</v>
          </cell>
          <cell r="G200" t="str">
            <v>研究生</v>
          </cell>
          <cell r="H200" t="str">
            <v>上海财经大学</v>
          </cell>
          <cell r="I200" t="str">
            <v>/</v>
          </cell>
          <cell r="J200">
            <v>2</v>
          </cell>
          <cell r="K200" t="str">
            <v>数据研发</v>
          </cell>
          <cell r="L200" t="str">
            <v>校园招聘</v>
          </cell>
        </row>
        <row r="200">
          <cell r="P200" t="str">
            <v>24数据文化优秀贡献者</v>
          </cell>
        </row>
        <row r="200">
          <cell r="R200">
            <v>13</v>
          </cell>
        </row>
        <row r="201">
          <cell r="B201" t="str">
            <v>蒋捷</v>
          </cell>
          <cell r="C201" t="str">
            <v>智能创新部</v>
          </cell>
          <cell r="D201" t="str">
            <v>风险模型组</v>
          </cell>
          <cell r="E201" t="str">
            <v>男</v>
          </cell>
          <cell r="F201">
            <v>3</v>
          </cell>
          <cell r="G201" t="str">
            <v>研究生</v>
          </cell>
          <cell r="H201" t="str">
            <v>华东师范大学</v>
          </cell>
          <cell r="I201" t="str">
            <v>/</v>
          </cell>
          <cell r="J201">
            <v>3</v>
          </cell>
          <cell r="K201" t="str">
            <v>数据研发</v>
          </cell>
          <cell r="L201" t="str">
            <v>校园招聘</v>
          </cell>
        </row>
        <row r="201">
          <cell r="R201">
            <v>20</v>
          </cell>
        </row>
        <row r="202">
          <cell r="B202" t="str">
            <v>许天凝</v>
          </cell>
          <cell r="C202" t="str">
            <v>智能创新部</v>
          </cell>
          <cell r="D202" t="str">
            <v>风险模型组</v>
          </cell>
          <cell r="E202" t="str">
            <v>女</v>
          </cell>
          <cell r="F202">
            <v>3</v>
          </cell>
          <cell r="G202" t="str">
            <v>研究生</v>
          </cell>
          <cell r="H202" t="str">
            <v>上海对外经贸大学</v>
          </cell>
          <cell r="I202" t="str">
            <v>/</v>
          </cell>
          <cell r="J202">
            <v>2</v>
          </cell>
          <cell r="K202" t="str">
            <v>数据研发</v>
          </cell>
          <cell r="L202" t="str">
            <v>校园招聘</v>
          </cell>
        </row>
        <row r="202">
          <cell r="R202">
            <v>11</v>
          </cell>
        </row>
        <row r="203">
          <cell r="B203" t="str">
            <v>张峰</v>
          </cell>
          <cell r="C203" t="str">
            <v>智能创新部</v>
          </cell>
          <cell r="D203" t="str">
            <v>风险模型组</v>
          </cell>
          <cell r="E203" t="str">
            <v>男</v>
          </cell>
          <cell r="F203">
            <v>22</v>
          </cell>
          <cell r="G203" t="str">
            <v>研究生</v>
          </cell>
          <cell r="H203" t="str">
            <v>清华大学/
康奈尔大学</v>
          </cell>
          <cell r="I203" t="str">
            <v>/</v>
          </cell>
          <cell r="J203">
            <v>4</v>
          </cell>
          <cell r="K203" t="str">
            <v>数据研发</v>
          </cell>
          <cell r="L203" t="str">
            <v>社会招聘</v>
          </cell>
        </row>
        <row r="203">
          <cell r="R203">
            <v>1</v>
          </cell>
        </row>
        <row r="204">
          <cell r="B204" t="str">
            <v>刘晓丹</v>
          </cell>
          <cell r="C204" t="str">
            <v>智能创新部</v>
          </cell>
          <cell r="D204" t="str">
            <v>风险模型组</v>
          </cell>
          <cell r="E204" t="str">
            <v>女</v>
          </cell>
          <cell r="F204">
            <v>3</v>
          </cell>
          <cell r="G204" t="str">
            <v>研究生</v>
          </cell>
          <cell r="H204" t="str">
            <v>电子科技大学</v>
          </cell>
          <cell r="I204" t="str">
            <v>/</v>
          </cell>
          <cell r="J204">
            <v>4</v>
          </cell>
          <cell r="K204" t="str">
            <v>数据研发</v>
          </cell>
          <cell r="L204" t="str">
            <v>校园招聘</v>
          </cell>
        </row>
        <row r="204">
          <cell r="R204">
            <v>12</v>
          </cell>
        </row>
        <row r="205">
          <cell r="B205" t="str">
            <v>马文杰</v>
          </cell>
          <cell r="C205" t="str">
            <v>智能创新部</v>
          </cell>
          <cell r="D205" t="str">
            <v>风险模型组</v>
          </cell>
        </row>
        <row r="205">
          <cell r="F205" t="e">
            <v>#N/A</v>
          </cell>
          <cell r="G205" t="str">
            <v>研究生</v>
          </cell>
          <cell r="H205" t="str">
            <v>东北财经大学</v>
          </cell>
          <cell r="I205" t="str">
            <v>/</v>
          </cell>
        </row>
        <row r="205">
          <cell r="K205" t="str">
            <v>数据研发</v>
          </cell>
          <cell r="L205" t="str">
            <v>社会招聘</v>
          </cell>
        </row>
        <row r="205">
          <cell r="R205">
            <v>1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总表"/>
      <sheetName val="平台部自研"/>
      <sheetName val="盘点分析"/>
      <sheetName val="加班情况分析"/>
      <sheetName val="责任事件及缺陷"/>
      <sheetName val="三季度变更任务"/>
      <sheetName val="二季度变更任务"/>
      <sheetName val="主管应用系统数量"/>
      <sheetName val="牵头项目（当前进行中）"/>
      <sheetName val="牵头需求（当前进行中）"/>
      <sheetName val="新paso体系下参与应用数量"/>
    </sheetNames>
    <sheetDataSet>
      <sheetData sheetId="0">
        <row r="1">
          <cell r="B1" t="str">
            <v>姓名</v>
          </cell>
          <cell r="C1" t="str">
            <v>基本信息</v>
          </cell>
        </row>
        <row r="1">
          <cell r="J1" t="str">
            <v>工作饱和度量化</v>
          </cell>
        </row>
        <row r="1">
          <cell r="W1" t="str">
            <v>饱和度量化
不饱和：平均加班时长1h以下/无变更任务无主管应用非组长骨干/科长评定不饱和
超负荷：季度变更任务≥10/加班4H以上超过30次/平均加班时长3H以上/科长评定超负荷</v>
          </cell>
        </row>
        <row r="2">
          <cell r="C2" t="str">
            <v>团队</v>
          </cell>
          <cell r="D2" t="str">
            <v>组</v>
          </cell>
          <cell r="E2" t="str">
            <v>性别</v>
          </cell>
          <cell r="F2" t="str">
            <v>累计工龄</v>
          </cell>
          <cell r="G2" t="str">
            <v>最高学历</v>
          </cell>
          <cell r="H2" t="str">
            <v>最高学历毕业院校</v>
          </cell>
          <cell r="I2" t="str">
            <v>组长/骨干标识</v>
          </cell>
          <cell r="J2" t="str">
            <v>平均加班时长</v>
          </cell>
          <cell r="K2" t="str">
            <v>工作时长高于部门均值</v>
          </cell>
          <cell r="L2" t="str">
            <v>1h以下</v>
          </cell>
          <cell r="M2" t="str">
            <v>加班1-2h频次</v>
          </cell>
          <cell r="N2" t="str">
            <v>加班2-4h频次</v>
          </cell>
          <cell r="O2" t="str">
            <v>加班4h以上频次</v>
          </cell>
          <cell r="P2" t="str">
            <v>牵头项目数量</v>
          </cell>
          <cell r="Q2" t="str">
            <v>牵头需求数量</v>
          </cell>
          <cell r="R2" t="str">
            <v>主管应用系统数量（近六个月有变更的数量）</v>
          </cell>
          <cell r="S2" t="str">
            <v>新paso体系参与应用数量</v>
          </cell>
          <cell r="T2" t="str">
            <v>二季度变更任务数</v>
          </cell>
          <cell r="U2" t="str">
            <v>三季度变更任务数</v>
          </cell>
          <cell r="V2" t="str">
            <v>截止三季度扣分事件或缺陷</v>
          </cell>
        </row>
        <row r="3">
          <cell r="B3" t="str">
            <v>黄哲睿</v>
          </cell>
          <cell r="C3" t="str">
            <v>数据开发部</v>
          </cell>
          <cell r="D3" t="str">
            <v>模型设计组</v>
          </cell>
          <cell r="E3" t="str">
            <v>男</v>
          </cell>
          <cell r="F3">
            <v>7</v>
          </cell>
          <cell r="G3" t="str">
            <v>大学本科</v>
          </cell>
          <cell r="H3" t="str">
            <v>南京大学</v>
          </cell>
          <cell r="I3" t="str">
            <v>组长</v>
          </cell>
          <cell r="J3">
            <v>3.95537634408608</v>
          </cell>
          <cell r="K3" t="b">
            <v>1</v>
          </cell>
          <cell r="L3">
            <v>8</v>
          </cell>
          <cell r="M3">
            <v>2</v>
          </cell>
          <cell r="N3">
            <v>12</v>
          </cell>
          <cell r="O3">
            <v>40</v>
          </cell>
        </row>
        <row r="3">
          <cell r="Q3">
            <v>1</v>
          </cell>
        </row>
        <row r="3">
          <cell r="S3">
            <v>1</v>
          </cell>
        </row>
        <row r="3">
          <cell r="W3" t="str">
            <v>超负荷</v>
          </cell>
        </row>
        <row r="4">
          <cell r="B4" t="str">
            <v>陆慧</v>
          </cell>
          <cell r="C4" t="str">
            <v>数据开发部</v>
          </cell>
          <cell r="D4" t="str">
            <v>模型设计组</v>
          </cell>
          <cell r="E4" t="str">
            <v>女</v>
          </cell>
          <cell r="F4">
            <v>13</v>
          </cell>
          <cell r="G4" t="str">
            <v>研究生</v>
          </cell>
          <cell r="H4" t="str">
            <v>南京大学</v>
          </cell>
          <cell r="I4" t="str">
            <v>骨干</v>
          </cell>
          <cell r="J4">
            <v>2.79798371646983</v>
          </cell>
          <cell r="K4" t="b">
            <v>1</v>
          </cell>
          <cell r="L4">
            <v>10</v>
          </cell>
          <cell r="M4">
            <v>4</v>
          </cell>
          <cell r="N4">
            <v>32</v>
          </cell>
          <cell r="O4">
            <v>12</v>
          </cell>
        </row>
        <row r="4">
          <cell r="S4">
            <v>1</v>
          </cell>
        </row>
        <row r="4">
          <cell r="W4" t="str">
            <v>适中</v>
          </cell>
        </row>
        <row r="5">
          <cell r="B5" t="str">
            <v>罗仁杰</v>
          </cell>
          <cell r="C5" t="str">
            <v>数据开发部</v>
          </cell>
          <cell r="D5" t="str">
            <v>需求接入组</v>
          </cell>
          <cell r="E5" t="str">
            <v>男</v>
          </cell>
          <cell r="F5">
            <v>20</v>
          </cell>
          <cell r="G5" t="str">
            <v>大学本科</v>
          </cell>
          <cell r="H5" t="str">
            <v>兰州理工大学</v>
          </cell>
          <cell r="I5" t="str">
            <v>组长</v>
          </cell>
          <cell r="J5">
            <v>2.8332375478981</v>
          </cell>
          <cell r="K5" t="b">
            <v>1</v>
          </cell>
          <cell r="L5">
            <v>3</v>
          </cell>
          <cell r="M5">
            <v>10</v>
          </cell>
          <cell r="N5">
            <v>38</v>
          </cell>
          <cell r="O5">
            <v>7</v>
          </cell>
        </row>
        <row r="5">
          <cell r="Q5">
            <v>5</v>
          </cell>
          <cell r="R5">
            <v>1</v>
          </cell>
          <cell r="S5">
            <v>1</v>
          </cell>
          <cell r="T5">
            <v>24</v>
          </cell>
          <cell r="U5">
            <v>13</v>
          </cell>
        </row>
        <row r="5">
          <cell r="W5" t="str">
            <v>超负荷</v>
          </cell>
        </row>
        <row r="6">
          <cell r="B6" t="str">
            <v>李卓辉</v>
          </cell>
          <cell r="C6" t="str">
            <v>数据开发部</v>
          </cell>
          <cell r="D6" t="str">
            <v>需求接入组</v>
          </cell>
          <cell r="E6" t="str">
            <v>男</v>
          </cell>
          <cell r="F6">
            <v>18</v>
          </cell>
          <cell r="G6" t="str">
            <v>研究生</v>
          </cell>
          <cell r="H6" t="str">
            <v>华东师范大学</v>
          </cell>
          <cell r="I6" t="str">
            <v>骨干候选人</v>
          </cell>
          <cell r="J6">
            <v>2.42951506591832</v>
          </cell>
          <cell r="K6" t="b">
            <v>0</v>
          </cell>
          <cell r="L6">
            <v>0</v>
          </cell>
          <cell r="M6">
            <v>10</v>
          </cell>
          <cell r="N6">
            <v>49</v>
          </cell>
          <cell r="O6">
            <v>0</v>
          </cell>
        </row>
        <row r="6">
          <cell r="S6">
            <v>1</v>
          </cell>
        </row>
        <row r="6">
          <cell r="U6">
            <v>1</v>
          </cell>
        </row>
        <row r="6">
          <cell r="W6" t="str">
            <v>不饱和</v>
          </cell>
        </row>
        <row r="7">
          <cell r="B7" t="str">
            <v>兰昕蕾</v>
          </cell>
          <cell r="C7" t="str">
            <v>数据开发部</v>
          </cell>
          <cell r="D7" t="str">
            <v>数仓开发组</v>
          </cell>
          <cell r="E7" t="str">
            <v>女</v>
          </cell>
          <cell r="F7">
            <v>4</v>
          </cell>
          <cell r="G7" t="str">
            <v>研究生</v>
          </cell>
          <cell r="H7" t="str">
            <v>华东师范大学</v>
          </cell>
          <cell r="I7" t="str">
            <v>组长</v>
          </cell>
          <cell r="J7">
            <v>3.64984972678892</v>
          </cell>
          <cell r="K7" t="b">
            <v>1</v>
          </cell>
          <cell r="L7">
            <v>3</v>
          </cell>
          <cell r="M7">
            <v>4</v>
          </cell>
          <cell r="N7">
            <v>24</v>
          </cell>
          <cell r="O7">
            <v>30</v>
          </cell>
        </row>
        <row r="7">
          <cell r="Q7">
            <v>2</v>
          </cell>
        </row>
        <row r="7">
          <cell r="S7">
            <v>1</v>
          </cell>
          <cell r="T7">
            <v>8</v>
          </cell>
          <cell r="U7">
            <v>7</v>
          </cell>
        </row>
        <row r="7">
          <cell r="W7" t="str">
            <v>超负荷</v>
          </cell>
        </row>
        <row r="8">
          <cell r="B8" t="str">
            <v>邹小芳</v>
          </cell>
          <cell r="C8" t="str">
            <v>数据开发部</v>
          </cell>
          <cell r="D8" t="str">
            <v>数仓开发组</v>
          </cell>
          <cell r="E8" t="str">
            <v>女</v>
          </cell>
          <cell r="F8">
            <v>11</v>
          </cell>
          <cell r="G8" t="str">
            <v>大学本科</v>
          </cell>
          <cell r="H8" t="str">
            <v>江西财经大学</v>
          </cell>
          <cell r="I8" t="str">
            <v>组长</v>
          </cell>
          <cell r="J8">
            <v>2.62597484277113</v>
          </cell>
          <cell r="K8" t="b">
            <v>1</v>
          </cell>
          <cell r="L8">
            <v>5</v>
          </cell>
          <cell r="M8">
            <v>13</v>
          </cell>
          <cell r="N8">
            <v>27</v>
          </cell>
          <cell r="O8">
            <v>8</v>
          </cell>
        </row>
        <row r="8">
          <cell r="Q8">
            <v>2</v>
          </cell>
        </row>
        <row r="8">
          <cell r="S8">
            <v>2</v>
          </cell>
        </row>
        <row r="8">
          <cell r="W8" t="str">
            <v>超负荷</v>
          </cell>
        </row>
        <row r="9">
          <cell r="B9" t="str">
            <v>丁晨</v>
          </cell>
          <cell r="C9" t="str">
            <v>数据开发部</v>
          </cell>
          <cell r="D9" t="str">
            <v>数仓开发组</v>
          </cell>
          <cell r="E9" t="str">
            <v>男</v>
          </cell>
          <cell r="F9">
            <v>3</v>
          </cell>
          <cell r="G9" t="str">
            <v>研究生</v>
          </cell>
          <cell r="H9" t="str">
            <v>南京信息工程大学</v>
          </cell>
          <cell r="I9" t="str">
            <v>组长</v>
          </cell>
          <cell r="J9">
            <v>3.87094262294704</v>
          </cell>
          <cell r="K9" t="b">
            <v>1</v>
          </cell>
          <cell r="L9">
            <v>1</v>
          </cell>
          <cell r="M9">
            <v>4</v>
          </cell>
          <cell r="N9">
            <v>23</v>
          </cell>
          <cell r="O9">
            <v>33</v>
          </cell>
        </row>
        <row r="9">
          <cell r="Q9">
            <v>2</v>
          </cell>
          <cell r="R9">
            <v>1</v>
          </cell>
          <cell r="S9">
            <v>3</v>
          </cell>
          <cell r="T9">
            <v>10</v>
          </cell>
          <cell r="U9">
            <v>6</v>
          </cell>
        </row>
        <row r="9">
          <cell r="W9" t="str">
            <v>超负荷</v>
          </cell>
        </row>
        <row r="10">
          <cell r="B10" t="str">
            <v>康冉</v>
          </cell>
          <cell r="C10" t="str">
            <v>数据开发部</v>
          </cell>
          <cell r="D10" t="str">
            <v>项目管理团队</v>
          </cell>
          <cell r="E10" t="str">
            <v>女</v>
          </cell>
          <cell r="F10">
            <v>5</v>
          </cell>
          <cell r="G10" t="str">
            <v>研究生</v>
          </cell>
          <cell r="H10" t="str">
            <v>南京师范大学</v>
          </cell>
          <cell r="I10" t="str">
            <v>骨干</v>
          </cell>
          <cell r="J10">
            <v>2.31887152779503</v>
          </cell>
          <cell r="K10" t="b">
            <v>0</v>
          </cell>
          <cell r="L10">
            <v>11</v>
          </cell>
          <cell r="M10">
            <v>7</v>
          </cell>
          <cell r="N10">
            <v>24</v>
          </cell>
          <cell r="O10">
            <v>6</v>
          </cell>
          <cell r="P10">
            <v>3</v>
          </cell>
          <cell r="Q10">
            <v>15</v>
          </cell>
          <cell r="R10">
            <v>1</v>
          </cell>
          <cell r="S10">
            <v>1</v>
          </cell>
        </row>
        <row r="10">
          <cell r="U10">
            <v>10</v>
          </cell>
        </row>
        <row r="10">
          <cell r="W10" t="str">
            <v>超负荷</v>
          </cell>
        </row>
        <row r="11">
          <cell r="B11" t="str">
            <v>钱磊</v>
          </cell>
          <cell r="C11" t="str">
            <v>数据开发部</v>
          </cell>
          <cell r="D11" t="str">
            <v>应用开发组/监管报送</v>
          </cell>
          <cell r="E11" t="str">
            <v>男</v>
          </cell>
          <cell r="F11">
            <v>9</v>
          </cell>
          <cell r="G11" t="str">
            <v>大学本科</v>
          </cell>
          <cell r="H11" t="str">
            <v>海南大学</v>
          </cell>
          <cell r="I11" t="str">
            <v>/</v>
          </cell>
          <cell r="J11">
            <v>4.03373655913709</v>
          </cell>
          <cell r="K11" t="b">
            <v>1</v>
          </cell>
          <cell r="L11">
            <v>1</v>
          </cell>
          <cell r="M11">
            <v>6</v>
          </cell>
          <cell r="N11">
            <v>23</v>
          </cell>
          <cell r="O11">
            <v>32</v>
          </cell>
          <cell r="P11">
            <v>1</v>
          </cell>
          <cell r="Q11">
            <v>7</v>
          </cell>
          <cell r="R11">
            <v>1</v>
          </cell>
          <cell r="S11">
            <v>1</v>
          </cell>
          <cell r="T11">
            <v>1</v>
          </cell>
          <cell r="U11">
            <v>8</v>
          </cell>
        </row>
        <row r="11">
          <cell r="W11" t="str">
            <v>超负荷</v>
          </cell>
        </row>
        <row r="12">
          <cell r="B12" t="str">
            <v>史朋飞</v>
          </cell>
          <cell r="C12" t="str">
            <v>数据平台部</v>
          </cell>
          <cell r="D12" t="str">
            <v>运维支持组</v>
          </cell>
          <cell r="E12" t="str">
            <v>男</v>
          </cell>
          <cell r="F12">
            <v>12</v>
          </cell>
          <cell r="G12" t="str">
            <v>大学本科</v>
          </cell>
          <cell r="H12" t="str">
            <v>河南理工大学</v>
          </cell>
          <cell r="I12" t="str">
            <v>组长</v>
          </cell>
          <cell r="J12">
            <v>2.74783018868162</v>
          </cell>
          <cell r="K12" t="b">
            <v>1</v>
          </cell>
          <cell r="L12">
            <v>3</v>
          </cell>
          <cell r="M12">
            <v>5</v>
          </cell>
          <cell r="N12">
            <v>42</v>
          </cell>
          <cell r="O12">
            <v>3</v>
          </cell>
        </row>
        <row r="12">
          <cell r="R12">
            <v>1</v>
          </cell>
          <cell r="S12">
            <v>5</v>
          </cell>
          <cell r="T12">
            <v>2</v>
          </cell>
          <cell r="U12">
            <v>2</v>
          </cell>
          <cell r="V12">
            <v>1</v>
          </cell>
          <cell r="W12" t="str">
            <v>超负荷</v>
          </cell>
        </row>
        <row r="13">
          <cell r="B13" t="str">
            <v>李天卓</v>
          </cell>
          <cell r="C13" t="str">
            <v>数据平台部</v>
          </cell>
          <cell r="D13" t="str">
            <v>运维支持组</v>
          </cell>
          <cell r="E13" t="str">
            <v>男</v>
          </cell>
          <cell r="F13">
            <v>5</v>
          </cell>
          <cell r="G13" t="str">
            <v>研究生</v>
          </cell>
          <cell r="H13" t="str">
            <v>上海师范大学</v>
          </cell>
          <cell r="I13" t="str">
            <v>骨干</v>
          </cell>
          <cell r="J13">
            <v>2.27817901234569</v>
          </cell>
          <cell r="K13" t="b">
            <v>1</v>
          </cell>
          <cell r="L13">
            <v>3</v>
          </cell>
          <cell r="M13">
            <v>33</v>
          </cell>
          <cell r="N13">
            <v>11</v>
          </cell>
          <cell r="O13">
            <v>7</v>
          </cell>
        </row>
        <row r="13">
          <cell r="R13">
            <v>2</v>
          </cell>
          <cell r="S13">
            <v>1</v>
          </cell>
        </row>
        <row r="13">
          <cell r="U13">
            <v>1</v>
          </cell>
        </row>
        <row r="13">
          <cell r="W13" t="str">
            <v>超负荷</v>
          </cell>
        </row>
        <row r="14">
          <cell r="B14" t="str">
            <v>吴小倩</v>
          </cell>
          <cell r="C14" t="str">
            <v>数据开发部</v>
          </cell>
          <cell r="D14" t="str">
            <v>应用开发组/监管报送</v>
          </cell>
          <cell r="E14" t="str">
            <v>女</v>
          </cell>
          <cell r="F14">
            <v>3</v>
          </cell>
          <cell r="G14" t="str">
            <v>大学本科</v>
          </cell>
          <cell r="H14" t="str">
            <v>电子科技大学</v>
          </cell>
          <cell r="I14" t="str">
            <v>/</v>
          </cell>
          <cell r="J14">
            <v>3.05738782050209</v>
          </cell>
          <cell r="K14" t="b">
            <v>1</v>
          </cell>
          <cell r="L14">
            <v>6</v>
          </cell>
          <cell r="M14">
            <v>11</v>
          </cell>
          <cell r="N14">
            <v>17</v>
          </cell>
          <cell r="O14">
            <v>18</v>
          </cell>
          <cell r="P14">
            <v>2</v>
          </cell>
          <cell r="Q14">
            <v>5</v>
          </cell>
          <cell r="R14">
            <v>1</v>
          </cell>
          <cell r="S14">
            <v>2</v>
          </cell>
        </row>
        <row r="14">
          <cell r="U14">
            <v>14</v>
          </cell>
          <cell r="V14">
            <v>1</v>
          </cell>
          <cell r="W14" t="str">
            <v>超负荷</v>
          </cell>
        </row>
        <row r="15">
          <cell r="B15" t="str">
            <v>伍恒</v>
          </cell>
          <cell r="C15" t="str">
            <v>数据平台部</v>
          </cell>
          <cell r="D15" t="str">
            <v>工具开发组</v>
          </cell>
          <cell r="E15" t="str">
            <v>男</v>
          </cell>
          <cell r="F15">
            <v>7</v>
          </cell>
          <cell r="G15" t="str">
            <v>研究生</v>
          </cell>
          <cell r="H15" t="str">
            <v>武汉科技大学</v>
          </cell>
          <cell r="I15" t="str">
            <v>骨干</v>
          </cell>
          <cell r="J15">
            <v>2.73037234042459</v>
          </cell>
          <cell r="K15" t="b">
            <v>1</v>
          </cell>
          <cell r="L15">
            <v>5</v>
          </cell>
          <cell r="M15">
            <v>25</v>
          </cell>
          <cell r="N15">
            <v>8</v>
          </cell>
          <cell r="O15">
            <v>9</v>
          </cell>
          <cell r="P15">
            <v>1</v>
          </cell>
          <cell r="Q15">
            <v>1</v>
          </cell>
          <cell r="R15">
            <v>2</v>
          </cell>
          <cell r="S15">
            <v>2</v>
          </cell>
          <cell r="T15">
            <v>11</v>
          </cell>
          <cell r="U15">
            <v>38</v>
          </cell>
        </row>
        <row r="15">
          <cell r="W15" t="str">
            <v>超负荷</v>
          </cell>
        </row>
        <row r="16">
          <cell r="B16" t="str">
            <v>王正超</v>
          </cell>
          <cell r="C16" t="str">
            <v>数据平台部</v>
          </cell>
          <cell r="D16" t="str">
            <v>应用开发组</v>
          </cell>
          <cell r="E16" t="str">
            <v>男</v>
          </cell>
          <cell r="F16">
            <v>5</v>
          </cell>
          <cell r="G16" t="str">
            <v>研究生</v>
          </cell>
          <cell r="H16" t="str">
            <v>北京交通大学</v>
          </cell>
          <cell r="I16" t="str">
            <v>骨干</v>
          </cell>
          <cell r="J16">
            <v>2.74652298849682</v>
          </cell>
          <cell r="K16" t="b">
            <v>1</v>
          </cell>
          <cell r="L16">
            <v>6</v>
          </cell>
          <cell r="M16">
            <v>9</v>
          </cell>
          <cell r="N16">
            <v>33</v>
          </cell>
          <cell r="O16">
            <v>10</v>
          </cell>
          <cell r="P16">
            <v>1</v>
          </cell>
          <cell r="Q16">
            <v>14</v>
          </cell>
          <cell r="R16">
            <v>1</v>
          </cell>
          <cell r="S16">
            <v>3</v>
          </cell>
          <cell r="T16">
            <v>14</v>
          </cell>
          <cell r="U16">
            <v>16</v>
          </cell>
          <cell r="V16">
            <v>2</v>
          </cell>
          <cell r="W16" t="str">
            <v>超负荷</v>
          </cell>
        </row>
        <row r="17">
          <cell r="B17" t="str">
            <v>嵇雅娟</v>
          </cell>
          <cell r="C17" t="str">
            <v>数据平台部</v>
          </cell>
          <cell r="D17" t="str">
            <v>应用开发组</v>
          </cell>
          <cell r="E17" t="str">
            <v>女</v>
          </cell>
          <cell r="F17">
            <v>10</v>
          </cell>
          <cell r="G17" t="str">
            <v>大学本科</v>
          </cell>
          <cell r="H17" t="str">
            <v>中国科学技术大学</v>
          </cell>
          <cell r="I17" t="str">
            <v>骨干</v>
          </cell>
          <cell r="J17">
            <v>1.10714052288277</v>
          </cell>
          <cell r="K17" t="b">
            <v>0</v>
          </cell>
          <cell r="L17">
            <v>21</v>
          </cell>
          <cell r="M17">
            <v>26</v>
          </cell>
          <cell r="N17">
            <v>4</v>
          </cell>
          <cell r="O17">
            <v>0</v>
          </cell>
        </row>
        <row r="17">
          <cell r="Q17">
            <v>5</v>
          </cell>
          <cell r="R17">
            <v>3</v>
          </cell>
          <cell r="S17">
            <v>2</v>
          </cell>
          <cell r="T17">
            <v>5</v>
          </cell>
          <cell r="U17">
            <v>9</v>
          </cell>
          <cell r="V17">
            <v>3</v>
          </cell>
          <cell r="W17" t="str">
            <v>适中</v>
          </cell>
        </row>
        <row r="18">
          <cell r="B18" t="str">
            <v>鞠爱宁</v>
          </cell>
          <cell r="C18" t="str">
            <v>数据平台部</v>
          </cell>
          <cell r="D18" t="str">
            <v>数据服务组</v>
          </cell>
          <cell r="E18" t="str">
            <v>男</v>
          </cell>
          <cell r="F18">
            <v>7</v>
          </cell>
          <cell r="G18" t="str">
            <v>研究生</v>
          </cell>
          <cell r="H18" t="str">
            <v>上海大学</v>
          </cell>
          <cell r="I18" t="str">
            <v>组长</v>
          </cell>
          <cell r="J18">
            <v>3.1462903225817</v>
          </cell>
          <cell r="K18" t="b">
            <v>1</v>
          </cell>
          <cell r="L18">
            <v>1</v>
          </cell>
          <cell r="M18">
            <v>6</v>
          </cell>
          <cell r="N18">
            <v>38</v>
          </cell>
          <cell r="O18">
            <v>17</v>
          </cell>
        </row>
        <row r="18">
          <cell r="Q18">
            <v>1</v>
          </cell>
          <cell r="R18">
            <v>1</v>
          </cell>
          <cell r="S18">
            <v>2</v>
          </cell>
          <cell r="T18">
            <v>10</v>
          </cell>
          <cell r="U18">
            <v>11</v>
          </cell>
          <cell r="V18">
            <v>2</v>
          </cell>
          <cell r="W18" t="str">
            <v>超负荷</v>
          </cell>
        </row>
        <row r="19">
          <cell r="B19" t="str">
            <v>魏佳翔</v>
          </cell>
          <cell r="C19" t="str">
            <v>数据平台部</v>
          </cell>
          <cell r="D19" t="str">
            <v>数据服务组</v>
          </cell>
          <cell r="E19" t="str">
            <v>男</v>
          </cell>
          <cell r="F19">
            <v>11</v>
          </cell>
          <cell r="G19" t="str">
            <v>大学本科</v>
          </cell>
          <cell r="H19" t="str">
            <v>大连海事大学</v>
          </cell>
          <cell r="I19" t="str">
            <v>组长</v>
          </cell>
          <cell r="J19">
            <v>1.55132616486592</v>
          </cell>
          <cell r="K19" t="b">
            <v>0</v>
          </cell>
          <cell r="L19">
            <v>34</v>
          </cell>
          <cell r="M19">
            <v>14</v>
          </cell>
          <cell r="N19">
            <v>8</v>
          </cell>
          <cell r="O19">
            <v>6</v>
          </cell>
        </row>
        <row r="19">
          <cell r="Q19">
            <v>1</v>
          </cell>
        </row>
        <row r="19">
          <cell r="S19">
            <v>2</v>
          </cell>
        </row>
        <row r="19">
          <cell r="W19" t="str">
            <v>超负荷</v>
          </cell>
        </row>
        <row r="20">
          <cell r="B20" t="str">
            <v>杨婧</v>
          </cell>
          <cell r="C20" t="str">
            <v>智能创新部</v>
          </cell>
          <cell r="D20" t="str">
            <v>AI产品运营组</v>
          </cell>
          <cell r="E20" t="str">
            <v>女</v>
          </cell>
          <cell r="F20">
            <v>4</v>
          </cell>
          <cell r="G20" t="str">
            <v>研究生</v>
          </cell>
          <cell r="H20" t="str">
            <v>中国科学技术大学</v>
          </cell>
          <cell r="I20" t="str">
            <v>组长</v>
          </cell>
          <cell r="J20">
            <v>2.96168032786942</v>
          </cell>
          <cell r="K20" t="b">
            <v>1</v>
          </cell>
          <cell r="L20">
            <v>7</v>
          </cell>
          <cell r="M20">
            <v>11</v>
          </cell>
          <cell r="N20">
            <v>26</v>
          </cell>
          <cell r="O20">
            <v>17</v>
          </cell>
        </row>
        <row r="20">
          <cell r="Q20">
            <v>1</v>
          </cell>
          <cell r="R20">
            <v>1</v>
          </cell>
          <cell r="S20">
            <v>2</v>
          </cell>
        </row>
        <row r="20">
          <cell r="W20" t="str">
            <v>超负荷</v>
          </cell>
        </row>
        <row r="21">
          <cell r="B21" t="str">
            <v>邱玥</v>
          </cell>
          <cell r="C21" t="str">
            <v>智能创新部</v>
          </cell>
          <cell r="D21" t="str">
            <v>AI产品运营组</v>
          </cell>
          <cell r="E21" t="str">
            <v>女</v>
          </cell>
          <cell r="F21">
            <v>2</v>
          </cell>
          <cell r="G21" t="str">
            <v>研究生</v>
          </cell>
          <cell r="H21" t="str">
            <v>东华大学</v>
          </cell>
          <cell r="I21" t="str">
            <v>骨干</v>
          </cell>
          <cell r="J21">
            <v>1.65321038250686</v>
          </cell>
          <cell r="K21" t="b">
            <v>0</v>
          </cell>
          <cell r="L21">
            <v>7</v>
          </cell>
          <cell r="M21">
            <v>47</v>
          </cell>
          <cell r="N21">
            <v>5</v>
          </cell>
          <cell r="O21">
            <v>2</v>
          </cell>
          <cell r="P21">
            <v>1</v>
          </cell>
          <cell r="Q21">
            <v>1</v>
          </cell>
          <cell r="R21">
            <v>1</v>
          </cell>
          <cell r="S21">
            <v>2</v>
          </cell>
          <cell r="T21">
            <v>2</v>
          </cell>
          <cell r="U21">
            <v>4</v>
          </cell>
          <cell r="V21">
            <v>3</v>
          </cell>
          <cell r="W21" t="str">
            <v>适中</v>
          </cell>
        </row>
        <row r="22">
          <cell r="B22" t="str">
            <v>李响</v>
          </cell>
          <cell r="C22" t="str">
            <v>智能创新部</v>
          </cell>
          <cell r="D22" t="str">
            <v>AI基础研发组</v>
          </cell>
          <cell r="E22" t="str">
            <v>男</v>
          </cell>
          <cell r="F22">
            <v>12</v>
          </cell>
          <cell r="G22" t="str">
            <v>大学本科</v>
          </cell>
          <cell r="H22" t="str">
            <v>哈尔滨工业大学</v>
          </cell>
          <cell r="I22" t="str">
            <v>组长</v>
          </cell>
          <cell r="J22">
            <v>1.44796464647569</v>
          </cell>
          <cell r="K22" t="b">
            <v>0</v>
          </cell>
          <cell r="L22">
            <v>25</v>
          </cell>
          <cell r="M22">
            <v>21</v>
          </cell>
          <cell r="N22">
            <v>6</v>
          </cell>
          <cell r="O22">
            <v>3</v>
          </cell>
          <cell r="P22">
            <v>2</v>
          </cell>
        </row>
        <row r="22">
          <cell r="R22">
            <v>2</v>
          </cell>
          <cell r="S22">
            <v>5</v>
          </cell>
          <cell r="T22">
            <v>16</v>
          </cell>
          <cell r="U22">
            <v>13</v>
          </cell>
          <cell r="V22">
            <v>1</v>
          </cell>
          <cell r="W22" t="str">
            <v>超负荷</v>
          </cell>
        </row>
        <row r="23">
          <cell r="B23" t="str">
            <v>于中宝</v>
          </cell>
          <cell r="C23" t="str">
            <v>智能创新部</v>
          </cell>
          <cell r="D23" t="str">
            <v>AI基础研发组</v>
          </cell>
          <cell r="E23" t="str">
            <v>男</v>
          </cell>
          <cell r="F23">
            <v>5</v>
          </cell>
          <cell r="G23" t="str">
            <v>研究生</v>
          </cell>
          <cell r="H23" t="str">
            <v>华东理工大学</v>
          </cell>
          <cell r="I23" t="str">
            <v>骨干</v>
          </cell>
          <cell r="J23">
            <v>2.28542114694738</v>
          </cell>
          <cell r="K23" t="b">
            <v>1</v>
          </cell>
          <cell r="L23">
            <v>3</v>
          </cell>
          <cell r="M23">
            <v>36</v>
          </cell>
          <cell r="N23">
            <v>14</v>
          </cell>
          <cell r="O23">
            <v>9</v>
          </cell>
          <cell r="P23">
            <v>2</v>
          </cell>
          <cell r="Q23">
            <v>2</v>
          </cell>
          <cell r="R23">
            <v>1</v>
          </cell>
          <cell r="S23">
            <v>3</v>
          </cell>
          <cell r="T23">
            <v>9</v>
          </cell>
          <cell r="U23">
            <v>5</v>
          </cell>
        </row>
        <row r="23">
          <cell r="W23" t="str">
            <v>超负荷</v>
          </cell>
        </row>
        <row r="24">
          <cell r="B24" t="str">
            <v>李梦霄</v>
          </cell>
          <cell r="C24" t="str">
            <v>智能创新部</v>
          </cell>
          <cell r="D24" t="str">
            <v>风险模型团队</v>
          </cell>
          <cell r="E24" t="str">
            <v>女</v>
          </cell>
          <cell r="F24">
            <v>5</v>
          </cell>
          <cell r="G24" t="str">
            <v>研究生</v>
          </cell>
          <cell r="H24" t="str">
            <v>华东理工大学</v>
          </cell>
          <cell r="I24" t="str">
            <v>组长</v>
          </cell>
          <cell r="J24">
            <v>1.99881826741305</v>
          </cell>
          <cell r="K24" t="b">
            <v>0</v>
          </cell>
          <cell r="L24">
            <v>11</v>
          </cell>
          <cell r="M24">
            <v>19</v>
          </cell>
          <cell r="N24">
            <v>27</v>
          </cell>
          <cell r="O24">
            <v>2</v>
          </cell>
          <cell r="P24">
            <v>1</v>
          </cell>
        </row>
        <row r="24">
          <cell r="S24">
            <v>2</v>
          </cell>
        </row>
        <row r="24">
          <cell r="W24" t="str">
            <v>适中</v>
          </cell>
        </row>
        <row r="25">
          <cell r="B25" t="str">
            <v>于俊杰</v>
          </cell>
          <cell r="C25" t="str">
            <v>智能创新部</v>
          </cell>
          <cell r="D25" t="str">
            <v>风险模型团队</v>
          </cell>
          <cell r="E25" t="str">
            <v>男</v>
          </cell>
          <cell r="F25">
            <v>2</v>
          </cell>
          <cell r="G25" t="str">
            <v>研究生</v>
          </cell>
          <cell r="H25" t="str">
            <v>华东理工大学</v>
          </cell>
          <cell r="I25" t="str">
            <v>骨干候选人</v>
          </cell>
          <cell r="J25">
            <v>1.86732695809829</v>
          </cell>
          <cell r="K25" t="b">
            <v>0</v>
          </cell>
          <cell r="L25">
            <v>20</v>
          </cell>
          <cell r="M25">
            <v>24</v>
          </cell>
          <cell r="N25">
            <v>9</v>
          </cell>
          <cell r="O25">
            <v>8</v>
          </cell>
          <cell r="P25">
            <v>1</v>
          </cell>
        </row>
        <row r="25">
          <cell r="R25">
            <v>1</v>
          </cell>
          <cell r="S25">
            <v>1</v>
          </cell>
        </row>
        <row r="25">
          <cell r="U25">
            <v>9</v>
          </cell>
        </row>
        <row r="25">
          <cell r="W25" t="str">
            <v>适中</v>
          </cell>
        </row>
        <row r="26">
          <cell r="B26" t="str">
            <v>周影</v>
          </cell>
          <cell r="C26" t="str">
            <v>数据开发部</v>
          </cell>
          <cell r="D26" t="str">
            <v>仓库开发组</v>
          </cell>
          <cell r="E26" t="str">
            <v>女</v>
          </cell>
          <cell r="F26">
            <v>6</v>
          </cell>
          <cell r="G26" t="str">
            <v>研究生</v>
          </cell>
          <cell r="H26" t="str">
            <v>湖南大学</v>
          </cell>
          <cell r="I26" t="str">
            <v>骨干</v>
          </cell>
          <cell r="J26">
            <v>3.30794834307897</v>
          </cell>
          <cell r="K26" t="b">
            <v>1</v>
          </cell>
          <cell r="L26">
            <v>0</v>
          </cell>
          <cell r="M26">
            <v>12</v>
          </cell>
          <cell r="N26">
            <v>30</v>
          </cell>
          <cell r="O26">
            <v>15</v>
          </cell>
        </row>
        <row r="26">
          <cell r="Q26">
            <v>3</v>
          </cell>
        </row>
        <row r="26">
          <cell r="S26">
            <v>1</v>
          </cell>
        </row>
        <row r="26">
          <cell r="W26" t="str">
            <v>超负荷</v>
          </cell>
        </row>
        <row r="27">
          <cell r="B27" t="str">
            <v>姚志环</v>
          </cell>
          <cell r="C27" t="str">
            <v>数据开发部</v>
          </cell>
          <cell r="D27" t="str">
            <v>仓库开发组</v>
          </cell>
          <cell r="E27" t="str">
            <v>女</v>
          </cell>
          <cell r="F27">
            <v>5</v>
          </cell>
          <cell r="G27" t="str">
            <v>研究生</v>
          </cell>
          <cell r="H27" t="str">
            <v>华东理工大学</v>
          </cell>
          <cell r="I27" t="str">
            <v>骨干</v>
          </cell>
          <cell r="J27">
            <v>1.98924329500858</v>
          </cell>
          <cell r="K27" t="b">
            <v>0</v>
          </cell>
          <cell r="L27">
            <v>6</v>
          </cell>
          <cell r="M27">
            <v>33</v>
          </cell>
          <cell r="N27">
            <v>14</v>
          </cell>
          <cell r="O27">
            <v>5</v>
          </cell>
        </row>
        <row r="27">
          <cell r="S27">
            <v>1</v>
          </cell>
          <cell r="T27">
            <v>4</v>
          </cell>
          <cell r="U27">
            <v>7</v>
          </cell>
        </row>
        <row r="27">
          <cell r="W27" t="str">
            <v>适中</v>
          </cell>
        </row>
        <row r="28">
          <cell r="B28" t="str">
            <v>林幸</v>
          </cell>
          <cell r="C28" t="str">
            <v>数据开发部</v>
          </cell>
          <cell r="D28" t="str">
            <v>仓库开发组</v>
          </cell>
          <cell r="E28" t="str">
            <v>女</v>
          </cell>
          <cell r="F28">
            <v>3</v>
          </cell>
          <cell r="G28" t="str">
            <v>研究生</v>
          </cell>
          <cell r="H28" t="str">
            <v>东北大学</v>
          </cell>
          <cell r="I28" t="str">
            <v>骨干</v>
          </cell>
          <cell r="J28">
            <v>3.21125243663616</v>
          </cell>
          <cell r="K28" t="b">
            <v>1</v>
          </cell>
          <cell r="L28">
            <v>5</v>
          </cell>
          <cell r="M28">
            <v>7</v>
          </cell>
          <cell r="N28">
            <v>30</v>
          </cell>
          <cell r="O28">
            <v>15</v>
          </cell>
          <cell r="P28">
            <v>1</v>
          </cell>
          <cell r="Q28">
            <v>3</v>
          </cell>
          <cell r="R28">
            <v>1</v>
          </cell>
          <cell r="S28">
            <v>1</v>
          </cell>
          <cell r="T28">
            <v>8</v>
          </cell>
          <cell r="U28">
            <v>9</v>
          </cell>
        </row>
        <row r="28">
          <cell r="W28" t="str">
            <v>超负荷</v>
          </cell>
        </row>
        <row r="29">
          <cell r="B29" t="str">
            <v>骆静龙</v>
          </cell>
          <cell r="C29" t="str">
            <v>数据开发部</v>
          </cell>
          <cell r="D29" t="str">
            <v>应用开发组</v>
          </cell>
          <cell r="E29" t="str">
            <v>男</v>
          </cell>
          <cell r="F29">
            <v>2</v>
          </cell>
          <cell r="G29" t="str">
            <v>大学本科</v>
          </cell>
          <cell r="H29" t="str">
            <v>华东师范大学</v>
          </cell>
          <cell r="I29" t="str">
            <v>骨干</v>
          </cell>
          <cell r="J29">
            <v>2.69579566856235</v>
          </cell>
          <cell r="K29" t="b">
            <v>1</v>
          </cell>
          <cell r="L29">
            <v>5</v>
          </cell>
          <cell r="M29">
            <v>10</v>
          </cell>
          <cell r="N29">
            <v>33</v>
          </cell>
          <cell r="O29">
            <v>11</v>
          </cell>
        </row>
        <row r="29">
          <cell r="Q29">
            <v>1</v>
          </cell>
        </row>
        <row r="29">
          <cell r="S29">
            <v>1</v>
          </cell>
          <cell r="T29">
            <v>15</v>
          </cell>
          <cell r="U29">
            <v>10</v>
          </cell>
          <cell r="V29">
            <v>2</v>
          </cell>
          <cell r="W29" t="str">
            <v>超负荷</v>
          </cell>
        </row>
        <row r="30">
          <cell r="B30" t="str">
            <v>王言哲</v>
          </cell>
          <cell r="C30" t="str">
            <v>数据开发部</v>
          </cell>
          <cell r="D30" t="str">
            <v>应用开发组</v>
          </cell>
          <cell r="E30" t="str">
            <v>男</v>
          </cell>
          <cell r="F30">
            <v>3</v>
          </cell>
          <cell r="G30" t="str">
            <v>大学本科</v>
          </cell>
          <cell r="H30" t="str">
            <v>华东师范大学</v>
          </cell>
          <cell r="I30" t="str">
            <v>骨干</v>
          </cell>
          <cell r="J30">
            <v>2.25574225866041</v>
          </cell>
          <cell r="K30" t="b">
            <v>0</v>
          </cell>
          <cell r="L30">
            <v>1</v>
          </cell>
          <cell r="M30">
            <v>39</v>
          </cell>
          <cell r="N30">
            <v>17</v>
          </cell>
          <cell r="O30">
            <v>4</v>
          </cell>
        </row>
        <row r="30">
          <cell r="Q30">
            <v>8</v>
          </cell>
        </row>
        <row r="30">
          <cell r="S30">
            <v>1</v>
          </cell>
          <cell r="T30">
            <v>20</v>
          </cell>
          <cell r="U30">
            <v>19</v>
          </cell>
        </row>
        <row r="30">
          <cell r="W30" t="str">
            <v>超负荷</v>
          </cell>
        </row>
        <row r="31">
          <cell r="B31" t="str">
            <v>马富强</v>
          </cell>
          <cell r="C31" t="str">
            <v>数据开发部</v>
          </cell>
          <cell r="D31" t="str">
            <v>仓库开发组</v>
          </cell>
          <cell r="E31" t="str">
            <v>男</v>
          </cell>
          <cell r="F31">
            <v>7</v>
          </cell>
          <cell r="G31" t="str">
            <v>大学本科</v>
          </cell>
          <cell r="H31" t="str">
            <v>上海理工大学</v>
          </cell>
          <cell r="I31" t="str">
            <v>骨干</v>
          </cell>
          <cell r="J31">
            <v>3.15106403013648</v>
          </cell>
          <cell r="K31" t="b">
            <v>1</v>
          </cell>
          <cell r="L31">
            <v>1</v>
          </cell>
          <cell r="M31">
            <v>2</v>
          </cell>
          <cell r="N31">
            <v>50</v>
          </cell>
          <cell r="O31">
            <v>6</v>
          </cell>
        </row>
        <row r="31">
          <cell r="Q31">
            <v>1</v>
          </cell>
        </row>
        <row r="31">
          <cell r="S31">
            <v>1</v>
          </cell>
          <cell r="T31">
            <v>10</v>
          </cell>
          <cell r="U31">
            <v>13</v>
          </cell>
          <cell r="V31">
            <v>1</v>
          </cell>
          <cell r="W31" t="str">
            <v>超负荷</v>
          </cell>
        </row>
        <row r="32">
          <cell r="B32" t="str">
            <v>胡帆</v>
          </cell>
          <cell r="C32" t="str">
            <v>数据平台部</v>
          </cell>
          <cell r="D32" t="str">
            <v>数据服务组</v>
          </cell>
          <cell r="E32" t="str">
            <v>男</v>
          </cell>
          <cell r="F32">
            <v>3</v>
          </cell>
          <cell r="G32" t="str">
            <v>研究生</v>
          </cell>
          <cell r="H32" t="str">
            <v>华东理工大学</v>
          </cell>
          <cell r="I32" t="str">
            <v>骨干</v>
          </cell>
          <cell r="J32">
            <v>2.64566570879683</v>
          </cell>
          <cell r="K32" t="b">
            <v>1</v>
          </cell>
          <cell r="L32">
            <v>12</v>
          </cell>
          <cell r="M32">
            <v>4</v>
          </cell>
          <cell r="N32">
            <v>29</v>
          </cell>
          <cell r="O32">
            <v>13</v>
          </cell>
        </row>
        <row r="32">
          <cell r="R32">
            <v>1</v>
          </cell>
          <cell r="S32">
            <v>1</v>
          </cell>
          <cell r="T32">
            <v>8</v>
          </cell>
          <cell r="U32">
            <v>10</v>
          </cell>
        </row>
        <row r="32">
          <cell r="W32" t="str">
            <v>适中</v>
          </cell>
        </row>
        <row r="33">
          <cell r="B33" t="str">
            <v>陆凯华</v>
          </cell>
          <cell r="C33" t="str">
            <v>数据平台部</v>
          </cell>
          <cell r="D33" t="str">
            <v>数据服务组</v>
          </cell>
          <cell r="E33" t="str">
            <v>男</v>
          </cell>
          <cell r="F33" t="str">
            <v>`1</v>
          </cell>
          <cell r="G33" t="str">
            <v>研究生</v>
          </cell>
          <cell r="H33" t="str">
            <v>苏州大学</v>
          </cell>
          <cell r="I33" t="str">
            <v>骨干</v>
          </cell>
          <cell r="J33">
            <v>3.91481968811958</v>
          </cell>
          <cell r="K33" t="b">
            <v>1</v>
          </cell>
          <cell r="L33">
            <v>11</v>
          </cell>
          <cell r="M33">
            <v>11</v>
          </cell>
          <cell r="N33">
            <v>8</v>
          </cell>
          <cell r="O33">
            <v>27</v>
          </cell>
          <cell r="P33">
            <v>1</v>
          </cell>
          <cell r="Q33">
            <v>4</v>
          </cell>
          <cell r="R33">
            <v>3</v>
          </cell>
          <cell r="S33">
            <v>4</v>
          </cell>
          <cell r="T33">
            <v>21</v>
          </cell>
          <cell r="U33">
            <v>35</v>
          </cell>
          <cell r="V33">
            <v>3</v>
          </cell>
          <cell r="W33" t="str">
            <v>超负荷</v>
          </cell>
        </row>
        <row r="34">
          <cell r="B34" t="str">
            <v>朱文川</v>
          </cell>
          <cell r="C34" t="str">
            <v>数据平台部</v>
          </cell>
          <cell r="D34" t="str">
            <v>工具开发组</v>
          </cell>
          <cell r="E34" t="str">
            <v>男</v>
          </cell>
          <cell r="F34">
            <v>2</v>
          </cell>
          <cell r="G34" t="str">
            <v>研究生</v>
          </cell>
          <cell r="H34" t="str">
            <v>上海大学</v>
          </cell>
          <cell r="I34" t="str">
            <v>骨干</v>
          </cell>
          <cell r="J34">
            <v>1.55351532567373</v>
          </cell>
          <cell r="K34" t="b">
            <v>0</v>
          </cell>
          <cell r="L34">
            <v>16</v>
          </cell>
          <cell r="M34">
            <v>36</v>
          </cell>
          <cell r="N34">
            <v>0</v>
          </cell>
          <cell r="O34">
            <v>6</v>
          </cell>
        </row>
        <row r="34">
          <cell r="S34">
            <v>2</v>
          </cell>
          <cell r="T34">
            <v>6</v>
          </cell>
          <cell r="U34">
            <v>6</v>
          </cell>
        </row>
        <row r="34">
          <cell r="W34" t="str">
            <v>适中</v>
          </cell>
        </row>
        <row r="35">
          <cell r="B35" t="str">
            <v>崔建文</v>
          </cell>
          <cell r="C35" t="str">
            <v>智能创新部</v>
          </cell>
          <cell r="D35" t="str">
            <v>模型开发组</v>
          </cell>
          <cell r="E35" t="str">
            <v>男</v>
          </cell>
          <cell r="F35">
            <v>4</v>
          </cell>
          <cell r="G35" t="str">
            <v>研究生</v>
          </cell>
          <cell r="H35" t="str">
            <v>厦门大学</v>
          </cell>
          <cell r="I35" t="str">
            <v>骨干</v>
          </cell>
          <cell r="J35">
            <v>2.72562056737135</v>
          </cell>
          <cell r="K35" t="b">
            <v>1</v>
          </cell>
          <cell r="L35">
            <v>9</v>
          </cell>
          <cell r="M35">
            <v>4</v>
          </cell>
          <cell r="N35">
            <v>25</v>
          </cell>
          <cell r="O35">
            <v>9</v>
          </cell>
          <cell r="P35">
            <v>1</v>
          </cell>
          <cell r="Q35">
            <v>2</v>
          </cell>
        </row>
        <row r="35">
          <cell r="S35">
            <v>1</v>
          </cell>
        </row>
        <row r="35">
          <cell r="W35" t="str">
            <v>适中</v>
          </cell>
        </row>
        <row r="36">
          <cell r="B36" t="str">
            <v>贾世林</v>
          </cell>
          <cell r="C36" t="str">
            <v>智能创新部</v>
          </cell>
          <cell r="D36" t="str">
            <v>AI基础研发组</v>
          </cell>
          <cell r="E36" t="str">
            <v>男</v>
          </cell>
          <cell r="F36">
            <v>4</v>
          </cell>
          <cell r="G36" t="str">
            <v>研究生</v>
          </cell>
          <cell r="H36" t="str">
            <v>上海师范大学</v>
          </cell>
          <cell r="I36" t="str">
            <v>骨干</v>
          </cell>
          <cell r="J36">
            <v>1.96302419354118</v>
          </cell>
          <cell r="K36" t="b">
            <v>0</v>
          </cell>
          <cell r="L36">
            <v>12</v>
          </cell>
          <cell r="M36">
            <v>33</v>
          </cell>
          <cell r="N36">
            <v>12</v>
          </cell>
          <cell r="O36">
            <v>5</v>
          </cell>
          <cell r="P36">
            <v>1</v>
          </cell>
          <cell r="Q36">
            <v>1</v>
          </cell>
          <cell r="R36">
            <v>1</v>
          </cell>
          <cell r="S36">
            <v>1</v>
          </cell>
          <cell r="T36">
            <v>7</v>
          </cell>
          <cell r="U36">
            <v>12</v>
          </cell>
          <cell r="V36">
            <v>1</v>
          </cell>
          <cell r="W36" t="str">
            <v>超负荷</v>
          </cell>
        </row>
        <row r="37">
          <cell r="B37" t="str">
            <v>陆文捷</v>
          </cell>
          <cell r="C37" t="str">
            <v>智能创新部</v>
          </cell>
          <cell r="D37" t="str">
            <v>模型开发组</v>
          </cell>
          <cell r="E37" t="str">
            <v>女</v>
          </cell>
          <cell r="F37">
            <v>1</v>
          </cell>
          <cell r="G37" t="str">
            <v>研究生</v>
          </cell>
          <cell r="H37" t="str">
            <v>苏州大学</v>
          </cell>
          <cell r="I37" t="str">
            <v>骨干</v>
          </cell>
          <cell r="J37">
            <v>1.61931089743694</v>
          </cell>
          <cell r="K37" t="b">
            <v>0</v>
          </cell>
          <cell r="L37">
            <v>15</v>
          </cell>
          <cell r="M37">
            <v>20</v>
          </cell>
          <cell r="N37">
            <v>16</v>
          </cell>
          <cell r="O37">
            <v>1</v>
          </cell>
        </row>
        <row r="37">
          <cell r="S37">
            <v>0</v>
          </cell>
        </row>
        <row r="37">
          <cell r="W37" t="str">
            <v>不饱和</v>
          </cell>
        </row>
        <row r="38">
          <cell r="B38" t="str">
            <v>白迪</v>
          </cell>
          <cell r="C38" t="str">
            <v>数据平台部</v>
          </cell>
          <cell r="D38" t="str">
            <v>工具开发组&amp;数据服务组负责人</v>
          </cell>
          <cell r="E38" t="str">
            <v>男</v>
          </cell>
          <cell r="F38">
            <v>6</v>
          </cell>
          <cell r="G38" t="str">
            <v>研究生</v>
          </cell>
          <cell r="H38" t="str">
            <v>东华大学</v>
          </cell>
          <cell r="I38" t="str">
            <v>/</v>
          </cell>
          <cell r="J38">
            <v>2.05115575397836</v>
          </cell>
          <cell r="K38" t="b">
            <v>1</v>
          </cell>
          <cell r="L38">
            <v>9</v>
          </cell>
          <cell r="M38">
            <v>35</v>
          </cell>
          <cell r="N38">
            <v>3</v>
          </cell>
          <cell r="O38">
            <v>9</v>
          </cell>
        </row>
        <row r="38">
          <cell r="S38">
            <v>0</v>
          </cell>
        </row>
        <row r="39">
          <cell r="B39" t="str">
            <v>濮敏</v>
          </cell>
          <cell r="C39" t="str">
            <v>数据平台部</v>
          </cell>
          <cell r="D39" t="str">
            <v>工具开发组</v>
          </cell>
          <cell r="E39" t="str">
            <v>女</v>
          </cell>
          <cell r="F39">
            <v>4</v>
          </cell>
          <cell r="G39" t="str">
            <v>研究生</v>
          </cell>
          <cell r="H39" t="str">
            <v>华东师范大学</v>
          </cell>
          <cell r="I39" t="str">
            <v>/</v>
          </cell>
          <cell r="J39">
            <v>0.626864406783371</v>
          </cell>
          <cell r="K39" t="b">
            <v>0</v>
          </cell>
          <cell r="L39">
            <v>56</v>
          </cell>
          <cell r="M39">
            <v>3</v>
          </cell>
          <cell r="N39">
            <v>0</v>
          </cell>
          <cell r="O39">
            <v>0</v>
          </cell>
        </row>
        <row r="39">
          <cell r="R39">
            <v>1</v>
          </cell>
          <cell r="S39">
            <v>2</v>
          </cell>
          <cell r="T39">
            <v>2</v>
          </cell>
        </row>
        <row r="39">
          <cell r="W39" t="str">
            <v>不饱和</v>
          </cell>
        </row>
        <row r="40">
          <cell r="B40" t="str">
            <v>沈志贇</v>
          </cell>
          <cell r="C40" t="str">
            <v>数据平台部</v>
          </cell>
          <cell r="D40" t="str">
            <v>工具开发组</v>
          </cell>
          <cell r="E40" t="str">
            <v>男</v>
          </cell>
          <cell r="F40">
            <v>2</v>
          </cell>
          <cell r="G40" t="str">
            <v>大学本科</v>
          </cell>
          <cell r="H40" t="str">
            <v>上海大学</v>
          </cell>
          <cell r="I40" t="str">
            <v>/</v>
          </cell>
          <cell r="J40">
            <v>1.40965534978507</v>
          </cell>
          <cell r="K40" t="b">
            <v>0</v>
          </cell>
          <cell r="L40">
            <v>16</v>
          </cell>
          <cell r="M40">
            <v>36</v>
          </cell>
          <cell r="N40">
            <v>0</v>
          </cell>
          <cell r="O40">
            <v>2</v>
          </cell>
        </row>
        <row r="40">
          <cell r="Q40">
            <v>2</v>
          </cell>
          <cell r="R40">
            <v>1</v>
          </cell>
          <cell r="S40">
            <v>1</v>
          </cell>
          <cell r="T40">
            <v>1</v>
          </cell>
          <cell r="U40">
            <v>3</v>
          </cell>
        </row>
        <row r="40">
          <cell r="W40" t="str">
            <v>适中</v>
          </cell>
        </row>
        <row r="41">
          <cell r="B41" t="str">
            <v>王双钰</v>
          </cell>
          <cell r="C41" t="str">
            <v>数据平台部</v>
          </cell>
          <cell r="D41" t="str">
            <v>工具开发组</v>
          </cell>
          <cell r="E41" t="str">
            <v>女</v>
          </cell>
          <cell r="F41">
            <v>2</v>
          </cell>
          <cell r="G41" t="str">
            <v>研究生</v>
          </cell>
          <cell r="H41" t="str">
            <v>爱丁堡大学</v>
          </cell>
          <cell r="I41" t="str">
            <v>/</v>
          </cell>
          <cell r="J41">
            <v>0.826511299428017</v>
          </cell>
          <cell r="K41" t="b">
            <v>0</v>
          </cell>
          <cell r="L41">
            <v>41</v>
          </cell>
          <cell r="M41">
            <v>18</v>
          </cell>
          <cell r="N41">
            <v>0</v>
          </cell>
          <cell r="O41">
            <v>0</v>
          </cell>
        </row>
        <row r="41">
          <cell r="Q41">
            <v>1</v>
          </cell>
        </row>
        <row r="41">
          <cell r="S41">
            <v>1</v>
          </cell>
          <cell r="T41">
            <v>1</v>
          </cell>
          <cell r="U41">
            <v>3</v>
          </cell>
        </row>
        <row r="41">
          <cell r="W41" t="str">
            <v>不饱和</v>
          </cell>
        </row>
        <row r="42">
          <cell r="B42" t="str">
            <v>吕丽丽</v>
          </cell>
          <cell r="C42" t="str">
            <v>数据平台部</v>
          </cell>
          <cell r="D42" t="str">
            <v>工具开发组</v>
          </cell>
          <cell r="E42" t="str">
            <v>女</v>
          </cell>
          <cell r="F42">
            <v>2</v>
          </cell>
          <cell r="G42" t="str">
            <v>研究生</v>
          </cell>
          <cell r="H42" t="str">
            <v>华威大学</v>
          </cell>
          <cell r="I42" t="str">
            <v>/</v>
          </cell>
          <cell r="J42">
            <v>0.926403256714272</v>
          </cell>
          <cell r="K42" t="b">
            <v>0</v>
          </cell>
          <cell r="L42">
            <v>41</v>
          </cell>
          <cell r="M42">
            <v>15</v>
          </cell>
          <cell r="N42">
            <v>1</v>
          </cell>
          <cell r="O42">
            <v>1</v>
          </cell>
        </row>
        <row r="42">
          <cell r="S42">
            <v>2</v>
          </cell>
        </row>
        <row r="42">
          <cell r="W42" t="str">
            <v>不饱和</v>
          </cell>
        </row>
        <row r="43">
          <cell r="B43" t="str">
            <v>陈玉思</v>
          </cell>
          <cell r="C43" t="str">
            <v>数据平台部</v>
          </cell>
          <cell r="D43" t="str">
            <v>工具开发组</v>
          </cell>
          <cell r="E43" t="str">
            <v>女</v>
          </cell>
          <cell r="F43">
            <v>1</v>
          </cell>
          <cell r="G43" t="str">
            <v>研究生</v>
          </cell>
          <cell r="H43" t="str">
            <v>河海大学</v>
          </cell>
          <cell r="I43" t="str">
            <v>/</v>
          </cell>
          <cell r="J43">
            <v>1.20197685183666</v>
          </cell>
          <cell r="K43" t="b">
            <v>0</v>
          </cell>
          <cell r="L43">
            <v>35</v>
          </cell>
          <cell r="M43">
            <v>18</v>
          </cell>
          <cell r="N43">
            <v>6</v>
          </cell>
          <cell r="O43">
            <v>1</v>
          </cell>
        </row>
        <row r="43">
          <cell r="S43">
            <v>2</v>
          </cell>
        </row>
        <row r="43">
          <cell r="U43">
            <v>1</v>
          </cell>
        </row>
        <row r="43">
          <cell r="W43" t="str">
            <v>适中</v>
          </cell>
        </row>
        <row r="44">
          <cell r="B44" t="str">
            <v>周浩</v>
          </cell>
          <cell r="C44" t="str">
            <v>数据平台部</v>
          </cell>
          <cell r="D44" t="str">
            <v>数据服务组</v>
          </cell>
          <cell r="E44" t="str">
            <v>男</v>
          </cell>
          <cell r="F44">
            <v>5</v>
          </cell>
          <cell r="G44" t="str">
            <v>研究生</v>
          </cell>
          <cell r="H44" t="str">
            <v>太原理工大学</v>
          </cell>
          <cell r="I44" t="str">
            <v>/</v>
          </cell>
          <cell r="J44">
            <v>2.44872863246509</v>
          </cell>
          <cell r="K44" t="b">
            <v>1</v>
          </cell>
          <cell r="L44">
            <v>6</v>
          </cell>
          <cell r="M44">
            <v>17</v>
          </cell>
          <cell r="N44">
            <v>20</v>
          </cell>
          <cell r="O44">
            <v>9</v>
          </cell>
        </row>
        <row r="44">
          <cell r="Q44">
            <v>2</v>
          </cell>
          <cell r="R44">
            <v>3</v>
          </cell>
          <cell r="S44">
            <v>3</v>
          </cell>
          <cell r="T44">
            <v>8</v>
          </cell>
          <cell r="U44">
            <v>14</v>
          </cell>
          <cell r="V44">
            <v>1</v>
          </cell>
          <cell r="W44" t="str">
            <v>超负荷</v>
          </cell>
        </row>
        <row r="45">
          <cell r="B45" t="str">
            <v>安新宜</v>
          </cell>
          <cell r="C45" t="str">
            <v>数据平台部</v>
          </cell>
          <cell r="D45" t="str">
            <v>数据服务组</v>
          </cell>
          <cell r="E45" t="str">
            <v>女</v>
          </cell>
          <cell r="F45">
            <v>2</v>
          </cell>
          <cell r="G45" t="str">
            <v>研究生</v>
          </cell>
          <cell r="H45" t="str">
            <v>南加州大学</v>
          </cell>
          <cell r="I45" t="str">
            <v>/</v>
          </cell>
          <cell r="J45">
            <v>2.6151435185282</v>
          </cell>
          <cell r="K45" t="b">
            <v>1</v>
          </cell>
          <cell r="L45">
            <v>21</v>
          </cell>
          <cell r="M45">
            <v>13</v>
          </cell>
          <cell r="N45">
            <v>4</v>
          </cell>
          <cell r="O45">
            <v>22</v>
          </cell>
        </row>
        <row r="45">
          <cell r="Q45">
            <v>1</v>
          </cell>
        </row>
        <row r="45">
          <cell r="S45">
            <v>1</v>
          </cell>
          <cell r="T45">
            <v>12</v>
          </cell>
          <cell r="U45">
            <v>19</v>
          </cell>
        </row>
        <row r="45">
          <cell r="W45" t="str">
            <v>超负荷</v>
          </cell>
        </row>
        <row r="46">
          <cell r="B46" t="str">
            <v>张放</v>
          </cell>
          <cell r="C46" t="str">
            <v>数据平台部</v>
          </cell>
          <cell r="D46" t="str">
            <v>数据服务组</v>
          </cell>
          <cell r="E46" t="str">
            <v>男</v>
          </cell>
          <cell r="F46">
            <v>2</v>
          </cell>
          <cell r="G46" t="str">
            <v>研究生</v>
          </cell>
          <cell r="H46" t="str">
            <v>南开大学</v>
          </cell>
          <cell r="I46" t="str">
            <v>/</v>
          </cell>
          <cell r="J46">
            <v>3.7372903563862</v>
          </cell>
          <cell r="K46" t="b">
            <v>1</v>
          </cell>
          <cell r="L46">
            <v>5</v>
          </cell>
          <cell r="M46">
            <v>11</v>
          </cell>
          <cell r="N46">
            <v>12</v>
          </cell>
          <cell r="O46">
            <v>25</v>
          </cell>
          <cell r="P46">
            <v>1</v>
          </cell>
          <cell r="Q46">
            <v>3</v>
          </cell>
          <cell r="R46">
            <v>2</v>
          </cell>
          <cell r="S46">
            <v>1</v>
          </cell>
          <cell r="T46">
            <v>21</v>
          </cell>
          <cell r="U46">
            <v>27</v>
          </cell>
        </row>
        <row r="46">
          <cell r="W46" t="str">
            <v>超负荷</v>
          </cell>
        </row>
        <row r="47">
          <cell r="B47" t="str">
            <v>任欣宇</v>
          </cell>
          <cell r="C47" t="str">
            <v>数据平台部</v>
          </cell>
          <cell r="D47" t="str">
            <v>数据服务组</v>
          </cell>
          <cell r="E47" t="str">
            <v>男</v>
          </cell>
          <cell r="F47">
            <v>0</v>
          </cell>
          <cell r="G47" t="str">
            <v>研究生</v>
          </cell>
          <cell r="H47" t="str">
            <v>长安大学</v>
          </cell>
          <cell r="I47" t="str">
            <v>/</v>
          </cell>
          <cell r="J47">
            <v>2.33637962963549</v>
          </cell>
          <cell r="K47" t="b">
            <v>1</v>
          </cell>
          <cell r="L47">
            <v>23</v>
          </cell>
          <cell r="M47">
            <v>12</v>
          </cell>
          <cell r="N47">
            <v>8</v>
          </cell>
          <cell r="O47">
            <v>17</v>
          </cell>
        </row>
        <row r="47">
          <cell r="Q47">
            <v>1</v>
          </cell>
        </row>
        <row r="47">
          <cell r="S47">
            <v>1</v>
          </cell>
          <cell r="T47">
            <v>23</v>
          </cell>
          <cell r="U47">
            <v>36</v>
          </cell>
          <cell r="V47">
            <v>2</v>
          </cell>
          <cell r="W47" t="str">
            <v>超负荷</v>
          </cell>
        </row>
        <row r="48">
          <cell r="B48" t="str">
            <v>刘金良</v>
          </cell>
          <cell r="C48" t="str">
            <v>数据平台部</v>
          </cell>
          <cell r="D48" t="str">
            <v>数据服务组</v>
          </cell>
          <cell r="E48" t="str">
            <v>男</v>
          </cell>
          <cell r="F48">
            <v>12</v>
          </cell>
          <cell r="G48" t="str">
            <v>研究生</v>
          </cell>
          <cell r="H48" t="str">
            <v>浙江工业大学</v>
          </cell>
          <cell r="I48" t="str">
            <v>/</v>
          </cell>
          <cell r="J48">
            <v>2.82527263374909</v>
          </cell>
          <cell r="K48" t="b">
            <v>1</v>
          </cell>
          <cell r="L48">
            <v>1</v>
          </cell>
          <cell r="M48">
            <v>6</v>
          </cell>
          <cell r="N48">
            <v>42</v>
          </cell>
          <cell r="O48">
            <v>5</v>
          </cell>
        </row>
        <row r="48">
          <cell r="R48">
            <v>1</v>
          </cell>
          <cell r="S48">
            <v>3</v>
          </cell>
          <cell r="T48">
            <v>1</v>
          </cell>
          <cell r="U48">
            <v>2</v>
          </cell>
        </row>
        <row r="48">
          <cell r="W48" t="str">
            <v>适中</v>
          </cell>
        </row>
        <row r="49">
          <cell r="B49" t="str">
            <v>吴证</v>
          </cell>
          <cell r="C49" t="str">
            <v>数据平台部</v>
          </cell>
          <cell r="D49" t="str">
            <v>应用开发组&amp;运维支持组负责人</v>
          </cell>
          <cell r="E49" t="str">
            <v>男</v>
          </cell>
          <cell r="F49">
            <v>17</v>
          </cell>
          <cell r="G49" t="str">
            <v>研究生</v>
          </cell>
          <cell r="H49" t="str">
            <v>上海交通大学</v>
          </cell>
          <cell r="I49" t="str">
            <v>/</v>
          </cell>
          <cell r="J49">
            <v>1.83442424243972</v>
          </cell>
          <cell r="K49" t="b">
            <v>0</v>
          </cell>
          <cell r="L49">
            <v>12</v>
          </cell>
          <cell r="M49">
            <v>25</v>
          </cell>
          <cell r="N49">
            <v>17</v>
          </cell>
          <cell r="O49">
            <v>1</v>
          </cell>
        </row>
        <row r="49">
          <cell r="S49">
            <v>0</v>
          </cell>
        </row>
        <row r="50">
          <cell r="B50" t="str">
            <v>梅凯磊</v>
          </cell>
          <cell r="C50" t="str">
            <v>数据平台部</v>
          </cell>
          <cell r="D50" t="str">
            <v>应用开发组</v>
          </cell>
          <cell r="E50" t="str">
            <v>男</v>
          </cell>
          <cell r="F50">
            <v>3</v>
          </cell>
          <cell r="G50" t="str">
            <v>研究生</v>
          </cell>
          <cell r="H50" t="str">
            <v>华东师范大学</v>
          </cell>
          <cell r="I50" t="str">
            <v>/</v>
          </cell>
          <cell r="J50">
            <v>1.48300213674464</v>
          </cell>
          <cell r="K50" t="b">
            <v>0</v>
          </cell>
          <cell r="L50">
            <v>24</v>
          </cell>
          <cell r="M50">
            <v>20</v>
          </cell>
          <cell r="N50">
            <v>4</v>
          </cell>
          <cell r="O50">
            <v>4</v>
          </cell>
          <cell r="P50">
            <v>2</v>
          </cell>
          <cell r="Q50">
            <v>4</v>
          </cell>
          <cell r="R50">
            <v>2</v>
          </cell>
          <cell r="S50">
            <v>2</v>
          </cell>
          <cell r="T50">
            <v>9</v>
          </cell>
          <cell r="U50">
            <v>13</v>
          </cell>
        </row>
        <row r="50">
          <cell r="W50" t="str">
            <v>适中</v>
          </cell>
        </row>
        <row r="51">
          <cell r="B51" t="str">
            <v>李敏吉</v>
          </cell>
          <cell r="C51" t="str">
            <v>数据平台部</v>
          </cell>
          <cell r="D51" t="str">
            <v>应用开发组</v>
          </cell>
          <cell r="E51" t="str">
            <v>男</v>
          </cell>
          <cell r="F51">
            <v>1</v>
          </cell>
          <cell r="G51" t="str">
            <v>研究生</v>
          </cell>
          <cell r="H51" t="str">
            <v>华东师范大学</v>
          </cell>
          <cell r="I51" t="str">
            <v>/</v>
          </cell>
          <cell r="J51">
            <v>2.27771657248821</v>
          </cell>
          <cell r="K51" t="b">
            <v>1</v>
          </cell>
          <cell r="L51">
            <v>12</v>
          </cell>
          <cell r="M51">
            <v>22</v>
          </cell>
          <cell r="N51">
            <v>12</v>
          </cell>
          <cell r="O51">
            <v>13</v>
          </cell>
          <cell r="P51">
            <v>1</v>
          </cell>
          <cell r="Q51">
            <v>3</v>
          </cell>
          <cell r="R51">
            <v>3</v>
          </cell>
          <cell r="S51">
            <v>3</v>
          </cell>
          <cell r="T51">
            <v>5</v>
          </cell>
          <cell r="U51">
            <v>5</v>
          </cell>
        </row>
        <row r="51">
          <cell r="W51" t="str">
            <v>超负荷</v>
          </cell>
        </row>
        <row r="52">
          <cell r="B52" t="str">
            <v>万珊红</v>
          </cell>
          <cell r="C52" t="str">
            <v>数据平台部</v>
          </cell>
          <cell r="D52" t="str">
            <v>应用开发组</v>
          </cell>
          <cell r="E52" t="str">
            <v>女</v>
          </cell>
          <cell r="F52">
            <v>4</v>
          </cell>
          <cell r="G52" t="str">
            <v>研究生</v>
          </cell>
          <cell r="H52" t="str">
            <v>武汉大学</v>
          </cell>
          <cell r="I52" t="str">
            <v>/</v>
          </cell>
          <cell r="J52">
            <v>3.45441919193307</v>
          </cell>
          <cell r="K52" t="b">
            <v>1</v>
          </cell>
          <cell r="L52">
            <v>15</v>
          </cell>
          <cell r="M52">
            <v>9</v>
          </cell>
          <cell r="N52">
            <v>4</v>
          </cell>
          <cell r="O52">
            <v>27</v>
          </cell>
        </row>
        <row r="52">
          <cell r="Q52">
            <v>1</v>
          </cell>
          <cell r="R52">
            <v>2</v>
          </cell>
          <cell r="S52">
            <v>1</v>
          </cell>
          <cell r="T52">
            <v>15</v>
          </cell>
          <cell r="U52">
            <v>19</v>
          </cell>
          <cell r="V52">
            <v>3</v>
          </cell>
          <cell r="W52" t="str">
            <v>超负荷</v>
          </cell>
        </row>
        <row r="53">
          <cell r="B53" t="str">
            <v>刘惠</v>
          </cell>
          <cell r="C53" t="str">
            <v>数据平台部</v>
          </cell>
          <cell r="D53" t="str">
            <v>应用开发组</v>
          </cell>
          <cell r="E53" t="str">
            <v>女</v>
          </cell>
          <cell r="F53">
            <v>8</v>
          </cell>
          <cell r="G53" t="str">
            <v>研究生</v>
          </cell>
          <cell r="H53" t="str">
            <v>浙江大学</v>
          </cell>
          <cell r="I53" t="str">
            <v>/</v>
          </cell>
          <cell r="J53">
            <v>0.841746913584777</v>
          </cell>
          <cell r="K53" t="b">
            <v>0</v>
          </cell>
          <cell r="L53">
            <v>41</v>
          </cell>
          <cell r="M53">
            <v>1</v>
          </cell>
          <cell r="N53">
            <v>1</v>
          </cell>
          <cell r="O53">
            <v>2</v>
          </cell>
          <cell r="P53">
            <v>1</v>
          </cell>
          <cell r="Q53">
            <v>2</v>
          </cell>
          <cell r="R53">
            <v>1</v>
          </cell>
          <cell r="S53">
            <v>2</v>
          </cell>
          <cell r="T53">
            <v>3</v>
          </cell>
          <cell r="U53">
            <v>2</v>
          </cell>
        </row>
        <row r="53">
          <cell r="W53" t="str">
            <v>不饱和</v>
          </cell>
        </row>
        <row r="54">
          <cell r="B54" t="str">
            <v>佟嘉欣</v>
          </cell>
          <cell r="C54" t="str">
            <v>数据平台部</v>
          </cell>
          <cell r="D54" t="str">
            <v>应用开发组</v>
          </cell>
          <cell r="E54" t="str">
            <v>女</v>
          </cell>
          <cell r="F54">
            <v>0</v>
          </cell>
          <cell r="G54" t="str">
            <v>研究生</v>
          </cell>
          <cell r="H54" t="str">
            <v>华东师范大学</v>
          </cell>
          <cell r="I54" t="str">
            <v>/</v>
          </cell>
          <cell r="J54">
            <v>2.20125000000436</v>
          </cell>
          <cell r="K54" t="b">
            <v>1</v>
          </cell>
          <cell r="L54">
            <v>23</v>
          </cell>
          <cell r="M54">
            <v>20</v>
          </cell>
          <cell r="N54">
            <v>4</v>
          </cell>
          <cell r="O54">
            <v>15</v>
          </cell>
        </row>
        <row r="54">
          <cell r="Q54">
            <v>11</v>
          </cell>
        </row>
        <row r="54">
          <cell r="S54">
            <v>1</v>
          </cell>
          <cell r="T54">
            <v>3</v>
          </cell>
          <cell r="U54">
            <v>10</v>
          </cell>
          <cell r="V54">
            <v>1</v>
          </cell>
          <cell r="W54" t="str">
            <v>适中</v>
          </cell>
        </row>
        <row r="55">
          <cell r="B55" t="str">
            <v>张顺</v>
          </cell>
          <cell r="C55" t="str">
            <v>数据平台部</v>
          </cell>
          <cell r="D55" t="str">
            <v>应用开发组</v>
          </cell>
          <cell r="E55" t="str">
            <v>女</v>
          </cell>
          <cell r="F55">
            <v>0</v>
          </cell>
          <cell r="G55" t="str">
            <v>研究生</v>
          </cell>
          <cell r="H55" t="str">
            <v>大连理工大学</v>
          </cell>
          <cell r="I55" t="str">
            <v>/</v>
          </cell>
          <cell r="J55">
            <v>1.06639351852937</v>
          </cell>
          <cell r="K55" t="b">
            <v>0</v>
          </cell>
          <cell r="L55">
            <v>28</v>
          </cell>
          <cell r="M55">
            <v>30</v>
          </cell>
          <cell r="N55">
            <v>2</v>
          </cell>
          <cell r="O55">
            <v>0</v>
          </cell>
        </row>
        <row r="55">
          <cell r="S55">
            <v>1</v>
          </cell>
          <cell r="T55">
            <v>3</v>
          </cell>
        </row>
        <row r="55">
          <cell r="W55" t="str">
            <v>适中</v>
          </cell>
        </row>
        <row r="56">
          <cell r="B56" t="str">
            <v>冯晓煜</v>
          </cell>
          <cell r="C56" t="str">
            <v>数据平台部</v>
          </cell>
          <cell r="D56" t="str">
            <v>运维支持组</v>
          </cell>
          <cell r="E56" t="str">
            <v>男</v>
          </cell>
          <cell r="F56">
            <v>5</v>
          </cell>
          <cell r="G56" t="str">
            <v>研究生</v>
          </cell>
          <cell r="H56" t="str">
            <v>东华大学</v>
          </cell>
          <cell r="I56" t="str">
            <v>/</v>
          </cell>
          <cell r="J56">
            <v>1.67106666666805</v>
          </cell>
          <cell r="K56" t="b">
            <v>0</v>
          </cell>
          <cell r="L56">
            <v>11</v>
          </cell>
          <cell r="M56">
            <v>28</v>
          </cell>
          <cell r="N56">
            <v>9</v>
          </cell>
          <cell r="O56">
            <v>2</v>
          </cell>
        </row>
        <row r="56">
          <cell r="S56">
            <v>1</v>
          </cell>
          <cell r="T56">
            <v>1</v>
          </cell>
          <cell r="U56">
            <v>2</v>
          </cell>
        </row>
        <row r="56">
          <cell r="W56" t="str">
            <v>超负荷</v>
          </cell>
        </row>
        <row r="57">
          <cell r="B57" t="str">
            <v>冯潇</v>
          </cell>
          <cell r="C57" t="str">
            <v>数据平台部</v>
          </cell>
          <cell r="D57" t="str">
            <v>运维支持组</v>
          </cell>
          <cell r="E57" t="str">
            <v>女</v>
          </cell>
          <cell r="F57">
            <v>4</v>
          </cell>
          <cell r="G57" t="str">
            <v>研究生</v>
          </cell>
          <cell r="H57" t="str">
            <v>华东师范大学</v>
          </cell>
          <cell r="I57" t="str">
            <v>/</v>
          </cell>
          <cell r="J57">
            <v>2.11334999999614</v>
          </cell>
          <cell r="K57" t="b">
            <v>1</v>
          </cell>
          <cell r="L57">
            <v>12</v>
          </cell>
          <cell r="M57">
            <v>18</v>
          </cell>
          <cell r="N57">
            <v>12</v>
          </cell>
          <cell r="O57">
            <v>8</v>
          </cell>
          <cell r="P57">
            <v>1</v>
          </cell>
        </row>
        <row r="57">
          <cell r="R57">
            <v>1</v>
          </cell>
          <cell r="S57">
            <v>2</v>
          </cell>
          <cell r="T57">
            <v>3</v>
          </cell>
          <cell r="U57">
            <v>5</v>
          </cell>
        </row>
        <row r="57">
          <cell r="W57" t="str">
            <v>适中</v>
          </cell>
        </row>
        <row r="58">
          <cell r="B58" t="str">
            <v>陈朗</v>
          </cell>
          <cell r="C58" t="str">
            <v>数据平台部</v>
          </cell>
          <cell r="D58" t="str">
            <v>运维支持组</v>
          </cell>
          <cell r="E58" t="str">
            <v>男</v>
          </cell>
          <cell r="F58">
            <v>1</v>
          </cell>
          <cell r="G58" t="str">
            <v>大学本科</v>
          </cell>
          <cell r="H58" t="str">
            <v>上海理工大学</v>
          </cell>
          <cell r="I58" t="str">
            <v>/</v>
          </cell>
          <cell r="J58">
            <v>1.11939265536069</v>
          </cell>
          <cell r="K58" t="b">
            <v>0</v>
          </cell>
          <cell r="L58">
            <v>30</v>
          </cell>
          <cell r="M58">
            <v>25</v>
          </cell>
          <cell r="N58">
            <v>4</v>
          </cell>
          <cell r="O58">
            <v>0</v>
          </cell>
          <cell r="P58">
            <v>1</v>
          </cell>
        </row>
        <row r="58">
          <cell r="R58">
            <v>1</v>
          </cell>
          <cell r="S58">
            <v>1</v>
          </cell>
          <cell r="T58">
            <v>7</v>
          </cell>
          <cell r="U58">
            <v>7</v>
          </cell>
        </row>
        <row r="58">
          <cell r="W58" t="str">
            <v>适中</v>
          </cell>
        </row>
        <row r="59">
          <cell r="B59" t="str">
            <v>王新蕾</v>
          </cell>
          <cell r="C59" t="str">
            <v>数据平台部</v>
          </cell>
          <cell r="D59" t="str">
            <v>待定</v>
          </cell>
          <cell r="E59" t="str">
            <v>女</v>
          </cell>
          <cell r="F59">
            <v>1</v>
          </cell>
          <cell r="G59" t="str">
            <v>研究生</v>
          </cell>
          <cell r="H59" t="str">
            <v>中国科学技术大学</v>
          </cell>
          <cell r="I59" t="str">
            <v>/</v>
          </cell>
          <cell r="J59">
            <v>0</v>
          </cell>
          <cell r="K59" t="b">
            <v>0</v>
          </cell>
          <cell r="L59">
            <v>14</v>
          </cell>
          <cell r="M59">
            <v>0</v>
          </cell>
          <cell r="N59">
            <v>0</v>
          </cell>
          <cell r="O59">
            <v>0</v>
          </cell>
        </row>
        <row r="59">
          <cell r="S59">
            <v>0</v>
          </cell>
        </row>
        <row r="59">
          <cell r="W59" t="str">
            <v>不饱和</v>
          </cell>
        </row>
        <row r="60">
          <cell r="B60" t="str">
            <v>顾恺</v>
          </cell>
          <cell r="C60" t="str">
            <v>数据开发部</v>
          </cell>
          <cell r="D60" t="str">
            <v>负责人</v>
          </cell>
          <cell r="E60" t="str">
            <v>男</v>
          </cell>
          <cell r="F60">
            <v>19</v>
          </cell>
          <cell r="G60" t="str">
            <v>大学本科</v>
          </cell>
          <cell r="H60" t="str">
            <v>东华大学</v>
          </cell>
          <cell r="I60" t="str">
            <v>/</v>
          </cell>
          <cell r="J60">
            <v>3.64045992712338</v>
          </cell>
          <cell r="K60" t="b">
            <v>1</v>
          </cell>
          <cell r="L60">
            <v>2</v>
          </cell>
          <cell r="M60">
            <v>9</v>
          </cell>
          <cell r="N60">
            <v>17</v>
          </cell>
          <cell r="O60">
            <v>33</v>
          </cell>
        </row>
        <row r="60">
          <cell r="S60">
            <v>0</v>
          </cell>
        </row>
        <row r="61">
          <cell r="B61" t="str">
            <v>杨青</v>
          </cell>
          <cell r="C61" t="str">
            <v>数据开发部</v>
          </cell>
          <cell r="D61" t="str">
            <v>负责人</v>
          </cell>
          <cell r="E61" t="str">
            <v>女</v>
          </cell>
          <cell r="F61">
            <v>14</v>
          </cell>
          <cell r="G61" t="str">
            <v>研究生</v>
          </cell>
          <cell r="H61" t="str">
            <v>东华大学</v>
          </cell>
          <cell r="I61" t="str">
            <v>/</v>
          </cell>
          <cell r="J61">
            <v>3.15918981481324</v>
          </cell>
          <cell r="K61" t="b">
            <v>1</v>
          </cell>
          <cell r="L61">
            <v>5</v>
          </cell>
          <cell r="M61">
            <v>9</v>
          </cell>
          <cell r="N61">
            <v>30</v>
          </cell>
          <cell r="O61">
            <v>16</v>
          </cell>
        </row>
        <row r="61">
          <cell r="S61">
            <v>0</v>
          </cell>
        </row>
        <row r="62">
          <cell r="B62" t="str">
            <v>田振宇</v>
          </cell>
          <cell r="C62" t="str">
            <v>数据开发部</v>
          </cell>
          <cell r="D62" t="str">
            <v>模型设计组</v>
          </cell>
          <cell r="E62" t="str">
            <v>男</v>
          </cell>
          <cell r="F62">
            <v>2</v>
          </cell>
          <cell r="G62" t="str">
            <v>研究生</v>
          </cell>
          <cell r="H62" t="str">
            <v>上海大学</v>
          </cell>
          <cell r="I62" t="str">
            <v>/</v>
          </cell>
          <cell r="J62">
            <v>1.74376705653042</v>
          </cell>
          <cell r="K62" t="b">
            <v>0</v>
          </cell>
          <cell r="L62">
            <v>13</v>
          </cell>
          <cell r="M62">
            <v>20</v>
          </cell>
          <cell r="N62">
            <v>24</v>
          </cell>
          <cell r="O62">
            <v>0</v>
          </cell>
        </row>
        <row r="62">
          <cell r="S62">
            <v>1</v>
          </cell>
          <cell r="T62">
            <v>3</v>
          </cell>
        </row>
        <row r="62">
          <cell r="W62" t="str">
            <v>适中</v>
          </cell>
        </row>
        <row r="63">
          <cell r="B63" t="str">
            <v>陈科宇</v>
          </cell>
          <cell r="C63" t="str">
            <v>数据开发部</v>
          </cell>
          <cell r="D63" t="str">
            <v>应用开发组/风险管理</v>
          </cell>
          <cell r="E63" t="str">
            <v>女</v>
          </cell>
          <cell r="F63">
            <v>5</v>
          </cell>
          <cell r="G63" t="str">
            <v>大学本科</v>
          </cell>
          <cell r="H63" t="str">
            <v>江南大学</v>
          </cell>
          <cell r="I63" t="str">
            <v>/</v>
          </cell>
          <cell r="J63">
            <v>2.73674291939767</v>
          </cell>
          <cell r="K63" t="b">
            <v>1</v>
          </cell>
          <cell r="L63">
            <v>1</v>
          </cell>
          <cell r="M63">
            <v>18</v>
          </cell>
          <cell r="N63">
            <v>20</v>
          </cell>
          <cell r="O63">
            <v>12</v>
          </cell>
        </row>
        <row r="63">
          <cell r="S63">
            <v>1</v>
          </cell>
          <cell r="T63">
            <v>2</v>
          </cell>
          <cell r="U63">
            <v>3</v>
          </cell>
        </row>
        <row r="63">
          <cell r="W63" t="str">
            <v>适中</v>
          </cell>
        </row>
        <row r="64">
          <cell r="B64" t="str">
            <v>胡庆</v>
          </cell>
          <cell r="C64" t="str">
            <v>数据开发部</v>
          </cell>
          <cell r="D64" t="str">
            <v>应用开发组/风险管理</v>
          </cell>
          <cell r="E64" t="str">
            <v>男</v>
          </cell>
          <cell r="F64">
            <v>2</v>
          </cell>
          <cell r="G64" t="str">
            <v>研究生</v>
          </cell>
          <cell r="H64" t="str">
            <v>上海对外经贸大学</v>
          </cell>
          <cell r="I64" t="str">
            <v>/</v>
          </cell>
          <cell r="J64">
            <v>2.59485632183677</v>
          </cell>
          <cell r="K64" t="b">
            <v>0</v>
          </cell>
          <cell r="L64">
            <v>0</v>
          </cell>
          <cell r="M64">
            <v>19</v>
          </cell>
          <cell r="N64">
            <v>30</v>
          </cell>
          <cell r="O64">
            <v>9</v>
          </cell>
        </row>
        <row r="64">
          <cell r="Q64">
            <v>1</v>
          </cell>
        </row>
        <row r="64">
          <cell r="S64">
            <v>1</v>
          </cell>
          <cell r="T64">
            <v>7</v>
          </cell>
          <cell r="U64">
            <v>3</v>
          </cell>
        </row>
        <row r="64">
          <cell r="W64" t="str">
            <v>适中</v>
          </cell>
        </row>
        <row r="65">
          <cell r="B65" t="str">
            <v>张倩</v>
          </cell>
          <cell r="C65" t="str">
            <v>数据开发部</v>
          </cell>
          <cell r="D65" t="str">
            <v>应用开发组/风险管理</v>
          </cell>
          <cell r="E65" t="str">
            <v>女</v>
          </cell>
          <cell r="F65">
            <v>2</v>
          </cell>
          <cell r="G65" t="str">
            <v>研究生</v>
          </cell>
          <cell r="H65" t="str">
            <v>上海财经大学</v>
          </cell>
          <cell r="I65" t="str">
            <v>/</v>
          </cell>
          <cell r="J65">
            <v>2.38720760234068</v>
          </cell>
          <cell r="K65" t="b">
            <v>0</v>
          </cell>
          <cell r="L65">
            <v>2</v>
          </cell>
          <cell r="M65">
            <v>22</v>
          </cell>
          <cell r="N65">
            <v>31</v>
          </cell>
          <cell r="O65">
            <v>2</v>
          </cell>
        </row>
        <row r="65">
          <cell r="Q65">
            <v>2</v>
          </cell>
        </row>
        <row r="65">
          <cell r="S65">
            <v>1</v>
          </cell>
          <cell r="T65">
            <v>6</v>
          </cell>
          <cell r="U65">
            <v>9</v>
          </cell>
        </row>
        <row r="65">
          <cell r="W65" t="str">
            <v>适中</v>
          </cell>
        </row>
        <row r="66">
          <cell r="B66" t="str">
            <v>龚毅磊</v>
          </cell>
          <cell r="C66" t="str">
            <v>数据开发部</v>
          </cell>
          <cell r="D66" t="str">
            <v>应用开发组/监管报送</v>
          </cell>
          <cell r="E66" t="str">
            <v>男</v>
          </cell>
          <cell r="F66">
            <v>2</v>
          </cell>
          <cell r="G66" t="str">
            <v>研究生</v>
          </cell>
          <cell r="H66" t="str">
            <v>香港中文大学</v>
          </cell>
          <cell r="I66" t="str">
            <v>/</v>
          </cell>
          <cell r="J66">
            <v>2.81854838710335</v>
          </cell>
          <cell r="K66" t="b">
            <v>1</v>
          </cell>
          <cell r="L66">
            <v>2</v>
          </cell>
          <cell r="M66">
            <v>11</v>
          </cell>
          <cell r="N66">
            <v>42</v>
          </cell>
          <cell r="O66">
            <v>7</v>
          </cell>
          <cell r="P66">
            <v>1</v>
          </cell>
          <cell r="Q66">
            <v>7</v>
          </cell>
          <cell r="R66">
            <v>1</v>
          </cell>
          <cell r="S66">
            <v>2</v>
          </cell>
          <cell r="T66">
            <v>17</v>
          </cell>
          <cell r="U66">
            <v>11</v>
          </cell>
        </row>
        <row r="66">
          <cell r="W66" t="str">
            <v>超负荷</v>
          </cell>
        </row>
        <row r="67">
          <cell r="B67" t="str">
            <v>景丞</v>
          </cell>
          <cell r="C67" t="str">
            <v>数据开发部</v>
          </cell>
          <cell r="D67" t="str">
            <v>应用开发组/监管报送</v>
          </cell>
          <cell r="E67" t="str">
            <v>女</v>
          </cell>
          <cell r="F67">
            <v>6</v>
          </cell>
          <cell r="G67" t="str">
            <v>大学本科</v>
          </cell>
          <cell r="H67" t="str">
            <v>南京理工大学</v>
          </cell>
          <cell r="I67" t="str">
            <v>/</v>
          </cell>
          <cell r="J67">
            <v>2.76982279693214</v>
          </cell>
          <cell r="K67" t="b">
            <v>1</v>
          </cell>
          <cell r="L67">
            <v>6</v>
          </cell>
          <cell r="M67">
            <v>11</v>
          </cell>
          <cell r="N67">
            <v>30</v>
          </cell>
          <cell r="O67">
            <v>11</v>
          </cell>
          <cell r="P67">
            <v>1</v>
          </cell>
          <cell r="Q67">
            <v>28</v>
          </cell>
          <cell r="R67">
            <v>1</v>
          </cell>
          <cell r="S67">
            <v>5</v>
          </cell>
          <cell r="T67">
            <v>9</v>
          </cell>
          <cell r="U67">
            <v>22</v>
          </cell>
        </row>
        <row r="67">
          <cell r="W67" t="str">
            <v>适中</v>
          </cell>
        </row>
        <row r="68">
          <cell r="B68" t="str">
            <v>刘梦颖</v>
          </cell>
          <cell r="C68" t="str">
            <v>数据开发部</v>
          </cell>
          <cell r="D68" t="str">
            <v>应用开发组/监管报送</v>
          </cell>
          <cell r="E68" t="str">
            <v>女</v>
          </cell>
          <cell r="F68">
            <v>6</v>
          </cell>
          <cell r="G68" t="str">
            <v>研究生</v>
          </cell>
          <cell r="H68" t="str">
            <v>上海大学</v>
          </cell>
          <cell r="I68" t="str">
            <v>/</v>
          </cell>
          <cell r="J68">
            <v>2.6191165755917</v>
          </cell>
          <cell r="K68" t="b">
            <v>1</v>
          </cell>
          <cell r="L68">
            <v>4</v>
          </cell>
          <cell r="M68">
            <v>10</v>
          </cell>
          <cell r="N68">
            <v>42</v>
          </cell>
          <cell r="O68">
            <v>5</v>
          </cell>
          <cell r="P68">
            <v>2</v>
          </cell>
          <cell r="Q68">
            <v>8</v>
          </cell>
          <cell r="R68">
            <v>2</v>
          </cell>
          <cell r="S68">
            <v>1</v>
          </cell>
        </row>
        <row r="68">
          <cell r="U68">
            <v>12</v>
          </cell>
        </row>
        <row r="68">
          <cell r="W68" t="str">
            <v>超负荷</v>
          </cell>
        </row>
        <row r="69">
          <cell r="B69" t="str">
            <v>周龙</v>
          </cell>
          <cell r="C69" t="str">
            <v>数据开发部</v>
          </cell>
          <cell r="D69" t="str">
            <v>应用开发组</v>
          </cell>
          <cell r="E69" t="str">
            <v>男</v>
          </cell>
          <cell r="F69">
            <v>9</v>
          </cell>
          <cell r="G69" t="str">
            <v>大学本科</v>
          </cell>
          <cell r="H69" t="str">
            <v>北京科技大学</v>
          </cell>
          <cell r="I69" t="str">
            <v>骨干</v>
          </cell>
          <cell r="J69">
            <v>3.14809322034964</v>
          </cell>
          <cell r="K69" t="b">
            <v>1</v>
          </cell>
          <cell r="L69">
            <v>7</v>
          </cell>
          <cell r="M69">
            <v>7</v>
          </cell>
          <cell r="N69">
            <v>28</v>
          </cell>
          <cell r="O69">
            <v>17</v>
          </cell>
        </row>
        <row r="69">
          <cell r="Q69">
            <v>3</v>
          </cell>
          <cell r="R69">
            <v>1</v>
          </cell>
          <cell r="S69">
            <v>0</v>
          </cell>
        </row>
        <row r="69">
          <cell r="W69" t="str">
            <v>超负荷</v>
          </cell>
        </row>
        <row r="70">
          <cell r="B70" t="str">
            <v>王子枫</v>
          </cell>
          <cell r="C70" t="str">
            <v>数据开发部</v>
          </cell>
          <cell r="D70" t="str">
            <v>应用开发组/监管报送</v>
          </cell>
          <cell r="E70" t="str">
            <v>男</v>
          </cell>
          <cell r="F70">
            <v>2</v>
          </cell>
          <cell r="G70" t="str">
            <v>大学本科</v>
          </cell>
          <cell r="H70" t="str">
            <v>上海师范大学</v>
          </cell>
          <cell r="I70" t="str">
            <v>/</v>
          </cell>
          <cell r="J70">
            <v>2.97170765026087</v>
          </cell>
          <cell r="K70" t="b">
            <v>1</v>
          </cell>
          <cell r="L70">
            <v>2</v>
          </cell>
          <cell r="M70">
            <v>15</v>
          </cell>
          <cell r="N70">
            <v>28</v>
          </cell>
          <cell r="O70">
            <v>16</v>
          </cell>
        </row>
        <row r="70">
          <cell r="S70">
            <v>0</v>
          </cell>
          <cell r="T70">
            <v>8</v>
          </cell>
          <cell r="U70">
            <v>3</v>
          </cell>
          <cell r="V70">
            <v>1</v>
          </cell>
          <cell r="W70" t="str">
            <v>适中</v>
          </cell>
        </row>
        <row r="71">
          <cell r="B71" t="str">
            <v>卫彩萍</v>
          </cell>
          <cell r="C71" t="str">
            <v>数据开发部</v>
          </cell>
          <cell r="D71" t="str">
            <v>应用开发组/监管报送</v>
          </cell>
          <cell r="E71" t="str">
            <v>女</v>
          </cell>
          <cell r="F71">
            <v>1</v>
          </cell>
          <cell r="G71" t="str">
            <v>研究生</v>
          </cell>
          <cell r="H71" t="str">
            <v>东华大学</v>
          </cell>
          <cell r="I71" t="str">
            <v>/</v>
          </cell>
          <cell r="J71">
            <v>2.97301724138429</v>
          </cell>
          <cell r="K71" t="b">
            <v>1</v>
          </cell>
          <cell r="L71">
            <v>8</v>
          </cell>
          <cell r="M71">
            <v>12</v>
          </cell>
          <cell r="N71">
            <v>20</v>
          </cell>
          <cell r="O71">
            <v>18</v>
          </cell>
          <cell r="P71">
            <v>1</v>
          </cell>
          <cell r="Q71">
            <v>2</v>
          </cell>
        </row>
        <row r="71">
          <cell r="S71">
            <v>7</v>
          </cell>
          <cell r="T71">
            <v>14</v>
          </cell>
          <cell r="U71">
            <v>17</v>
          </cell>
        </row>
        <row r="71">
          <cell r="W71" t="str">
            <v>超负荷</v>
          </cell>
        </row>
        <row r="72">
          <cell r="B72" t="str">
            <v>曹宁远</v>
          </cell>
          <cell r="C72" t="str">
            <v>数据平台部</v>
          </cell>
          <cell r="D72" t="str">
            <v>工具开发组</v>
          </cell>
          <cell r="E72" t="str">
            <v>男</v>
          </cell>
          <cell r="F72">
            <v>5</v>
          </cell>
          <cell r="G72" t="str">
            <v>研究生</v>
          </cell>
          <cell r="H72" t="str">
            <v>北京理工大学</v>
          </cell>
          <cell r="I72" t="str">
            <v>组长</v>
          </cell>
          <cell r="J72">
            <v>2.00475633529162</v>
          </cell>
          <cell r="K72" t="b">
            <v>0</v>
          </cell>
          <cell r="L72">
            <v>12</v>
          </cell>
          <cell r="M72">
            <v>23</v>
          </cell>
          <cell r="N72">
            <v>14</v>
          </cell>
          <cell r="O72">
            <v>8</v>
          </cell>
          <cell r="P72">
            <v>1</v>
          </cell>
        </row>
        <row r="72">
          <cell r="R72">
            <v>1</v>
          </cell>
          <cell r="S72">
            <v>5</v>
          </cell>
        </row>
        <row r="72">
          <cell r="W72" t="str">
            <v>适中</v>
          </cell>
        </row>
        <row r="73">
          <cell r="B73" t="str">
            <v>徐倩茹</v>
          </cell>
          <cell r="C73" t="str">
            <v>数据开发部</v>
          </cell>
          <cell r="D73" t="str">
            <v>应用开发组/监管报送</v>
          </cell>
          <cell r="E73" t="str">
            <v>女</v>
          </cell>
          <cell r="F73">
            <v>4</v>
          </cell>
          <cell r="G73" t="str">
            <v>研究生</v>
          </cell>
          <cell r="H73" t="str">
            <v>东北财经大学</v>
          </cell>
          <cell r="I73" t="str">
            <v>/</v>
          </cell>
          <cell r="J73">
            <v>1.2779074074002</v>
          </cell>
          <cell r="K73" t="b">
            <v>0</v>
          </cell>
          <cell r="L73">
            <v>32</v>
          </cell>
          <cell r="M73">
            <v>18</v>
          </cell>
          <cell r="N73">
            <v>9</v>
          </cell>
          <cell r="O73">
            <v>1</v>
          </cell>
        </row>
        <row r="73">
          <cell r="Q73">
            <v>3</v>
          </cell>
        </row>
        <row r="73">
          <cell r="S73">
            <v>1</v>
          </cell>
        </row>
        <row r="73">
          <cell r="W73" t="str">
            <v>适中</v>
          </cell>
        </row>
        <row r="74">
          <cell r="B74" t="str">
            <v>陈佳宁</v>
          </cell>
          <cell r="C74" t="str">
            <v>数据开发部</v>
          </cell>
          <cell r="D74" t="str">
            <v>应用开发组/经营管理</v>
          </cell>
          <cell r="E74" t="str">
            <v>女</v>
          </cell>
          <cell r="F74">
            <v>0</v>
          </cell>
          <cell r="G74" t="str">
            <v>研究生</v>
          </cell>
          <cell r="H74" t="str">
            <v>中南财经政法大学</v>
          </cell>
          <cell r="I74" t="str">
            <v>/</v>
          </cell>
          <cell r="J74">
            <v>1.56365277778338</v>
          </cell>
          <cell r="K74" t="b">
            <v>0</v>
          </cell>
          <cell r="L74">
            <v>24</v>
          </cell>
          <cell r="M74">
            <v>17</v>
          </cell>
          <cell r="N74">
            <v>18</v>
          </cell>
          <cell r="O74">
            <v>1</v>
          </cell>
        </row>
        <row r="74">
          <cell r="S74">
            <v>1</v>
          </cell>
        </row>
        <row r="74">
          <cell r="W74" t="str">
            <v>不饱和</v>
          </cell>
        </row>
        <row r="75">
          <cell r="B75" t="str">
            <v>陈笑轩</v>
          </cell>
          <cell r="C75" t="str">
            <v>数据开发部</v>
          </cell>
          <cell r="D75" t="str">
            <v>应用开发组/经营管理</v>
          </cell>
          <cell r="E75" t="str">
            <v>女</v>
          </cell>
          <cell r="F75">
            <v>3</v>
          </cell>
          <cell r="G75" t="str">
            <v>研究生</v>
          </cell>
          <cell r="H75" t="str">
            <v>悉尼大学</v>
          </cell>
          <cell r="I75" t="str">
            <v>/</v>
          </cell>
          <cell r="J75">
            <v>1.54124999998776</v>
          </cell>
          <cell r="K75" t="b">
            <v>0</v>
          </cell>
          <cell r="L75">
            <v>12</v>
          </cell>
          <cell r="M75">
            <v>30</v>
          </cell>
          <cell r="N75">
            <v>12</v>
          </cell>
          <cell r="O75">
            <v>0</v>
          </cell>
        </row>
        <row r="75">
          <cell r="Q75">
            <v>1</v>
          </cell>
        </row>
        <row r="75">
          <cell r="S75">
            <v>1</v>
          </cell>
          <cell r="T75">
            <v>7</v>
          </cell>
          <cell r="U75">
            <v>1</v>
          </cell>
        </row>
        <row r="75">
          <cell r="W75" t="str">
            <v>适中</v>
          </cell>
        </row>
        <row r="76">
          <cell r="B76" t="str">
            <v>胡雯</v>
          </cell>
          <cell r="C76" t="str">
            <v>数据开发部</v>
          </cell>
          <cell r="D76" t="str">
            <v>应用开发组/经营管理</v>
          </cell>
          <cell r="E76" t="str">
            <v>女</v>
          </cell>
          <cell r="F76">
            <v>3</v>
          </cell>
          <cell r="G76" t="str">
            <v>大学本科</v>
          </cell>
          <cell r="H76" t="str">
            <v>上海财经大学</v>
          </cell>
          <cell r="I76" t="str">
            <v>/</v>
          </cell>
          <cell r="J76">
            <v>1.32944444444061</v>
          </cell>
          <cell r="K76" t="b">
            <v>0</v>
          </cell>
          <cell r="L76">
            <v>14</v>
          </cell>
          <cell r="M76">
            <v>38</v>
          </cell>
          <cell r="N76">
            <v>7</v>
          </cell>
          <cell r="O76">
            <v>2</v>
          </cell>
        </row>
        <row r="76">
          <cell r="Q76">
            <v>25</v>
          </cell>
        </row>
        <row r="76">
          <cell r="S76">
            <v>1</v>
          </cell>
          <cell r="T76">
            <v>10</v>
          </cell>
          <cell r="U76">
            <v>4</v>
          </cell>
        </row>
        <row r="76">
          <cell r="W76" t="str">
            <v>适中</v>
          </cell>
        </row>
        <row r="77">
          <cell r="B77" t="str">
            <v>梅苏源</v>
          </cell>
          <cell r="C77" t="str">
            <v>数据开发部</v>
          </cell>
          <cell r="D77" t="str">
            <v>应用开发组/经营管理</v>
          </cell>
          <cell r="E77" t="str">
            <v>男</v>
          </cell>
          <cell r="F77">
            <v>1</v>
          </cell>
          <cell r="G77" t="str">
            <v>研究生</v>
          </cell>
          <cell r="H77" t="str">
            <v>合肥工业大学</v>
          </cell>
          <cell r="I77" t="str">
            <v>/</v>
          </cell>
          <cell r="J77">
            <v>1.63499551971496</v>
          </cell>
          <cell r="K77" t="b">
            <v>0</v>
          </cell>
          <cell r="L77">
            <v>8</v>
          </cell>
          <cell r="M77">
            <v>45</v>
          </cell>
          <cell r="N77">
            <v>6</v>
          </cell>
          <cell r="O77">
            <v>3</v>
          </cell>
        </row>
        <row r="77">
          <cell r="Q77">
            <v>12</v>
          </cell>
        </row>
        <row r="77">
          <cell r="S77">
            <v>1</v>
          </cell>
          <cell r="T77">
            <v>11</v>
          </cell>
          <cell r="U77">
            <v>3</v>
          </cell>
        </row>
        <row r="77">
          <cell r="W77" t="str">
            <v>适中</v>
          </cell>
        </row>
        <row r="78">
          <cell r="B78" t="str">
            <v>阮靖龙</v>
          </cell>
          <cell r="C78" t="str">
            <v>数据开发部</v>
          </cell>
          <cell r="D78" t="str">
            <v>应用开发组/经营管理</v>
          </cell>
          <cell r="E78" t="str">
            <v>男</v>
          </cell>
          <cell r="F78">
            <v>1</v>
          </cell>
          <cell r="G78" t="str">
            <v>研究生</v>
          </cell>
          <cell r="H78" t="str">
            <v>华中师范大学</v>
          </cell>
          <cell r="I78" t="str">
            <v>/</v>
          </cell>
          <cell r="J78">
            <v>1.37168032787053</v>
          </cell>
          <cell r="K78" t="b">
            <v>0</v>
          </cell>
          <cell r="L78">
            <v>18</v>
          </cell>
          <cell r="M78">
            <v>39</v>
          </cell>
          <cell r="N78">
            <v>3</v>
          </cell>
          <cell r="O78">
            <v>1</v>
          </cell>
        </row>
        <row r="78">
          <cell r="Q78">
            <v>4</v>
          </cell>
        </row>
        <row r="78">
          <cell r="S78">
            <v>2</v>
          </cell>
          <cell r="T78">
            <v>2</v>
          </cell>
          <cell r="U78">
            <v>1</v>
          </cell>
        </row>
        <row r="78">
          <cell r="W78" t="str">
            <v>适中</v>
          </cell>
        </row>
        <row r="79">
          <cell r="B79" t="str">
            <v>张雅淇</v>
          </cell>
          <cell r="C79" t="str">
            <v>数据开发部</v>
          </cell>
          <cell r="D79" t="str">
            <v>应用开发组/经营管理</v>
          </cell>
          <cell r="E79" t="str">
            <v>女</v>
          </cell>
          <cell r="F79">
            <v>5</v>
          </cell>
          <cell r="G79" t="str">
            <v>大学本科</v>
          </cell>
          <cell r="H79" t="str">
            <v>东北大学</v>
          </cell>
          <cell r="I79" t="str">
            <v>/</v>
          </cell>
          <cell r="J79">
            <v>1.45581056464933</v>
          </cell>
          <cell r="K79" t="b">
            <v>0</v>
          </cell>
          <cell r="L79">
            <v>29</v>
          </cell>
          <cell r="M79">
            <v>16</v>
          </cell>
          <cell r="N79">
            <v>12</v>
          </cell>
          <cell r="O79">
            <v>4</v>
          </cell>
        </row>
        <row r="79">
          <cell r="Q79">
            <v>23</v>
          </cell>
        </row>
        <row r="79">
          <cell r="S79">
            <v>1</v>
          </cell>
          <cell r="T79">
            <v>9</v>
          </cell>
          <cell r="U79">
            <v>3</v>
          </cell>
        </row>
        <row r="79">
          <cell r="W79" t="str">
            <v>适中</v>
          </cell>
        </row>
        <row r="80">
          <cell r="B80" t="str">
            <v>陈晨</v>
          </cell>
          <cell r="C80" t="str">
            <v>数据开发部</v>
          </cell>
          <cell r="D80" t="str">
            <v>数仓开发组</v>
          </cell>
          <cell r="E80" t="str">
            <v>男</v>
          </cell>
          <cell r="F80">
            <v>1</v>
          </cell>
          <cell r="G80" t="str">
            <v>研究生</v>
          </cell>
          <cell r="H80" t="str">
            <v>上海大学</v>
          </cell>
          <cell r="I80" t="str">
            <v>/</v>
          </cell>
          <cell r="J80">
            <v>3.31908154122216</v>
          </cell>
          <cell r="K80" t="b">
            <v>1</v>
          </cell>
          <cell r="L80">
            <v>4</v>
          </cell>
          <cell r="M80">
            <v>3</v>
          </cell>
          <cell r="N80">
            <v>42</v>
          </cell>
          <cell r="O80">
            <v>13</v>
          </cell>
        </row>
        <row r="80">
          <cell r="Q80">
            <v>12</v>
          </cell>
        </row>
        <row r="80">
          <cell r="S80">
            <v>2</v>
          </cell>
          <cell r="T80">
            <v>19</v>
          </cell>
          <cell r="U80">
            <v>11</v>
          </cell>
          <cell r="V80">
            <v>1</v>
          </cell>
          <cell r="W80" t="str">
            <v>超负荷</v>
          </cell>
        </row>
        <row r="81">
          <cell r="B81" t="str">
            <v>袁凯</v>
          </cell>
          <cell r="C81" t="str">
            <v>数据开发部</v>
          </cell>
          <cell r="D81" t="str">
            <v>数仓开发组</v>
          </cell>
          <cell r="E81" t="str">
            <v>男</v>
          </cell>
          <cell r="F81">
            <v>2</v>
          </cell>
          <cell r="G81" t="str">
            <v>研究生</v>
          </cell>
          <cell r="H81" t="str">
            <v>中国科学院大学</v>
          </cell>
          <cell r="I81" t="str">
            <v>/</v>
          </cell>
          <cell r="J81">
            <v>2.78641165754678</v>
          </cell>
          <cell r="K81" t="b">
            <v>1</v>
          </cell>
          <cell r="L81">
            <v>4</v>
          </cell>
          <cell r="M81">
            <v>12</v>
          </cell>
          <cell r="N81">
            <v>32</v>
          </cell>
          <cell r="O81">
            <v>13</v>
          </cell>
        </row>
        <row r="81">
          <cell r="Q81">
            <v>14</v>
          </cell>
        </row>
        <row r="81">
          <cell r="S81">
            <v>1</v>
          </cell>
          <cell r="T81">
            <v>3</v>
          </cell>
          <cell r="U81">
            <v>12</v>
          </cell>
        </row>
        <row r="81">
          <cell r="W81" t="str">
            <v>超负荷</v>
          </cell>
        </row>
        <row r="82">
          <cell r="B82" t="str">
            <v>王萌萌</v>
          </cell>
          <cell r="C82" t="str">
            <v>数据开发部</v>
          </cell>
          <cell r="D82" t="str">
            <v>数仓开发组</v>
          </cell>
          <cell r="E82" t="str">
            <v>女</v>
          </cell>
          <cell r="F82">
            <v>2</v>
          </cell>
          <cell r="G82" t="str">
            <v>研究生</v>
          </cell>
          <cell r="H82" t="str">
            <v>上海市计算技术研究所</v>
          </cell>
          <cell r="I82" t="str">
            <v>/</v>
          </cell>
          <cell r="J82">
            <v>3.5245277777809</v>
          </cell>
          <cell r="K82" t="b">
            <v>1</v>
          </cell>
          <cell r="L82">
            <v>2</v>
          </cell>
          <cell r="M82">
            <v>9</v>
          </cell>
          <cell r="N82">
            <v>27</v>
          </cell>
          <cell r="O82">
            <v>22</v>
          </cell>
        </row>
        <row r="82">
          <cell r="Q82">
            <v>4</v>
          </cell>
        </row>
        <row r="82">
          <cell r="S82">
            <v>3</v>
          </cell>
          <cell r="T82">
            <v>8</v>
          </cell>
          <cell r="U82">
            <v>6</v>
          </cell>
          <cell r="V82">
            <v>1</v>
          </cell>
          <cell r="W82" t="str">
            <v>超负荷</v>
          </cell>
        </row>
        <row r="83">
          <cell r="B83" t="str">
            <v>赵雅婷</v>
          </cell>
          <cell r="C83" t="str">
            <v>数据开发部</v>
          </cell>
          <cell r="D83" t="str">
            <v>数仓开发组</v>
          </cell>
          <cell r="E83" t="str">
            <v>女</v>
          </cell>
          <cell r="F83">
            <v>2</v>
          </cell>
          <cell r="G83" t="str">
            <v>研究生</v>
          </cell>
          <cell r="H83" t="str">
            <v>东华大学</v>
          </cell>
          <cell r="I83" t="str">
            <v>/</v>
          </cell>
          <cell r="J83">
            <v>2.78553535354916</v>
          </cell>
          <cell r="K83" t="b">
            <v>1</v>
          </cell>
          <cell r="L83">
            <v>2</v>
          </cell>
          <cell r="M83">
            <v>10</v>
          </cell>
          <cell r="N83">
            <v>34</v>
          </cell>
          <cell r="O83">
            <v>9</v>
          </cell>
        </row>
        <row r="83">
          <cell r="S83">
            <v>1</v>
          </cell>
          <cell r="T83">
            <v>2</v>
          </cell>
        </row>
        <row r="83">
          <cell r="W83" t="str">
            <v>适中</v>
          </cell>
        </row>
        <row r="84">
          <cell r="B84" t="str">
            <v>李禹凝</v>
          </cell>
          <cell r="C84" t="str">
            <v>数据开发部</v>
          </cell>
          <cell r="D84" t="str">
            <v>数仓开发组</v>
          </cell>
          <cell r="E84" t="str">
            <v>女</v>
          </cell>
          <cell r="F84">
            <v>2</v>
          </cell>
          <cell r="G84" t="str">
            <v>研究生</v>
          </cell>
          <cell r="H84" t="str">
            <v>伦敦国王学院</v>
          </cell>
          <cell r="I84" t="str">
            <v>/</v>
          </cell>
          <cell r="J84">
            <v>2.38550546449766</v>
          </cell>
          <cell r="K84" t="b">
            <v>0</v>
          </cell>
          <cell r="L84">
            <v>2</v>
          </cell>
          <cell r="M84">
            <v>22</v>
          </cell>
          <cell r="N84">
            <v>33</v>
          </cell>
          <cell r="O84">
            <v>4</v>
          </cell>
        </row>
        <row r="84">
          <cell r="Q84">
            <v>1</v>
          </cell>
        </row>
        <row r="84">
          <cell r="S84">
            <v>1</v>
          </cell>
        </row>
        <row r="84">
          <cell r="W84" t="str">
            <v>适中</v>
          </cell>
        </row>
        <row r="85">
          <cell r="B85" t="str">
            <v>潘修滔</v>
          </cell>
          <cell r="C85" t="str">
            <v>数据开发部</v>
          </cell>
          <cell r="D85" t="str">
            <v>数仓开发组</v>
          </cell>
          <cell r="E85" t="str">
            <v>男</v>
          </cell>
          <cell r="F85">
            <v>2</v>
          </cell>
          <cell r="G85" t="str">
            <v>研究生</v>
          </cell>
          <cell r="H85" t="str">
            <v>浙江理工大学</v>
          </cell>
          <cell r="I85" t="str">
            <v>/</v>
          </cell>
          <cell r="J85">
            <v>1.84995370371228</v>
          </cell>
          <cell r="K85" t="b">
            <v>0</v>
          </cell>
          <cell r="L85">
            <v>3</v>
          </cell>
          <cell r="M85">
            <v>38</v>
          </cell>
          <cell r="N85">
            <v>17</v>
          </cell>
          <cell r="O85">
            <v>2</v>
          </cell>
        </row>
        <row r="85">
          <cell r="Q85">
            <v>2</v>
          </cell>
        </row>
        <row r="85">
          <cell r="S85">
            <v>1</v>
          </cell>
          <cell r="T85">
            <v>6</v>
          </cell>
          <cell r="U85">
            <v>6</v>
          </cell>
          <cell r="V85">
            <v>1</v>
          </cell>
          <cell r="W85" t="str">
            <v>适中</v>
          </cell>
        </row>
        <row r="86">
          <cell r="B86" t="str">
            <v>曹婕</v>
          </cell>
          <cell r="C86" t="str">
            <v>数据开发部</v>
          </cell>
          <cell r="D86" t="str">
            <v>数仓开发组</v>
          </cell>
          <cell r="E86" t="str">
            <v>女</v>
          </cell>
          <cell r="F86">
            <v>2</v>
          </cell>
          <cell r="G86" t="str">
            <v>研究生</v>
          </cell>
          <cell r="H86" t="str">
            <v>中国地质大学（北京）</v>
          </cell>
          <cell r="I86" t="str">
            <v>/</v>
          </cell>
        </row>
        <row r="86">
          <cell r="Q86">
            <v>1</v>
          </cell>
        </row>
        <row r="86">
          <cell r="S86">
            <v>1</v>
          </cell>
          <cell r="T86">
            <v>3</v>
          </cell>
        </row>
        <row r="86">
          <cell r="V86">
            <v>1</v>
          </cell>
          <cell r="W86" t="str">
            <v>适中</v>
          </cell>
        </row>
        <row r="87">
          <cell r="B87" t="str">
            <v>郑卞钰</v>
          </cell>
          <cell r="C87" t="str">
            <v>数据开发部</v>
          </cell>
          <cell r="D87" t="str">
            <v>数仓开发组</v>
          </cell>
          <cell r="E87" t="str">
            <v>女</v>
          </cell>
          <cell r="F87">
            <v>3</v>
          </cell>
          <cell r="G87" t="str">
            <v>研究生</v>
          </cell>
          <cell r="H87" t="str">
            <v>华中科技大学</v>
          </cell>
          <cell r="I87" t="str">
            <v>/</v>
          </cell>
          <cell r="J87">
            <v>2.78639880953207</v>
          </cell>
          <cell r="K87" t="b">
            <v>1</v>
          </cell>
          <cell r="L87">
            <v>3</v>
          </cell>
          <cell r="M87">
            <v>9</v>
          </cell>
          <cell r="N87">
            <v>36</v>
          </cell>
          <cell r="O87">
            <v>8</v>
          </cell>
        </row>
        <row r="87">
          <cell r="Q87">
            <v>6</v>
          </cell>
        </row>
        <row r="87">
          <cell r="S87">
            <v>1</v>
          </cell>
          <cell r="T87">
            <v>13</v>
          </cell>
          <cell r="U87">
            <v>11</v>
          </cell>
          <cell r="V87">
            <v>1</v>
          </cell>
          <cell r="W87" t="str">
            <v>超负荷</v>
          </cell>
        </row>
        <row r="88">
          <cell r="B88" t="str">
            <v>诸倩铷</v>
          </cell>
          <cell r="C88" t="str">
            <v>数据开发部</v>
          </cell>
          <cell r="D88" t="str">
            <v>数仓开发组</v>
          </cell>
          <cell r="E88" t="str">
            <v>女</v>
          </cell>
          <cell r="F88">
            <v>2</v>
          </cell>
          <cell r="G88" t="str">
            <v>研究生</v>
          </cell>
          <cell r="H88" t="str">
            <v>新加坡国立大学</v>
          </cell>
          <cell r="I88" t="str">
            <v>/</v>
          </cell>
          <cell r="J88">
            <v>1.93338293651427</v>
          </cell>
          <cell r="K88" t="b">
            <v>0</v>
          </cell>
          <cell r="L88">
            <v>3</v>
          </cell>
          <cell r="M88">
            <v>23</v>
          </cell>
          <cell r="N88">
            <v>29</v>
          </cell>
          <cell r="O88">
            <v>1</v>
          </cell>
        </row>
        <row r="88">
          <cell r="Q88">
            <v>2</v>
          </cell>
        </row>
        <row r="88">
          <cell r="S88">
            <v>1</v>
          </cell>
          <cell r="T88">
            <v>4</v>
          </cell>
        </row>
        <row r="88">
          <cell r="V88">
            <v>1</v>
          </cell>
          <cell r="W88" t="str">
            <v>适中</v>
          </cell>
        </row>
        <row r="89">
          <cell r="B89" t="str">
            <v>吴越</v>
          </cell>
          <cell r="C89" t="str">
            <v>数据开发部</v>
          </cell>
          <cell r="D89" t="str">
            <v>数仓开发组</v>
          </cell>
          <cell r="E89" t="str">
            <v>女</v>
          </cell>
          <cell r="F89">
            <v>0</v>
          </cell>
          <cell r="G89" t="str">
            <v>研究生</v>
          </cell>
          <cell r="H89" t="str">
            <v>华北电力大学</v>
          </cell>
          <cell r="I89" t="str">
            <v>/</v>
          </cell>
          <cell r="J89">
            <v>1.13697589099087</v>
          </cell>
          <cell r="K89" t="b">
            <v>0</v>
          </cell>
          <cell r="L89">
            <v>30</v>
          </cell>
          <cell r="M89">
            <v>15</v>
          </cell>
          <cell r="N89">
            <v>7</v>
          </cell>
          <cell r="O89">
            <v>1</v>
          </cell>
        </row>
        <row r="89">
          <cell r="S89">
            <v>1</v>
          </cell>
        </row>
        <row r="89">
          <cell r="W89" t="str">
            <v>不饱和</v>
          </cell>
        </row>
        <row r="90">
          <cell r="B90" t="str">
            <v>张必歌</v>
          </cell>
          <cell r="C90" t="str">
            <v>数据开发部</v>
          </cell>
          <cell r="D90" t="str">
            <v>需求接入组</v>
          </cell>
          <cell r="E90" t="str">
            <v>女</v>
          </cell>
          <cell r="F90">
            <v>3</v>
          </cell>
          <cell r="G90" t="str">
            <v>研究生</v>
          </cell>
          <cell r="H90" t="str">
            <v>吉林大学</v>
          </cell>
          <cell r="I90" t="str">
            <v>/</v>
          </cell>
          <cell r="J90">
            <v>0.346564814806334</v>
          </cell>
          <cell r="K90" t="b">
            <v>0</v>
          </cell>
          <cell r="L90">
            <v>56</v>
          </cell>
          <cell r="M90">
            <v>3</v>
          </cell>
          <cell r="N90">
            <v>0</v>
          </cell>
          <cell r="O90">
            <v>1</v>
          </cell>
        </row>
        <row r="90">
          <cell r="Q90">
            <v>3</v>
          </cell>
        </row>
        <row r="90">
          <cell r="S90">
            <v>0</v>
          </cell>
          <cell r="T90">
            <v>29</v>
          </cell>
          <cell r="U90">
            <v>3</v>
          </cell>
        </row>
        <row r="90">
          <cell r="W90" t="str">
            <v>不饱和</v>
          </cell>
        </row>
        <row r="91">
          <cell r="B91" t="str">
            <v>李凯文</v>
          </cell>
          <cell r="C91" t="str">
            <v>数据开发部</v>
          </cell>
          <cell r="D91" t="str">
            <v>需求接入组</v>
          </cell>
          <cell r="E91" t="str">
            <v>男</v>
          </cell>
          <cell r="F91">
            <v>2</v>
          </cell>
          <cell r="G91" t="str">
            <v>研究生</v>
          </cell>
          <cell r="H91" t="str">
            <v>中国科学技术大学</v>
          </cell>
          <cell r="I91" t="str">
            <v>/</v>
          </cell>
          <cell r="J91">
            <v>3.79044802868344</v>
          </cell>
          <cell r="K91" t="b">
            <v>1</v>
          </cell>
          <cell r="L91">
            <v>2</v>
          </cell>
          <cell r="M91">
            <v>11</v>
          </cell>
          <cell r="N91">
            <v>11</v>
          </cell>
          <cell r="O91">
            <v>38</v>
          </cell>
        </row>
        <row r="91">
          <cell r="Q91">
            <v>1</v>
          </cell>
          <cell r="R91">
            <v>2</v>
          </cell>
          <cell r="S91">
            <v>1</v>
          </cell>
          <cell r="T91">
            <v>3</v>
          </cell>
          <cell r="U91">
            <v>6</v>
          </cell>
        </row>
        <row r="91">
          <cell r="W91" t="str">
            <v>超负荷</v>
          </cell>
        </row>
        <row r="92">
          <cell r="B92" t="str">
            <v>杜乐</v>
          </cell>
          <cell r="C92" t="str">
            <v>数据开发部</v>
          </cell>
          <cell r="D92" t="str">
            <v>需求接入组</v>
          </cell>
          <cell r="E92" t="str">
            <v>男</v>
          </cell>
          <cell r="F92">
            <v>1</v>
          </cell>
          <cell r="G92" t="str">
            <v>研究生</v>
          </cell>
          <cell r="H92" t="str">
            <v>华东理工大学</v>
          </cell>
          <cell r="I92" t="str">
            <v>/</v>
          </cell>
          <cell r="J92">
            <v>3.18540489641847</v>
          </cell>
          <cell r="K92" t="b">
            <v>1</v>
          </cell>
          <cell r="L92">
            <v>4</v>
          </cell>
          <cell r="M92">
            <v>18</v>
          </cell>
          <cell r="N92">
            <v>17</v>
          </cell>
          <cell r="O92">
            <v>20</v>
          </cell>
        </row>
        <row r="92">
          <cell r="Q92">
            <v>2</v>
          </cell>
          <cell r="R92">
            <v>1</v>
          </cell>
          <cell r="S92">
            <v>1</v>
          </cell>
          <cell r="T92">
            <v>11</v>
          </cell>
          <cell r="U92">
            <v>64</v>
          </cell>
        </row>
        <row r="92">
          <cell r="W92" t="str">
            <v>超负荷</v>
          </cell>
        </row>
        <row r="93">
          <cell r="B93" t="str">
            <v>连静</v>
          </cell>
          <cell r="C93" t="str">
            <v>数据开发部</v>
          </cell>
          <cell r="D93" t="str">
            <v>需求接入组</v>
          </cell>
          <cell r="E93" t="str">
            <v>女</v>
          </cell>
          <cell r="F93">
            <v>1</v>
          </cell>
          <cell r="G93" t="str">
            <v>研究生</v>
          </cell>
          <cell r="H93" t="str">
            <v>吉林大学</v>
          </cell>
          <cell r="I93" t="str">
            <v>/</v>
          </cell>
          <cell r="J93">
            <v>2.98881720429598</v>
          </cell>
          <cell r="K93" t="b">
            <v>1</v>
          </cell>
          <cell r="L93">
            <v>13</v>
          </cell>
          <cell r="M93">
            <v>9</v>
          </cell>
          <cell r="N93">
            <v>11</v>
          </cell>
          <cell r="O93">
            <v>29</v>
          </cell>
        </row>
        <row r="93">
          <cell r="Q93">
            <v>3</v>
          </cell>
          <cell r="R93">
            <v>1</v>
          </cell>
          <cell r="S93">
            <v>1</v>
          </cell>
          <cell r="T93">
            <v>8</v>
          </cell>
          <cell r="U93">
            <v>6</v>
          </cell>
        </row>
        <row r="93">
          <cell r="W93" t="str">
            <v>适中</v>
          </cell>
        </row>
        <row r="94">
          <cell r="B94" t="str">
            <v>胡申民</v>
          </cell>
          <cell r="C94" t="str">
            <v>智能创新部</v>
          </cell>
          <cell r="D94" t="str">
            <v>负责人</v>
          </cell>
          <cell r="E94" t="str">
            <v>男</v>
          </cell>
          <cell r="F94">
            <v>9</v>
          </cell>
          <cell r="G94" t="str">
            <v>大学本科</v>
          </cell>
          <cell r="H94" t="str">
            <v>渤海大学</v>
          </cell>
          <cell r="I94" t="str">
            <v>/</v>
          </cell>
          <cell r="J94">
            <v>2.60234934087326</v>
          </cell>
          <cell r="K94" t="b">
            <v>1</v>
          </cell>
          <cell r="L94">
            <v>11</v>
          </cell>
          <cell r="M94">
            <v>9</v>
          </cell>
          <cell r="N94">
            <v>27</v>
          </cell>
          <cell r="O94">
            <v>12</v>
          </cell>
        </row>
        <row r="94">
          <cell r="S94">
            <v>0</v>
          </cell>
        </row>
        <row r="95">
          <cell r="B95" t="str">
            <v>陈超</v>
          </cell>
          <cell r="C95" t="str">
            <v>智能创新部</v>
          </cell>
          <cell r="D95" t="str">
            <v>待定</v>
          </cell>
          <cell r="E95" t="str">
            <v>女</v>
          </cell>
          <cell r="F95">
            <v>6</v>
          </cell>
          <cell r="G95" t="str">
            <v>研究生</v>
          </cell>
          <cell r="H95" t="str">
            <v>东南大学</v>
          </cell>
          <cell r="I95" t="str">
            <v>/</v>
          </cell>
        </row>
        <row r="95">
          <cell r="S95">
            <v>0</v>
          </cell>
        </row>
        <row r="95">
          <cell r="W95" t="str">
            <v>适中</v>
          </cell>
        </row>
        <row r="96">
          <cell r="B96" t="str">
            <v>祁鑫</v>
          </cell>
          <cell r="C96" t="str">
            <v>智能创新部</v>
          </cell>
          <cell r="D96" t="str">
            <v>AI基础研发组</v>
          </cell>
          <cell r="E96" t="str">
            <v>男</v>
          </cell>
          <cell r="F96">
            <v>3</v>
          </cell>
          <cell r="G96" t="str">
            <v>研究生</v>
          </cell>
          <cell r="H96" t="str">
            <v>昆士兰大学</v>
          </cell>
          <cell r="I96" t="str">
            <v>/</v>
          </cell>
          <cell r="J96">
            <v>2.04754629629897</v>
          </cell>
          <cell r="K96" t="b">
            <v>0</v>
          </cell>
          <cell r="L96">
            <v>9</v>
          </cell>
          <cell r="M96">
            <v>31</v>
          </cell>
          <cell r="N96">
            <v>14</v>
          </cell>
          <cell r="O96">
            <v>6</v>
          </cell>
        </row>
        <row r="96">
          <cell r="Q96">
            <v>1</v>
          </cell>
        </row>
        <row r="96">
          <cell r="S96">
            <v>1</v>
          </cell>
        </row>
        <row r="96">
          <cell r="U96">
            <v>1</v>
          </cell>
        </row>
        <row r="96">
          <cell r="W96" t="str">
            <v>适中</v>
          </cell>
        </row>
        <row r="97">
          <cell r="B97" t="str">
            <v>黄亦豪</v>
          </cell>
          <cell r="C97" t="str">
            <v>智能创新部</v>
          </cell>
          <cell r="D97" t="str">
            <v>AI基础研发组</v>
          </cell>
          <cell r="E97" t="str">
            <v>男</v>
          </cell>
          <cell r="F97">
            <v>1</v>
          </cell>
          <cell r="G97" t="str">
            <v>研究生</v>
          </cell>
          <cell r="H97" t="str">
            <v>同济大学</v>
          </cell>
          <cell r="I97" t="str">
            <v>/</v>
          </cell>
          <cell r="J97">
            <v>4.5298703703651</v>
          </cell>
          <cell r="K97" t="b">
            <v>1</v>
          </cell>
          <cell r="L97">
            <v>3</v>
          </cell>
          <cell r="M97">
            <v>11</v>
          </cell>
          <cell r="N97">
            <v>11</v>
          </cell>
          <cell r="O97">
            <v>35</v>
          </cell>
        </row>
        <row r="97">
          <cell r="R97">
            <v>1</v>
          </cell>
          <cell r="S97">
            <v>2</v>
          </cell>
          <cell r="T97">
            <v>1</v>
          </cell>
          <cell r="U97">
            <v>10</v>
          </cell>
        </row>
        <row r="97">
          <cell r="W97" t="str">
            <v>超负荷</v>
          </cell>
        </row>
        <row r="98">
          <cell r="B98" t="str">
            <v>王友轩</v>
          </cell>
          <cell r="C98" t="str">
            <v>智能创新部</v>
          </cell>
          <cell r="D98" t="str">
            <v>AI基础研发组</v>
          </cell>
          <cell r="E98" t="str">
            <v>男</v>
          </cell>
          <cell r="F98">
            <v>1</v>
          </cell>
          <cell r="G98" t="str">
            <v>研究生</v>
          </cell>
          <cell r="H98" t="str">
            <v>南京理工大学</v>
          </cell>
          <cell r="I98" t="str">
            <v>/</v>
          </cell>
          <cell r="J98">
            <v>4.03545833333531</v>
          </cell>
          <cell r="K98" t="b">
            <v>1</v>
          </cell>
          <cell r="L98">
            <v>6</v>
          </cell>
          <cell r="M98">
            <v>4</v>
          </cell>
          <cell r="N98">
            <v>16</v>
          </cell>
          <cell r="O98">
            <v>34</v>
          </cell>
        </row>
        <row r="98">
          <cell r="Q98">
            <v>7</v>
          </cell>
        </row>
        <row r="98">
          <cell r="S98">
            <v>1</v>
          </cell>
          <cell r="T98">
            <v>3</v>
          </cell>
          <cell r="U98">
            <v>7</v>
          </cell>
        </row>
        <row r="98">
          <cell r="W98" t="str">
            <v>超负荷</v>
          </cell>
        </row>
        <row r="99">
          <cell r="B99" t="str">
            <v>刘雅昕</v>
          </cell>
          <cell r="C99" t="str">
            <v>智能创新部</v>
          </cell>
          <cell r="D99" t="str">
            <v>AI基础研发组</v>
          </cell>
          <cell r="E99" t="str">
            <v>女</v>
          </cell>
          <cell r="F99">
            <v>1</v>
          </cell>
          <cell r="G99" t="str">
            <v>研究生</v>
          </cell>
          <cell r="H99" t="str">
            <v>哥伦比亚大学</v>
          </cell>
          <cell r="I99" t="str">
            <v>/</v>
          </cell>
          <cell r="J99">
            <v>0.91328625236263</v>
          </cell>
          <cell r="K99" t="b">
            <v>0</v>
          </cell>
          <cell r="L99">
            <v>46</v>
          </cell>
          <cell r="M99">
            <v>8</v>
          </cell>
          <cell r="N99">
            <v>3</v>
          </cell>
          <cell r="O99">
            <v>2</v>
          </cell>
        </row>
        <row r="99">
          <cell r="S99">
            <v>0</v>
          </cell>
        </row>
        <row r="99">
          <cell r="W99" t="str">
            <v>即将转岗，未安排重点工作</v>
          </cell>
        </row>
        <row r="100">
          <cell r="B100" t="str">
            <v>杨沁怡</v>
          </cell>
          <cell r="C100" t="str">
            <v>智能创新部</v>
          </cell>
          <cell r="D100" t="str">
            <v>风险模型组</v>
          </cell>
          <cell r="E100" t="str">
            <v>女</v>
          </cell>
          <cell r="F100">
            <v>0</v>
          </cell>
          <cell r="G100" t="str">
            <v>研究生</v>
          </cell>
          <cell r="H100" t="str">
            <v>新加坡管理大学</v>
          </cell>
          <cell r="I100" t="str">
            <v>/</v>
          </cell>
          <cell r="J100">
            <v>1.96525089606275</v>
          </cell>
          <cell r="K100" t="b">
            <v>0</v>
          </cell>
          <cell r="L100">
            <v>6</v>
          </cell>
          <cell r="M100">
            <v>33</v>
          </cell>
          <cell r="N100">
            <v>20</v>
          </cell>
          <cell r="O100">
            <v>3</v>
          </cell>
        </row>
        <row r="100">
          <cell r="Q100">
            <v>1</v>
          </cell>
        </row>
        <row r="100">
          <cell r="S100">
            <v>1</v>
          </cell>
        </row>
        <row r="100">
          <cell r="W100" t="str">
            <v>超负荷</v>
          </cell>
        </row>
        <row r="101">
          <cell r="B101" t="str">
            <v>赵家乐</v>
          </cell>
          <cell r="C101" t="str">
            <v>智能创新部</v>
          </cell>
          <cell r="D101" t="str">
            <v>AI基础研发组</v>
          </cell>
        </row>
        <row r="101">
          <cell r="F101" t="e">
            <v>#N/A</v>
          </cell>
        </row>
        <row r="101">
          <cell r="I101" t="str">
            <v>/</v>
          </cell>
          <cell r="J101">
            <v>2.56414444444701</v>
          </cell>
          <cell r="K101" t="b">
            <v>1</v>
          </cell>
          <cell r="L101">
            <v>2</v>
          </cell>
          <cell r="M101">
            <v>5</v>
          </cell>
          <cell r="N101">
            <v>17</v>
          </cell>
          <cell r="O101">
            <v>1</v>
          </cell>
        </row>
        <row r="101">
          <cell r="S101">
            <v>1</v>
          </cell>
        </row>
        <row r="101">
          <cell r="W101" t="str">
            <v>适中</v>
          </cell>
        </row>
        <row r="102">
          <cell r="B102" t="str">
            <v>张镓奇</v>
          </cell>
          <cell r="C102" t="str">
            <v>智能创新部</v>
          </cell>
          <cell r="D102" t="str">
            <v>AI产品运营组</v>
          </cell>
          <cell r="E102" t="str">
            <v>男</v>
          </cell>
          <cell r="F102">
            <v>3</v>
          </cell>
          <cell r="G102" t="str">
            <v>研究生</v>
          </cell>
          <cell r="H102" t="str">
            <v>新加坡国立大学</v>
          </cell>
          <cell r="I102" t="str">
            <v>/</v>
          </cell>
          <cell r="J102">
            <v>2.63681481483509</v>
          </cell>
          <cell r="K102" t="b">
            <v>1</v>
          </cell>
          <cell r="L102">
            <v>0</v>
          </cell>
          <cell r="M102">
            <v>11</v>
          </cell>
          <cell r="N102">
            <v>45</v>
          </cell>
          <cell r="O102">
            <v>4</v>
          </cell>
          <cell r="P102">
            <v>1</v>
          </cell>
          <cell r="Q102">
            <v>1</v>
          </cell>
          <cell r="R102">
            <v>1</v>
          </cell>
          <cell r="S102">
            <v>3</v>
          </cell>
          <cell r="T102">
            <v>2</v>
          </cell>
          <cell r="U102">
            <v>2</v>
          </cell>
        </row>
        <row r="102">
          <cell r="W102" t="str">
            <v>超负荷</v>
          </cell>
        </row>
        <row r="103">
          <cell r="B103" t="str">
            <v>张子璐</v>
          </cell>
          <cell r="C103" t="str">
            <v>智能创新部</v>
          </cell>
          <cell r="D103" t="str">
            <v>AI产品运营组</v>
          </cell>
          <cell r="E103" t="str">
            <v>女</v>
          </cell>
          <cell r="F103">
            <v>2</v>
          </cell>
          <cell r="G103" t="str">
            <v>研究生</v>
          </cell>
          <cell r="H103" t="str">
            <v>上海财经大学</v>
          </cell>
          <cell r="I103" t="str">
            <v>/</v>
          </cell>
          <cell r="J103">
            <v>1.16506830601548</v>
          </cell>
          <cell r="K103" t="b">
            <v>0</v>
          </cell>
          <cell r="L103">
            <v>28</v>
          </cell>
          <cell r="M103">
            <v>28</v>
          </cell>
          <cell r="N103">
            <v>3</v>
          </cell>
          <cell r="O103">
            <v>2</v>
          </cell>
          <cell r="P103">
            <v>1</v>
          </cell>
          <cell r="Q103">
            <v>2</v>
          </cell>
          <cell r="R103">
            <v>1</v>
          </cell>
          <cell r="S103">
            <v>3</v>
          </cell>
          <cell r="T103">
            <v>8</v>
          </cell>
          <cell r="U103">
            <v>1</v>
          </cell>
        </row>
        <row r="103">
          <cell r="W103" t="str">
            <v>适中</v>
          </cell>
        </row>
        <row r="104">
          <cell r="B104" t="str">
            <v>蒋捷</v>
          </cell>
          <cell r="C104" t="str">
            <v>智能创新部</v>
          </cell>
          <cell r="D104" t="str">
            <v>风险模型组</v>
          </cell>
          <cell r="E104" t="str">
            <v>男</v>
          </cell>
          <cell r="F104">
            <v>2</v>
          </cell>
          <cell r="G104" t="str">
            <v>研究生</v>
          </cell>
          <cell r="H104" t="str">
            <v>华东师范大学</v>
          </cell>
          <cell r="I104" t="str">
            <v>/</v>
          </cell>
          <cell r="J104">
            <v>2.23449453551009</v>
          </cell>
          <cell r="K104" t="b">
            <v>1</v>
          </cell>
          <cell r="L104">
            <v>15</v>
          </cell>
          <cell r="M104">
            <v>15</v>
          </cell>
          <cell r="N104">
            <v>23</v>
          </cell>
          <cell r="O104">
            <v>8</v>
          </cell>
          <cell r="P104">
            <v>1</v>
          </cell>
        </row>
        <row r="104">
          <cell r="R104">
            <v>1</v>
          </cell>
          <cell r="S104">
            <v>3</v>
          </cell>
        </row>
        <row r="104">
          <cell r="U104">
            <v>1</v>
          </cell>
        </row>
        <row r="104">
          <cell r="W104" t="str">
            <v>即将转岗，未安排重点工作</v>
          </cell>
        </row>
        <row r="105">
          <cell r="B105" t="str">
            <v>许天凝</v>
          </cell>
          <cell r="C105" t="str">
            <v>智能创新部</v>
          </cell>
          <cell r="D105" t="str">
            <v>风险模型组</v>
          </cell>
          <cell r="E105" t="str">
            <v>女</v>
          </cell>
          <cell r="F105">
            <v>2</v>
          </cell>
          <cell r="G105" t="str">
            <v>研究生</v>
          </cell>
          <cell r="H105" t="str">
            <v>上海对外经贸大学</v>
          </cell>
          <cell r="I105" t="str">
            <v>/</v>
          </cell>
          <cell r="J105">
            <v>2.18163082436208</v>
          </cell>
          <cell r="K105" t="b">
            <v>1</v>
          </cell>
          <cell r="L105">
            <v>6</v>
          </cell>
          <cell r="M105">
            <v>33</v>
          </cell>
          <cell r="N105">
            <v>19</v>
          </cell>
          <cell r="O105">
            <v>4</v>
          </cell>
        </row>
        <row r="105">
          <cell r="Q105">
            <v>1</v>
          </cell>
        </row>
        <row r="105">
          <cell r="S105">
            <v>1</v>
          </cell>
        </row>
        <row r="105">
          <cell r="W105" t="str">
            <v>适中</v>
          </cell>
        </row>
        <row r="106">
          <cell r="B106" t="str">
            <v>张峰</v>
          </cell>
          <cell r="C106" t="str">
            <v>智能创新部</v>
          </cell>
          <cell r="D106" t="str">
            <v>风险模型组</v>
          </cell>
          <cell r="E106" t="str">
            <v>男</v>
          </cell>
          <cell r="F106">
            <v>21</v>
          </cell>
          <cell r="G106" t="str">
            <v>研究生</v>
          </cell>
          <cell r="H106" t="str">
            <v>清华大学/
康奈尔大学</v>
          </cell>
          <cell r="I106" t="str">
            <v>/</v>
          </cell>
          <cell r="J106">
            <v>0.631701388847432</v>
          </cell>
          <cell r="K106" t="b">
            <v>0</v>
          </cell>
          <cell r="L106">
            <v>16</v>
          </cell>
          <cell r="M106">
            <v>0</v>
          </cell>
          <cell r="N106">
            <v>0</v>
          </cell>
          <cell r="O106">
            <v>0</v>
          </cell>
        </row>
        <row r="106">
          <cell r="S106">
            <v>1</v>
          </cell>
        </row>
        <row r="106">
          <cell r="W106" t="str">
            <v>不饱和</v>
          </cell>
        </row>
        <row r="107">
          <cell r="B107" t="str">
            <v>刘晓丹</v>
          </cell>
          <cell r="C107" t="str">
            <v>智能创新部</v>
          </cell>
          <cell r="D107" t="str">
            <v>风险模型组</v>
          </cell>
          <cell r="E107" t="str">
            <v>女</v>
          </cell>
          <cell r="F107">
            <v>2</v>
          </cell>
          <cell r="G107" t="str">
            <v>研究生</v>
          </cell>
          <cell r="H107" t="str">
            <v>电子科技大学</v>
          </cell>
          <cell r="I107" t="str">
            <v>/</v>
          </cell>
          <cell r="J107">
            <v>1.38917624520877</v>
          </cell>
          <cell r="K107" t="b">
            <v>0</v>
          </cell>
          <cell r="L107">
            <v>19</v>
          </cell>
          <cell r="M107">
            <v>28</v>
          </cell>
          <cell r="N107">
            <v>10</v>
          </cell>
          <cell r="O107">
            <v>1</v>
          </cell>
        </row>
        <row r="107">
          <cell r="S107">
            <v>1</v>
          </cell>
        </row>
        <row r="107">
          <cell r="W107" t="str">
            <v>适中</v>
          </cell>
        </row>
        <row r="108">
          <cell r="B108" t="str">
            <v>马文杰</v>
          </cell>
          <cell r="C108" t="str">
            <v>智能创新部</v>
          </cell>
          <cell r="D108" t="str">
            <v>风险模型组</v>
          </cell>
        </row>
        <row r="108">
          <cell r="F108" t="e">
            <v>#N/A</v>
          </cell>
          <cell r="G108" t="str">
            <v>研究生</v>
          </cell>
          <cell r="H108" t="str">
            <v>东北财经大学</v>
          </cell>
          <cell r="I108" t="str">
            <v>/</v>
          </cell>
          <cell r="J108">
            <v>2.25766393442955</v>
          </cell>
          <cell r="K108" t="b">
            <v>1</v>
          </cell>
          <cell r="L108">
            <v>8</v>
          </cell>
          <cell r="M108">
            <v>22</v>
          </cell>
          <cell r="N108">
            <v>26</v>
          </cell>
          <cell r="O108">
            <v>5</v>
          </cell>
        </row>
        <row r="108">
          <cell r="S108">
            <v>1</v>
          </cell>
        </row>
        <row r="108">
          <cell r="W108" t="str">
            <v>适中</v>
          </cell>
        </row>
      </sheetData>
      <sheetData sheetId="1"/>
      <sheetData sheetId="2"/>
      <sheetData sheetId="3">
        <row r="1">
          <cell r="D1" t="str">
            <v>姓名</v>
          </cell>
          <cell r="E1" t="str">
            <v>部门</v>
          </cell>
          <cell r="F1" t="str">
            <v>部门平均加班时长</v>
          </cell>
          <cell r="G1" t="str">
            <v>平均值项:加班时长</v>
          </cell>
          <cell r="H1" t="str">
            <v>高于部门均值</v>
          </cell>
          <cell r="I1" t="str">
            <v>求和项:1h以下</v>
          </cell>
          <cell r="J1" t="str">
            <v>求和项:加班1-2h</v>
          </cell>
          <cell r="K1" t="str">
            <v>求和项:加班2-4h</v>
          </cell>
          <cell r="L1" t="str">
            <v>求和项:加班4h以上</v>
          </cell>
        </row>
        <row r="2">
          <cell r="D2" t="str">
            <v>安新宜</v>
          </cell>
          <cell r="E2" t="str">
            <v>数据平台部</v>
          </cell>
          <cell r="F2">
            <v>2.02939535241624</v>
          </cell>
          <cell r="G2">
            <v>2.6151435185282</v>
          </cell>
          <cell r="H2" t="b">
            <v>1</v>
          </cell>
          <cell r="I2">
            <v>21</v>
          </cell>
          <cell r="J2">
            <v>13</v>
          </cell>
          <cell r="K2">
            <v>4</v>
          </cell>
          <cell r="L2">
            <v>22</v>
          </cell>
        </row>
        <row r="3">
          <cell r="D3" t="str">
            <v>白迪</v>
          </cell>
          <cell r="E3" t="str">
            <v>数据平台部</v>
          </cell>
          <cell r="F3">
            <v>2.02939535241624</v>
          </cell>
          <cell r="G3">
            <v>2.05115575397836</v>
          </cell>
          <cell r="H3" t="b">
            <v>1</v>
          </cell>
          <cell r="I3">
            <v>9</v>
          </cell>
          <cell r="J3">
            <v>35</v>
          </cell>
          <cell r="K3">
            <v>3</v>
          </cell>
          <cell r="L3">
            <v>9</v>
          </cell>
        </row>
        <row r="4">
          <cell r="D4" t="str">
            <v>曹宁远</v>
          </cell>
          <cell r="E4" t="str">
            <v>数据平台部</v>
          </cell>
          <cell r="F4">
            <v>2.02939535241624</v>
          </cell>
          <cell r="G4">
            <v>2.00475633529162</v>
          </cell>
          <cell r="H4" t="b">
            <v>0</v>
          </cell>
          <cell r="I4">
            <v>12</v>
          </cell>
          <cell r="J4">
            <v>23</v>
          </cell>
          <cell r="K4">
            <v>14</v>
          </cell>
          <cell r="L4">
            <v>8</v>
          </cell>
        </row>
        <row r="5">
          <cell r="D5" t="str">
            <v>陈晨</v>
          </cell>
          <cell r="E5" t="str">
            <v>数据开发部</v>
          </cell>
          <cell r="F5">
            <v>2.60626964384499</v>
          </cell>
          <cell r="G5">
            <v>3.31908154122216</v>
          </cell>
          <cell r="H5" t="b">
            <v>1</v>
          </cell>
          <cell r="I5">
            <v>4</v>
          </cell>
          <cell r="J5">
            <v>3</v>
          </cell>
          <cell r="K5">
            <v>42</v>
          </cell>
          <cell r="L5">
            <v>13</v>
          </cell>
        </row>
        <row r="6">
          <cell r="D6" t="str">
            <v>陈佳宁</v>
          </cell>
          <cell r="E6" t="str">
            <v>数据开发部</v>
          </cell>
          <cell r="F6">
            <v>2.60626964384499</v>
          </cell>
          <cell r="G6">
            <v>1.56365277778338</v>
          </cell>
          <cell r="H6" t="b">
            <v>0</v>
          </cell>
          <cell r="I6">
            <v>24</v>
          </cell>
          <cell r="J6">
            <v>17</v>
          </cell>
          <cell r="K6">
            <v>18</v>
          </cell>
          <cell r="L6">
            <v>1</v>
          </cell>
        </row>
        <row r="7">
          <cell r="D7" t="str">
            <v>陈科宇</v>
          </cell>
          <cell r="E7" t="str">
            <v>数据开发部</v>
          </cell>
          <cell r="F7">
            <v>2.60626964384499</v>
          </cell>
          <cell r="G7">
            <v>2.73674291939767</v>
          </cell>
          <cell r="H7" t="b">
            <v>1</v>
          </cell>
          <cell r="I7">
            <v>1</v>
          </cell>
          <cell r="J7">
            <v>18</v>
          </cell>
          <cell r="K7">
            <v>20</v>
          </cell>
          <cell r="L7">
            <v>12</v>
          </cell>
        </row>
        <row r="8">
          <cell r="D8" t="str">
            <v>陈朗</v>
          </cell>
          <cell r="E8" t="str">
            <v>数据平台部</v>
          </cell>
          <cell r="F8">
            <v>2.02939535241624</v>
          </cell>
          <cell r="G8">
            <v>1.11939265536069</v>
          </cell>
          <cell r="H8" t="b">
            <v>0</v>
          </cell>
          <cell r="I8">
            <v>30</v>
          </cell>
          <cell r="J8">
            <v>25</v>
          </cell>
          <cell r="K8">
            <v>4</v>
          </cell>
          <cell r="L8">
            <v>0</v>
          </cell>
        </row>
        <row r="9">
          <cell r="D9" t="str">
            <v>陈笑轩</v>
          </cell>
          <cell r="E9" t="str">
            <v>数据开发部</v>
          </cell>
          <cell r="F9">
            <v>2.60626964384499</v>
          </cell>
          <cell r="G9">
            <v>1.54124999998776</v>
          </cell>
          <cell r="H9" t="b">
            <v>0</v>
          </cell>
          <cell r="I9">
            <v>12</v>
          </cell>
          <cell r="J9">
            <v>30</v>
          </cell>
          <cell r="K9">
            <v>12</v>
          </cell>
          <cell r="L9">
            <v>0</v>
          </cell>
        </row>
        <row r="10">
          <cell r="D10" t="str">
            <v>陈玉思</v>
          </cell>
          <cell r="E10" t="str">
            <v>数据平台部</v>
          </cell>
          <cell r="F10">
            <v>2.02939535241624</v>
          </cell>
          <cell r="G10">
            <v>1.20197685183666</v>
          </cell>
          <cell r="H10" t="b">
            <v>0</v>
          </cell>
          <cell r="I10">
            <v>35</v>
          </cell>
          <cell r="J10">
            <v>18</v>
          </cell>
          <cell r="K10">
            <v>6</v>
          </cell>
          <cell r="L10">
            <v>1</v>
          </cell>
        </row>
        <row r="11">
          <cell r="D11" t="str">
            <v>崔建文</v>
          </cell>
          <cell r="E11" t="str">
            <v>智能创新部</v>
          </cell>
          <cell r="F11">
            <v>2.17420285227686</v>
          </cell>
          <cell r="G11">
            <v>2.72562056737135</v>
          </cell>
          <cell r="H11" t="b">
            <v>1</v>
          </cell>
          <cell r="I11">
            <v>9</v>
          </cell>
          <cell r="J11">
            <v>4</v>
          </cell>
          <cell r="K11">
            <v>25</v>
          </cell>
          <cell r="L11">
            <v>9</v>
          </cell>
        </row>
        <row r="12">
          <cell r="D12" t="str">
            <v>丁晨</v>
          </cell>
          <cell r="E12" t="str">
            <v>数据开发部</v>
          </cell>
          <cell r="F12">
            <v>2.60626964384499</v>
          </cell>
          <cell r="G12">
            <v>3.87094262294704</v>
          </cell>
          <cell r="H12" t="b">
            <v>1</v>
          </cell>
          <cell r="I12">
            <v>1</v>
          </cell>
          <cell r="J12">
            <v>4</v>
          </cell>
          <cell r="K12">
            <v>23</v>
          </cell>
          <cell r="L12">
            <v>33</v>
          </cell>
        </row>
        <row r="13">
          <cell r="D13" t="str">
            <v>杜乐</v>
          </cell>
          <cell r="E13" t="str">
            <v>数据开发部</v>
          </cell>
          <cell r="F13">
            <v>2.60626964384499</v>
          </cell>
          <cell r="G13">
            <v>3.18540489641847</v>
          </cell>
          <cell r="H13" t="b">
            <v>1</v>
          </cell>
          <cell r="I13">
            <v>4</v>
          </cell>
          <cell r="J13">
            <v>18</v>
          </cell>
          <cell r="K13">
            <v>17</v>
          </cell>
          <cell r="L13">
            <v>20</v>
          </cell>
        </row>
        <row r="14">
          <cell r="D14" t="str">
            <v>冯潇</v>
          </cell>
          <cell r="E14" t="str">
            <v>数据平台部</v>
          </cell>
          <cell r="F14">
            <v>2.02939535241624</v>
          </cell>
          <cell r="G14">
            <v>2.11334999999614</v>
          </cell>
          <cell r="H14" t="b">
            <v>1</v>
          </cell>
          <cell r="I14">
            <v>12</v>
          </cell>
          <cell r="J14">
            <v>18</v>
          </cell>
          <cell r="K14">
            <v>12</v>
          </cell>
          <cell r="L14">
            <v>8</v>
          </cell>
        </row>
        <row r="15">
          <cell r="D15" t="str">
            <v>冯晓煜</v>
          </cell>
          <cell r="E15" t="str">
            <v>数据平台部</v>
          </cell>
          <cell r="F15">
            <v>2.02939535241624</v>
          </cell>
          <cell r="G15">
            <v>1.67106666666805</v>
          </cell>
          <cell r="H15" t="b">
            <v>0</v>
          </cell>
          <cell r="I15">
            <v>11</v>
          </cell>
          <cell r="J15">
            <v>28</v>
          </cell>
          <cell r="K15">
            <v>9</v>
          </cell>
          <cell r="L15">
            <v>2</v>
          </cell>
        </row>
        <row r="16">
          <cell r="D16" t="str">
            <v>龚毅磊</v>
          </cell>
          <cell r="E16" t="str">
            <v>数据开发部</v>
          </cell>
          <cell r="F16">
            <v>2.60626964384499</v>
          </cell>
          <cell r="G16">
            <v>2.81854838710335</v>
          </cell>
          <cell r="H16" t="b">
            <v>1</v>
          </cell>
          <cell r="I16">
            <v>2</v>
          </cell>
          <cell r="J16">
            <v>11</v>
          </cell>
          <cell r="K16">
            <v>42</v>
          </cell>
          <cell r="L16">
            <v>7</v>
          </cell>
        </row>
        <row r="17">
          <cell r="D17" t="str">
            <v>顾恺</v>
          </cell>
          <cell r="E17" t="str">
            <v>数据开发部</v>
          </cell>
          <cell r="F17">
            <v>2.60626964384499</v>
          </cell>
          <cell r="G17">
            <v>3.64045992712338</v>
          </cell>
          <cell r="H17" t="b">
            <v>1</v>
          </cell>
          <cell r="I17">
            <v>2</v>
          </cell>
          <cell r="J17">
            <v>9</v>
          </cell>
          <cell r="K17">
            <v>17</v>
          </cell>
          <cell r="L17">
            <v>33</v>
          </cell>
        </row>
        <row r="18">
          <cell r="D18" t="str">
            <v>胡帆</v>
          </cell>
          <cell r="E18" t="str">
            <v>数据平台部</v>
          </cell>
          <cell r="F18">
            <v>2.02939535241624</v>
          </cell>
          <cell r="G18">
            <v>2.64566570879683</v>
          </cell>
          <cell r="H18" t="b">
            <v>1</v>
          </cell>
          <cell r="I18">
            <v>12</v>
          </cell>
          <cell r="J18">
            <v>4</v>
          </cell>
          <cell r="K18">
            <v>29</v>
          </cell>
          <cell r="L18">
            <v>13</v>
          </cell>
        </row>
        <row r="19">
          <cell r="D19" t="str">
            <v>胡庆</v>
          </cell>
          <cell r="E19" t="str">
            <v>数据开发部</v>
          </cell>
          <cell r="F19">
            <v>2.60626964384499</v>
          </cell>
          <cell r="G19">
            <v>2.59485632183677</v>
          </cell>
          <cell r="H19" t="b">
            <v>0</v>
          </cell>
          <cell r="I19">
            <v>0</v>
          </cell>
          <cell r="J19">
            <v>19</v>
          </cell>
          <cell r="K19">
            <v>30</v>
          </cell>
          <cell r="L19">
            <v>9</v>
          </cell>
        </row>
        <row r="20">
          <cell r="D20" t="str">
            <v>胡申民</v>
          </cell>
          <cell r="E20" t="str">
            <v>智能创新部</v>
          </cell>
          <cell r="F20">
            <v>2.17420285227686</v>
          </cell>
          <cell r="G20">
            <v>2.60234934087326</v>
          </cell>
          <cell r="H20" t="b">
            <v>1</v>
          </cell>
          <cell r="I20">
            <v>11</v>
          </cell>
          <cell r="J20">
            <v>9</v>
          </cell>
          <cell r="K20">
            <v>27</v>
          </cell>
          <cell r="L20">
            <v>12</v>
          </cell>
        </row>
        <row r="21">
          <cell r="D21" t="str">
            <v>胡雯</v>
          </cell>
          <cell r="E21" t="str">
            <v>数据开发部</v>
          </cell>
          <cell r="F21">
            <v>2.60626964384499</v>
          </cell>
          <cell r="G21">
            <v>1.32944444444061</v>
          </cell>
          <cell r="H21" t="b">
            <v>0</v>
          </cell>
          <cell r="I21">
            <v>14</v>
          </cell>
          <cell r="J21">
            <v>38</v>
          </cell>
          <cell r="K21">
            <v>7</v>
          </cell>
          <cell r="L21">
            <v>2</v>
          </cell>
        </row>
        <row r="22">
          <cell r="D22" t="str">
            <v>黄亦豪</v>
          </cell>
          <cell r="E22" t="str">
            <v>智能创新部</v>
          </cell>
          <cell r="F22">
            <v>2.17420285227686</v>
          </cell>
          <cell r="G22">
            <v>4.5298703703651</v>
          </cell>
          <cell r="H22" t="b">
            <v>1</v>
          </cell>
          <cell r="I22">
            <v>3</v>
          </cell>
          <cell r="J22">
            <v>11</v>
          </cell>
          <cell r="K22">
            <v>11</v>
          </cell>
          <cell r="L22">
            <v>35</v>
          </cell>
        </row>
        <row r="23">
          <cell r="D23" t="str">
            <v>黄哲睿</v>
          </cell>
          <cell r="E23" t="str">
            <v>数据开发部</v>
          </cell>
          <cell r="F23">
            <v>2.60626964384499</v>
          </cell>
          <cell r="G23">
            <v>3.95537634408608</v>
          </cell>
          <cell r="H23" t="b">
            <v>1</v>
          </cell>
          <cell r="I23">
            <v>8</v>
          </cell>
          <cell r="J23">
            <v>2</v>
          </cell>
          <cell r="K23">
            <v>12</v>
          </cell>
          <cell r="L23">
            <v>40</v>
          </cell>
        </row>
        <row r="24">
          <cell r="D24" t="str">
            <v>嵇雅娟</v>
          </cell>
          <cell r="E24" t="str">
            <v>数据平台部</v>
          </cell>
          <cell r="F24">
            <v>2.02939535241624</v>
          </cell>
          <cell r="G24">
            <v>1.10714052288277</v>
          </cell>
          <cell r="H24" t="b">
            <v>0</v>
          </cell>
          <cell r="I24">
            <v>21</v>
          </cell>
          <cell r="J24">
            <v>26</v>
          </cell>
          <cell r="K24">
            <v>4</v>
          </cell>
          <cell r="L24">
            <v>0</v>
          </cell>
        </row>
        <row r="25">
          <cell r="D25" t="str">
            <v>贾世林</v>
          </cell>
          <cell r="E25" t="str">
            <v>智能创新部</v>
          </cell>
          <cell r="F25">
            <v>2.17420285227686</v>
          </cell>
          <cell r="G25">
            <v>1.96302419354118</v>
          </cell>
          <cell r="H25" t="b">
            <v>0</v>
          </cell>
          <cell r="I25">
            <v>12</v>
          </cell>
          <cell r="J25">
            <v>33</v>
          </cell>
          <cell r="K25">
            <v>12</v>
          </cell>
          <cell r="L25">
            <v>5</v>
          </cell>
        </row>
        <row r="26">
          <cell r="D26" t="str">
            <v>蒋捷</v>
          </cell>
          <cell r="E26" t="str">
            <v>智能创新部</v>
          </cell>
          <cell r="F26">
            <v>2.17420285227686</v>
          </cell>
          <cell r="G26">
            <v>2.23449453551009</v>
          </cell>
          <cell r="H26" t="b">
            <v>1</v>
          </cell>
          <cell r="I26">
            <v>15</v>
          </cell>
          <cell r="J26">
            <v>15</v>
          </cell>
          <cell r="K26">
            <v>23</v>
          </cell>
          <cell r="L26">
            <v>8</v>
          </cell>
        </row>
        <row r="27">
          <cell r="D27" t="str">
            <v>景丞</v>
          </cell>
          <cell r="E27" t="str">
            <v>数据开发部</v>
          </cell>
          <cell r="F27">
            <v>2.60626964384499</v>
          </cell>
          <cell r="G27">
            <v>2.76982279693214</v>
          </cell>
          <cell r="H27" t="b">
            <v>1</v>
          </cell>
          <cell r="I27">
            <v>6</v>
          </cell>
          <cell r="J27">
            <v>11</v>
          </cell>
          <cell r="K27">
            <v>30</v>
          </cell>
          <cell r="L27">
            <v>11</v>
          </cell>
        </row>
        <row r="28">
          <cell r="D28" t="str">
            <v>鞠爱宁</v>
          </cell>
          <cell r="E28" t="str">
            <v>数据平台部</v>
          </cell>
          <cell r="F28">
            <v>2.02939535241624</v>
          </cell>
          <cell r="G28">
            <v>3.1462903225817</v>
          </cell>
          <cell r="H28" t="b">
            <v>1</v>
          </cell>
          <cell r="I28">
            <v>1</v>
          </cell>
          <cell r="J28">
            <v>6</v>
          </cell>
          <cell r="K28">
            <v>38</v>
          </cell>
          <cell r="L28">
            <v>17</v>
          </cell>
        </row>
        <row r="29">
          <cell r="D29" t="str">
            <v>康冉</v>
          </cell>
          <cell r="E29" t="str">
            <v>数据开发部</v>
          </cell>
          <cell r="F29">
            <v>2.60626964384499</v>
          </cell>
          <cell r="G29">
            <v>2.31887152779503</v>
          </cell>
          <cell r="H29" t="b">
            <v>0</v>
          </cell>
          <cell r="I29">
            <v>11</v>
          </cell>
          <cell r="J29">
            <v>7</v>
          </cell>
          <cell r="K29">
            <v>24</v>
          </cell>
          <cell r="L29">
            <v>6</v>
          </cell>
        </row>
        <row r="30">
          <cell r="D30" t="str">
            <v>兰昕蕾</v>
          </cell>
          <cell r="E30" t="str">
            <v>数据开发部</v>
          </cell>
          <cell r="F30">
            <v>2.60626964384499</v>
          </cell>
          <cell r="G30">
            <v>3.64984972678892</v>
          </cell>
          <cell r="H30" t="b">
            <v>1</v>
          </cell>
          <cell r="I30">
            <v>3</v>
          </cell>
          <cell r="J30">
            <v>4</v>
          </cell>
          <cell r="K30">
            <v>24</v>
          </cell>
          <cell r="L30">
            <v>30</v>
          </cell>
        </row>
        <row r="31">
          <cell r="D31" t="str">
            <v>李凯文</v>
          </cell>
          <cell r="E31" t="str">
            <v>数据开发部</v>
          </cell>
          <cell r="F31">
            <v>2.60626964384499</v>
          </cell>
          <cell r="G31">
            <v>3.79044802868344</v>
          </cell>
          <cell r="H31" t="b">
            <v>1</v>
          </cell>
          <cell r="I31">
            <v>2</v>
          </cell>
          <cell r="J31">
            <v>11</v>
          </cell>
          <cell r="K31">
            <v>11</v>
          </cell>
          <cell r="L31">
            <v>38</v>
          </cell>
        </row>
        <row r="32">
          <cell r="D32" t="str">
            <v>李梦霄</v>
          </cell>
          <cell r="E32" t="str">
            <v>智能创新部</v>
          </cell>
          <cell r="F32">
            <v>2.17420285227686</v>
          </cell>
          <cell r="G32">
            <v>1.99881826741305</v>
          </cell>
          <cell r="H32" t="b">
            <v>0</v>
          </cell>
          <cell r="I32">
            <v>11</v>
          </cell>
          <cell r="J32">
            <v>19</v>
          </cell>
          <cell r="K32">
            <v>27</v>
          </cell>
          <cell r="L32">
            <v>2</v>
          </cell>
        </row>
        <row r="33">
          <cell r="D33" t="str">
            <v>李敏吉</v>
          </cell>
          <cell r="E33" t="str">
            <v>数据平台部</v>
          </cell>
          <cell r="F33">
            <v>2.02939535241624</v>
          </cell>
          <cell r="G33">
            <v>2.27771657248821</v>
          </cell>
          <cell r="H33" t="b">
            <v>1</v>
          </cell>
          <cell r="I33">
            <v>12</v>
          </cell>
          <cell r="J33">
            <v>22</v>
          </cell>
          <cell r="K33">
            <v>12</v>
          </cell>
          <cell r="L33">
            <v>13</v>
          </cell>
        </row>
        <row r="34">
          <cell r="D34" t="str">
            <v>李天卓</v>
          </cell>
          <cell r="E34" t="str">
            <v>数据平台部</v>
          </cell>
          <cell r="F34">
            <v>2.02939535241624</v>
          </cell>
          <cell r="G34">
            <v>2.27817901234569</v>
          </cell>
          <cell r="H34" t="b">
            <v>1</v>
          </cell>
          <cell r="I34">
            <v>3</v>
          </cell>
          <cell r="J34">
            <v>33</v>
          </cell>
          <cell r="K34">
            <v>11</v>
          </cell>
          <cell r="L34">
            <v>7</v>
          </cell>
        </row>
        <row r="35">
          <cell r="D35" t="str">
            <v>李响</v>
          </cell>
          <cell r="E35" t="str">
            <v>智能创新部</v>
          </cell>
          <cell r="F35">
            <v>2.17420285227686</v>
          </cell>
          <cell r="G35">
            <v>1.44796464647569</v>
          </cell>
          <cell r="H35" t="b">
            <v>0</v>
          </cell>
          <cell r="I35">
            <v>25</v>
          </cell>
          <cell r="J35">
            <v>21</v>
          </cell>
          <cell r="K35">
            <v>6</v>
          </cell>
          <cell r="L35">
            <v>3</v>
          </cell>
        </row>
        <row r="36">
          <cell r="D36" t="str">
            <v>李禹凝</v>
          </cell>
          <cell r="E36" t="str">
            <v>数据开发部</v>
          </cell>
          <cell r="F36">
            <v>2.60626964384499</v>
          </cell>
          <cell r="G36">
            <v>2.38550546449766</v>
          </cell>
          <cell r="H36" t="b">
            <v>0</v>
          </cell>
          <cell r="I36">
            <v>2</v>
          </cell>
          <cell r="J36">
            <v>22</v>
          </cell>
          <cell r="K36">
            <v>33</v>
          </cell>
          <cell r="L36">
            <v>4</v>
          </cell>
        </row>
        <row r="37">
          <cell r="D37" t="str">
            <v>李卓辉</v>
          </cell>
          <cell r="E37" t="str">
            <v>数据开发部</v>
          </cell>
          <cell r="F37">
            <v>2.60626964384499</v>
          </cell>
          <cell r="G37">
            <v>2.42951506591832</v>
          </cell>
          <cell r="H37" t="b">
            <v>0</v>
          </cell>
          <cell r="I37">
            <v>0</v>
          </cell>
          <cell r="J37">
            <v>10</v>
          </cell>
          <cell r="K37">
            <v>49</v>
          </cell>
          <cell r="L37">
            <v>0</v>
          </cell>
        </row>
        <row r="38">
          <cell r="D38" t="str">
            <v>连静</v>
          </cell>
          <cell r="E38" t="str">
            <v>数据开发部</v>
          </cell>
          <cell r="F38">
            <v>2.60626964384499</v>
          </cell>
          <cell r="G38">
            <v>2.98881720429598</v>
          </cell>
          <cell r="H38" t="b">
            <v>1</v>
          </cell>
          <cell r="I38">
            <v>13</v>
          </cell>
          <cell r="J38">
            <v>9</v>
          </cell>
          <cell r="K38">
            <v>11</v>
          </cell>
          <cell r="L38">
            <v>29</v>
          </cell>
        </row>
        <row r="39">
          <cell r="D39" t="str">
            <v>林幸</v>
          </cell>
          <cell r="E39" t="str">
            <v>数据开发部</v>
          </cell>
          <cell r="F39">
            <v>2.60626964384499</v>
          </cell>
          <cell r="G39">
            <v>3.21125243663616</v>
          </cell>
          <cell r="H39" t="b">
            <v>1</v>
          </cell>
          <cell r="I39">
            <v>5</v>
          </cell>
          <cell r="J39">
            <v>7</v>
          </cell>
          <cell r="K39">
            <v>30</v>
          </cell>
          <cell r="L39">
            <v>15</v>
          </cell>
        </row>
        <row r="40">
          <cell r="D40" t="str">
            <v>刘惠</v>
          </cell>
          <cell r="E40" t="str">
            <v>数据平台部</v>
          </cell>
          <cell r="F40">
            <v>2.02939535241624</v>
          </cell>
          <cell r="G40">
            <v>0.841746913584777</v>
          </cell>
          <cell r="H40" t="b">
            <v>0</v>
          </cell>
          <cell r="I40">
            <v>41</v>
          </cell>
          <cell r="J40">
            <v>1</v>
          </cell>
          <cell r="K40">
            <v>1</v>
          </cell>
          <cell r="L40">
            <v>2</v>
          </cell>
        </row>
        <row r="41">
          <cell r="D41" t="str">
            <v>刘金良</v>
          </cell>
          <cell r="E41" t="str">
            <v>数据平台部</v>
          </cell>
          <cell r="F41">
            <v>2.02939535241624</v>
          </cell>
          <cell r="G41">
            <v>2.82527263374909</v>
          </cell>
          <cell r="H41" t="b">
            <v>1</v>
          </cell>
          <cell r="I41">
            <v>1</v>
          </cell>
          <cell r="J41">
            <v>6</v>
          </cell>
          <cell r="K41">
            <v>42</v>
          </cell>
          <cell r="L41">
            <v>5</v>
          </cell>
        </row>
        <row r="42">
          <cell r="D42" t="str">
            <v>刘梦颖</v>
          </cell>
          <cell r="E42" t="str">
            <v>数据开发部</v>
          </cell>
          <cell r="F42">
            <v>2.60626964384499</v>
          </cell>
          <cell r="G42">
            <v>2.6191165755917</v>
          </cell>
          <cell r="H42" t="b">
            <v>1</v>
          </cell>
          <cell r="I42">
            <v>4</v>
          </cell>
          <cell r="J42">
            <v>10</v>
          </cell>
          <cell r="K42">
            <v>42</v>
          </cell>
          <cell r="L42">
            <v>5</v>
          </cell>
        </row>
        <row r="43">
          <cell r="D43" t="str">
            <v>刘晓丹</v>
          </cell>
          <cell r="E43" t="str">
            <v>智能创新部</v>
          </cell>
          <cell r="F43">
            <v>2.17420285227686</v>
          </cell>
          <cell r="G43">
            <v>1.38917624520877</v>
          </cell>
          <cell r="H43" t="b">
            <v>0</v>
          </cell>
          <cell r="I43">
            <v>19</v>
          </cell>
          <cell r="J43">
            <v>28</v>
          </cell>
          <cell r="K43">
            <v>10</v>
          </cell>
          <cell r="L43">
            <v>1</v>
          </cell>
        </row>
        <row r="44">
          <cell r="D44" t="str">
            <v>刘雅昕</v>
          </cell>
          <cell r="E44" t="str">
            <v>智能创新部</v>
          </cell>
          <cell r="F44">
            <v>2.17420285227686</v>
          </cell>
          <cell r="G44">
            <v>0.91328625236263</v>
          </cell>
          <cell r="H44" t="b">
            <v>0</v>
          </cell>
          <cell r="I44">
            <v>46</v>
          </cell>
          <cell r="J44">
            <v>8</v>
          </cell>
          <cell r="K44">
            <v>3</v>
          </cell>
          <cell r="L44">
            <v>2</v>
          </cell>
        </row>
        <row r="45">
          <cell r="D45" t="str">
            <v>陆慧</v>
          </cell>
          <cell r="E45" t="str">
            <v>数据开发部</v>
          </cell>
          <cell r="F45">
            <v>2.60626964384499</v>
          </cell>
          <cell r="G45">
            <v>2.79798371646983</v>
          </cell>
          <cell r="H45" t="b">
            <v>1</v>
          </cell>
          <cell r="I45">
            <v>10</v>
          </cell>
          <cell r="J45">
            <v>4</v>
          </cell>
          <cell r="K45">
            <v>32</v>
          </cell>
          <cell r="L45">
            <v>12</v>
          </cell>
        </row>
        <row r="46">
          <cell r="D46" t="str">
            <v>陆凯华</v>
          </cell>
          <cell r="E46" t="str">
            <v>数据平台部</v>
          </cell>
          <cell r="F46">
            <v>2.02939535241624</v>
          </cell>
          <cell r="G46">
            <v>3.91481968811958</v>
          </cell>
          <cell r="H46" t="b">
            <v>1</v>
          </cell>
          <cell r="I46">
            <v>11</v>
          </cell>
          <cell r="J46">
            <v>11</v>
          </cell>
          <cell r="K46">
            <v>8</v>
          </cell>
          <cell r="L46">
            <v>27</v>
          </cell>
        </row>
        <row r="47">
          <cell r="D47" t="str">
            <v>陆文捷</v>
          </cell>
          <cell r="E47" t="str">
            <v>智能创新部</v>
          </cell>
          <cell r="F47">
            <v>2.17420285227686</v>
          </cell>
          <cell r="G47">
            <v>1.61931089743694</v>
          </cell>
          <cell r="H47" t="b">
            <v>0</v>
          </cell>
          <cell r="I47">
            <v>15</v>
          </cell>
          <cell r="J47">
            <v>20</v>
          </cell>
          <cell r="K47">
            <v>16</v>
          </cell>
          <cell r="L47">
            <v>1</v>
          </cell>
        </row>
        <row r="48">
          <cell r="D48" t="str">
            <v>陆怡晴</v>
          </cell>
          <cell r="E48" t="e">
            <v>#N/A</v>
          </cell>
          <cell r="F48" t="e">
            <v>#N/A</v>
          </cell>
          <cell r="G48">
            <v>0.440701058187101</v>
          </cell>
          <cell r="H48" t="e">
            <v>#N/A</v>
          </cell>
          <cell r="I48">
            <v>19</v>
          </cell>
          <cell r="J48">
            <v>2</v>
          </cell>
          <cell r="K48">
            <v>0</v>
          </cell>
          <cell r="L48">
            <v>0</v>
          </cell>
        </row>
        <row r="49">
          <cell r="D49" t="str">
            <v>罗仁杰</v>
          </cell>
          <cell r="E49" t="str">
            <v>数据开发部</v>
          </cell>
          <cell r="F49">
            <v>2.60626964384499</v>
          </cell>
          <cell r="G49">
            <v>2.8332375478981</v>
          </cell>
          <cell r="H49" t="b">
            <v>1</v>
          </cell>
          <cell r="I49">
            <v>3</v>
          </cell>
          <cell r="J49">
            <v>10</v>
          </cell>
          <cell r="K49">
            <v>38</v>
          </cell>
          <cell r="L49">
            <v>7</v>
          </cell>
        </row>
        <row r="50">
          <cell r="D50" t="str">
            <v>骆静龙</v>
          </cell>
          <cell r="E50" t="str">
            <v>数据开发部</v>
          </cell>
          <cell r="F50">
            <v>2.60626964384499</v>
          </cell>
          <cell r="G50">
            <v>2.69579566856235</v>
          </cell>
          <cell r="H50" t="b">
            <v>1</v>
          </cell>
          <cell r="I50">
            <v>5</v>
          </cell>
          <cell r="J50">
            <v>10</v>
          </cell>
          <cell r="K50">
            <v>33</v>
          </cell>
          <cell r="L50">
            <v>11</v>
          </cell>
        </row>
        <row r="51">
          <cell r="D51" t="str">
            <v>吕丽丽</v>
          </cell>
          <cell r="E51" t="str">
            <v>数据平台部</v>
          </cell>
          <cell r="F51">
            <v>2.02939535241624</v>
          </cell>
          <cell r="G51">
            <v>0.926403256714272</v>
          </cell>
          <cell r="H51" t="b">
            <v>0</v>
          </cell>
          <cell r="I51">
            <v>41</v>
          </cell>
          <cell r="J51">
            <v>15</v>
          </cell>
          <cell r="K51">
            <v>1</v>
          </cell>
          <cell r="L51">
            <v>1</v>
          </cell>
        </row>
        <row r="52">
          <cell r="D52" t="str">
            <v>马富强</v>
          </cell>
          <cell r="E52" t="str">
            <v>数据开发部</v>
          </cell>
          <cell r="F52">
            <v>2.60626964384499</v>
          </cell>
          <cell r="G52">
            <v>3.15106403013648</v>
          </cell>
          <cell r="H52" t="b">
            <v>1</v>
          </cell>
          <cell r="I52">
            <v>1</v>
          </cell>
          <cell r="J52">
            <v>2</v>
          </cell>
          <cell r="K52">
            <v>50</v>
          </cell>
          <cell r="L52">
            <v>6</v>
          </cell>
        </row>
        <row r="53">
          <cell r="D53" t="str">
            <v>马文杰</v>
          </cell>
          <cell r="E53" t="str">
            <v>智能创新部</v>
          </cell>
          <cell r="F53">
            <v>2.17420285227686</v>
          </cell>
          <cell r="G53">
            <v>2.25766393442955</v>
          </cell>
          <cell r="H53" t="b">
            <v>1</v>
          </cell>
          <cell r="I53">
            <v>8</v>
          </cell>
          <cell r="J53">
            <v>22</v>
          </cell>
          <cell r="K53">
            <v>26</v>
          </cell>
          <cell r="L53">
            <v>5</v>
          </cell>
        </row>
        <row r="54">
          <cell r="D54" t="str">
            <v>梅凯磊</v>
          </cell>
          <cell r="E54" t="str">
            <v>数据平台部</v>
          </cell>
          <cell r="F54">
            <v>2.02939535241624</v>
          </cell>
          <cell r="G54">
            <v>1.48300213674464</v>
          </cell>
          <cell r="H54" t="b">
            <v>0</v>
          </cell>
          <cell r="I54">
            <v>24</v>
          </cell>
          <cell r="J54">
            <v>20</v>
          </cell>
          <cell r="K54">
            <v>4</v>
          </cell>
          <cell r="L54">
            <v>4</v>
          </cell>
        </row>
        <row r="55">
          <cell r="D55" t="str">
            <v>梅苏源</v>
          </cell>
          <cell r="E55" t="str">
            <v>数据开发部</v>
          </cell>
          <cell r="F55">
            <v>2.60626964384499</v>
          </cell>
          <cell r="G55">
            <v>1.63499551971496</v>
          </cell>
          <cell r="H55" t="b">
            <v>0</v>
          </cell>
          <cell r="I55">
            <v>8</v>
          </cell>
          <cell r="J55">
            <v>45</v>
          </cell>
          <cell r="K55">
            <v>6</v>
          </cell>
          <cell r="L55">
            <v>3</v>
          </cell>
        </row>
        <row r="56">
          <cell r="D56" t="str">
            <v>潘修滔</v>
          </cell>
          <cell r="E56" t="str">
            <v>数据开发部</v>
          </cell>
          <cell r="F56">
            <v>2.60626964384499</v>
          </cell>
          <cell r="G56">
            <v>1.84995370371228</v>
          </cell>
          <cell r="H56" t="b">
            <v>0</v>
          </cell>
          <cell r="I56">
            <v>3</v>
          </cell>
          <cell r="J56">
            <v>38</v>
          </cell>
          <cell r="K56">
            <v>17</v>
          </cell>
          <cell r="L56">
            <v>2</v>
          </cell>
        </row>
        <row r="57">
          <cell r="D57" t="str">
            <v>濮敏</v>
          </cell>
          <cell r="E57" t="str">
            <v>数据平台部</v>
          </cell>
          <cell r="F57">
            <v>2.02939535241624</v>
          </cell>
          <cell r="G57">
            <v>0.626864406783371</v>
          </cell>
          <cell r="H57" t="b">
            <v>0</v>
          </cell>
          <cell r="I57">
            <v>56</v>
          </cell>
          <cell r="J57">
            <v>3</v>
          </cell>
          <cell r="K57">
            <v>0</v>
          </cell>
          <cell r="L57">
            <v>0</v>
          </cell>
        </row>
        <row r="58">
          <cell r="D58" t="str">
            <v>祁鑫</v>
          </cell>
          <cell r="E58" t="str">
            <v>智能创新部</v>
          </cell>
          <cell r="F58">
            <v>2.17420285227686</v>
          </cell>
          <cell r="G58">
            <v>2.04754629629897</v>
          </cell>
          <cell r="H58" t="b">
            <v>0</v>
          </cell>
          <cell r="I58">
            <v>9</v>
          </cell>
          <cell r="J58">
            <v>31</v>
          </cell>
          <cell r="K58">
            <v>14</v>
          </cell>
          <cell r="L58">
            <v>6</v>
          </cell>
        </row>
        <row r="59">
          <cell r="D59" t="str">
            <v>钱磊</v>
          </cell>
          <cell r="E59" t="str">
            <v>数据开发部</v>
          </cell>
          <cell r="F59">
            <v>2.60626964384499</v>
          </cell>
          <cell r="G59">
            <v>4.03373655913709</v>
          </cell>
          <cell r="H59" t="b">
            <v>1</v>
          </cell>
          <cell r="I59">
            <v>1</v>
          </cell>
          <cell r="J59">
            <v>6</v>
          </cell>
          <cell r="K59">
            <v>23</v>
          </cell>
          <cell r="L59">
            <v>32</v>
          </cell>
        </row>
        <row r="60">
          <cell r="D60" t="str">
            <v>邱玥</v>
          </cell>
          <cell r="E60" t="str">
            <v>智能创新部</v>
          </cell>
          <cell r="F60">
            <v>2.17420285227686</v>
          </cell>
          <cell r="G60">
            <v>1.65321038250686</v>
          </cell>
          <cell r="H60" t="b">
            <v>0</v>
          </cell>
          <cell r="I60">
            <v>7</v>
          </cell>
          <cell r="J60">
            <v>47</v>
          </cell>
          <cell r="K60">
            <v>5</v>
          </cell>
          <cell r="L60">
            <v>2</v>
          </cell>
        </row>
        <row r="61">
          <cell r="D61" t="str">
            <v>任欣宇</v>
          </cell>
          <cell r="E61" t="str">
            <v>数据平台部</v>
          </cell>
          <cell r="F61">
            <v>2.02939535241624</v>
          </cell>
          <cell r="G61">
            <v>2.33637962963549</v>
          </cell>
          <cell r="H61" t="b">
            <v>1</v>
          </cell>
          <cell r="I61">
            <v>23</v>
          </cell>
          <cell r="J61">
            <v>12</v>
          </cell>
          <cell r="K61">
            <v>8</v>
          </cell>
          <cell r="L61">
            <v>17</v>
          </cell>
        </row>
        <row r="62">
          <cell r="D62" t="str">
            <v>阮靖龙</v>
          </cell>
          <cell r="E62" t="str">
            <v>数据开发部</v>
          </cell>
          <cell r="F62">
            <v>2.60626964384499</v>
          </cell>
          <cell r="G62">
            <v>1.37168032787053</v>
          </cell>
          <cell r="H62" t="b">
            <v>0</v>
          </cell>
          <cell r="I62">
            <v>18</v>
          </cell>
          <cell r="J62">
            <v>39</v>
          </cell>
          <cell r="K62">
            <v>3</v>
          </cell>
          <cell r="L62">
            <v>1</v>
          </cell>
        </row>
        <row r="63">
          <cell r="D63" t="str">
            <v>沈志贇</v>
          </cell>
          <cell r="E63" t="str">
            <v>数据平台部</v>
          </cell>
          <cell r="F63">
            <v>2.02939535241624</v>
          </cell>
          <cell r="G63">
            <v>1.40965534978507</v>
          </cell>
          <cell r="H63" t="b">
            <v>0</v>
          </cell>
          <cell r="I63">
            <v>16</v>
          </cell>
          <cell r="J63">
            <v>36</v>
          </cell>
          <cell r="K63">
            <v>0</v>
          </cell>
          <cell r="L63">
            <v>2</v>
          </cell>
        </row>
        <row r="64">
          <cell r="D64" t="str">
            <v>史朋飞</v>
          </cell>
          <cell r="E64" t="str">
            <v>数据平台部</v>
          </cell>
          <cell r="F64">
            <v>2.02939535241624</v>
          </cell>
          <cell r="G64">
            <v>2.74783018868162</v>
          </cell>
          <cell r="H64" t="b">
            <v>1</v>
          </cell>
          <cell r="I64">
            <v>3</v>
          </cell>
          <cell r="J64">
            <v>5</v>
          </cell>
          <cell r="K64">
            <v>42</v>
          </cell>
          <cell r="L64">
            <v>3</v>
          </cell>
        </row>
        <row r="65">
          <cell r="D65" t="str">
            <v>田振宇</v>
          </cell>
          <cell r="E65" t="str">
            <v>数据开发部</v>
          </cell>
          <cell r="F65">
            <v>2.60626964384499</v>
          </cell>
          <cell r="G65">
            <v>1.74376705653042</v>
          </cell>
          <cell r="H65" t="b">
            <v>0</v>
          </cell>
          <cell r="I65">
            <v>13</v>
          </cell>
          <cell r="J65">
            <v>20</v>
          </cell>
          <cell r="K65">
            <v>24</v>
          </cell>
          <cell r="L65">
            <v>0</v>
          </cell>
        </row>
        <row r="66">
          <cell r="D66" t="str">
            <v>佟嘉欣</v>
          </cell>
          <cell r="E66" t="str">
            <v>数据平台部</v>
          </cell>
          <cell r="F66">
            <v>2.02939535241624</v>
          </cell>
          <cell r="G66">
            <v>2.20125000000436</v>
          </cell>
          <cell r="H66" t="b">
            <v>1</v>
          </cell>
          <cell r="I66">
            <v>23</v>
          </cell>
          <cell r="J66">
            <v>20</v>
          </cell>
          <cell r="K66">
            <v>4</v>
          </cell>
          <cell r="L66">
            <v>15</v>
          </cell>
        </row>
        <row r="67">
          <cell r="D67" t="str">
            <v>万珊红</v>
          </cell>
          <cell r="E67" t="str">
            <v>数据平台部</v>
          </cell>
          <cell r="F67">
            <v>2.02939535241624</v>
          </cell>
          <cell r="G67">
            <v>3.45441919193307</v>
          </cell>
          <cell r="H67" t="b">
            <v>1</v>
          </cell>
          <cell r="I67">
            <v>15</v>
          </cell>
          <cell r="J67">
            <v>9</v>
          </cell>
          <cell r="K67">
            <v>4</v>
          </cell>
          <cell r="L67">
            <v>27</v>
          </cell>
        </row>
        <row r="68">
          <cell r="D68" t="str">
            <v>王萌萌</v>
          </cell>
          <cell r="E68" t="str">
            <v>数据开发部</v>
          </cell>
          <cell r="F68">
            <v>2.60626964384499</v>
          </cell>
          <cell r="G68">
            <v>3.5245277777809</v>
          </cell>
          <cell r="H68" t="b">
            <v>1</v>
          </cell>
          <cell r="I68">
            <v>2</v>
          </cell>
          <cell r="J68">
            <v>9</v>
          </cell>
          <cell r="K68">
            <v>27</v>
          </cell>
          <cell r="L68">
            <v>22</v>
          </cell>
        </row>
        <row r="69">
          <cell r="D69" t="str">
            <v>王双钰</v>
          </cell>
          <cell r="E69" t="str">
            <v>数据平台部</v>
          </cell>
          <cell r="F69">
            <v>2.02939535241624</v>
          </cell>
          <cell r="G69">
            <v>0.826511299428017</v>
          </cell>
          <cell r="H69" t="b">
            <v>0</v>
          </cell>
          <cell r="I69">
            <v>41</v>
          </cell>
          <cell r="J69">
            <v>18</v>
          </cell>
          <cell r="K69">
            <v>0</v>
          </cell>
          <cell r="L69">
            <v>0</v>
          </cell>
        </row>
        <row r="70">
          <cell r="D70" t="str">
            <v>王新蕾</v>
          </cell>
          <cell r="E70" t="str">
            <v>数据平台部</v>
          </cell>
          <cell r="F70">
            <v>2.02939535241624</v>
          </cell>
          <cell r="G70">
            <v>0</v>
          </cell>
          <cell r="H70" t="b">
            <v>0</v>
          </cell>
          <cell r="I70">
            <v>14</v>
          </cell>
          <cell r="J70">
            <v>0</v>
          </cell>
          <cell r="K70">
            <v>0</v>
          </cell>
          <cell r="L70">
            <v>0</v>
          </cell>
        </row>
        <row r="71">
          <cell r="D71" t="str">
            <v>王言哲</v>
          </cell>
          <cell r="E71" t="str">
            <v>数据开发部</v>
          </cell>
          <cell r="F71">
            <v>2.60626964384499</v>
          </cell>
          <cell r="G71">
            <v>2.25574225866041</v>
          </cell>
          <cell r="H71" t="b">
            <v>0</v>
          </cell>
          <cell r="I71">
            <v>1</v>
          </cell>
          <cell r="J71">
            <v>39</v>
          </cell>
          <cell r="K71">
            <v>17</v>
          </cell>
          <cell r="L71">
            <v>4</v>
          </cell>
        </row>
        <row r="72">
          <cell r="D72" t="str">
            <v>王友轩</v>
          </cell>
          <cell r="E72" t="str">
            <v>智能创新部</v>
          </cell>
          <cell r="F72">
            <v>2.17420285227686</v>
          </cell>
          <cell r="G72">
            <v>4.03545833333531</v>
          </cell>
          <cell r="H72" t="b">
            <v>1</v>
          </cell>
          <cell r="I72">
            <v>6</v>
          </cell>
          <cell r="J72">
            <v>4</v>
          </cell>
          <cell r="K72">
            <v>16</v>
          </cell>
          <cell r="L72">
            <v>34</v>
          </cell>
        </row>
        <row r="73">
          <cell r="D73" t="str">
            <v>王正超</v>
          </cell>
          <cell r="E73" t="str">
            <v>数据平台部</v>
          </cell>
          <cell r="F73">
            <v>2.02939535241624</v>
          </cell>
          <cell r="G73">
            <v>2.74652298849682</v>
          </cell>
          <cell r="H73" t="b">
            <v>1</v>
          </cell>
          <cell r="I73">
            <v>6</v>
          </cell>
          <cell r="J73">
            <v>9</v>
          </cell>
          <cell r="K73">
            <v>33</v>
          </cell>
          <cell r="L73">
            <v>10</v>
          </cell>
        </row>
        <row r="74">
          <cell r="D74" t="str">
            <v>王子枫</v>
          </cell>
          <cell r="E74" t="str">
            <v>数据开发部</v>
          </cell>
          <cell r="F74">
            <v>2.60626964384499</v>
          </cell>
          <cell r="G74">
            <v>2.97170765026087</v>
          </cell>
          <cell r="H74" t="b">
            <v>1</v>
          </cell>
          <cell r="I74">
            <v>2</v>
          </cell>
          <cell r="J74">
            <v>15</v>
          </cell>
          <cell r="K74">
            <v>28</v>
          </cell>
          <cell r="L74">
            <v>16</v>
          </cell>
        </row>
        <row r="75">
          <cell r="D75" t="str">
            <v>卫彩萍</v>
          </cell>
          <cell r="E75" t="str">
            <v>数据开发部</v>
          </cell>
          <cell r="F75">
            <v>2.60626964384499</v>
          </cell>
          <cell r="G75">
            <v>2.97301724138429</v>
          </cell>
          <cell r="H75" t="b">
            <v>1</v>
          </cell>
          <cell r="I75">
            <v>8</v>
          </cell>
          <cell r="J75">
            <v>12</v>
          </cell>
          <cell r="K75">
            <v>20</v>
          </cell>
          <cell r="L75">
            <v>18</v>
          </cell>
        </row>
        <row r="76">
          <cell r="D76" t="str">
            <v>魏佳翔</v>
          </cell>
          <cell r="E76" t="str">
            <v>数据平台部</v>
          </cell>
          <cell r="F76">
            <v>2.02939535241624</v>
          </cell>
          <cell r="G76">
            <v>1.55132616486592</v>
          </cell>
          <cell r="H76" t="b">
            <v>0</v>
          </cell>
          <cell r="I76">
            <v>34</v>
          </cell>
          <cell r="J76">
            <v>14</v>
          </cell>
          <cell r="K76">
            <v>8</v>
          </cell>
          <cell r="L76">
            <v>6</v>
          </cell>
        </row>
        <row r="77">
          <cell r="D77" t="str">
            <v>吴小倩</v>
          </cell>
          <cell r="E77" t="str">
            <v>数据开发部</v>
          </cell>
          <cell r="F77">
            <v>2.60626964384499</v>
          </cell>
          <cell r="G77">
            <v>3.05738782050209</v>
          </cell>
          <cell r="H77" t="b">
            <v>1</v>
          </cell>
          <cell r="I77">
            <v>6</v>
          </cell>
          <cell r="J77">
            <v>11</v>
          </cell>
          <cell r="K77">
            <v>17</v>
          </cell>
          <cell r="L77">
            <v>18</v>
          </cell>
        </row>
        <row r="78">
          <cell r="D78" t="str">
            <v>吴越</v>
          </cell>
          <cell r="E78" t="str">
            <v>数据开发部</v>
          </cell>
          <cell r="F78">
            <v>2.60626964384499</v>
          </cell>
          <cell r="G78">
            <v>1.13697589099087</v>
          </cell>
          <cell r="H78" t="b">
            <v>0</v>
          </cell>
          <cell r="I78">
            <v>30</v>
          </cell>
          <cell r="J78">
            <v>15</v>
          </cell>
          <cell r="K78">
            <v>7</v>
          </cell>
          <cell r="L78">
            <v>1</v>
          </cell>
        </row>
        <row r="79">
          <cell r="D79" t="str">
            <v>吴证</v>
          </cell>
          <cell r="E79" t="str">
            <v>数据平台部</v>
          </cell>
          <cell r="F79">
            <v>2.02939535241624</v>
          </cell>
          <cell r="G79">
            <v>1.83442424243972</v>
          </cell>
          <cell r="H79" t="b">
            <v>0</v>
          </cell>
          <cell r="I79">
            <v>12</v>
          </cell>
          <cell r="J79">
            <v>25</v>
          </cell>
          <cell r="K79">
            <v>17</v>
          </cell>
          <cell r="L79">
            <v>1</v>
          </cell>
        </row>
        <row r="80">
          <cell r="D80" t="str">
            <v>伍恒</v>
          </cell>
          <cell r="E80" t="str">
            <v>数据平台部</v>
          </cell>
          <cell r="F80">
            <v>2.02939535241624</v>
          </cell>
          <cell r="G80">
            <v>2.73037234042459</v>
          </cell>
          <cell r="H80" t="b">
            <v>1</v>
          </cell>
          <cell r="I80">
            <v>5</v>
          </cell>
          <cell r="J80">
            <v>25</v>
          </cell>
          <cell r="K80">
            <v>8</v>
          </cell>
          <cell r="L80">
            <v>9</v>
          </cell>
        </row>
        <row r="81">
          <cell r="D81" t="str">
            <v>徐倩茹</v>
          </cell>
          <cell r="E81" t="str">
            <v>数据开发部</v>
          </cell>
          <cell r="F81">
            <v>2.60626964384499</v>
          </cell>
          <cell r="G81">
            <v>1.2779074074002</v>
          </cell>
          <cell r="H81" t="b">
            <v>0</v>
          </cell>
          <cell r="I81">
            <v>32</v>
          </cell>
          <cell r="J81">
            <v>18</v>
          </cell>
          <cell r="K81">
            <v>9</v>
          </cell>
          <cell r="L81">
            <v>1</v>
          </cell>
        </row>
        <row r="82">
          <cell r="D82" t="str">
            <v>许天凝</v>
          </cell>
          <cell r="E82" t="str">
            <v>智能创新部</v>
          </cell>
          <cell r="F82">
            <v>2.17420285227686</v>
          </cell>
          <cell r="G82">
            <v>2.18163082436208</v>
          </cell>
          <cell r="H82" t="b">
            <v>1</v>
          </cell>
          <cell r="I82">
            <v>6</v>
          </cell>
          <cell r="J82">
            <v>33</v>
          </cell>
          <cell r="K82">
            <v>19</v>
          </cell>
          <cell r="L82">
            <v>4</v>
          </cell>
        </row>
        <row r="83">
          <cell r="D83" t="str">
            <v>杨婧</v>
          </cell>
          <cell r="E83" t="str">
            <v>智能创新部</v>
          </cell>
          <cell r="F83">
            <v>2.17420285227686</v>
          </cell>
          <cell r="G83">
            <v>2.96168032786942</v>
          </cell>
          <cell r="H83" t="b">
            <v>1</v>
          </cell>
          <cell r="I83">
            <v>7</v>
          </cell>
          <cell r="J83">
            <v>11</v>
          </cell>
          <cell r="K83">
            <v>26</v>
          </cell>
          <cell r="L83">
            <v>17</v>
          </cell>
        </row>
        <row r="84">
          <cell r="D84" t="str">
            <v>杨沁怡</v>
          </cell>
          <cell r="E84" t="str">
            <v>智能创新部</v>
          </cell>
          <cell r="F84">
            <v>2.17420285227686</v>
          </cell>
          <cell r="G84">
            <v>1.96525089606275</v>
          </cell>
          <cell r="H84" t="b">
            <v>0</v>
          </cell>
          <cell r="I84">
            <v>6</v>
          </cell>
          <cell r="J84">
            <v>33</v>
          </cell>
          <cell r="K84">
            <v>20</v>
          </cell>
          <cell r="L84">
            <v>3</v>
          </cell>
        </row>
        <row r="85">
          <cell r="D85" t="str">
            <v>杨青</v>
          </cell>
          <cell r="E85" t="str">
            <v>数据开发部</v>
          </cell>
          <cell r="F85">
            <v>2.60626964384499</v>
          </cell>
          <cell r="G85">
            <v>3.15918981481324</v>
          </cell>
          <cell r="H85" t="b">
            <v>1</v>
          </cell>
          <cell r="I85">
            <v>5</v>
          </cell>
          <cell r="J85">
            <v>9</v>
          </cell>
          <cell r="K85">
            <v>30</v>
          </cell>
          <cell r="L85">
            <v>16</v>
          </cell>
        </row>
        <row r="86">
          <cell r="D86" t="str">
            <v>姚志环</v>
          </cell>
          <cell r="E86" t="str">
            <v>数据开发部</v>
          </cell>
          <cell r="F86">
            <v>2.60626964384499</v>
          </cell>
          <cell r="G86">
            <v>1.98924329500858</v>
          </cell>
          <cell r="H86" t="b">
            <v>0</v>
          </cell>
          <cell r="I86">
            <v>6</v>
          </cell>
          <cell r="J86">
            <v>33</v>
          </cell>
          <cell r="K86">
            <v>14</v>
          </cell>
          <cell r="L86">
            <v>5</v>
          </cell>
        </row>
        <row r="87">
          <cell r="D87" t="str">
            <v>于俊杰</v>
          </cell>
          <cell r="E87" t="str">
            <v>智能创新部</v>
          </cell>
          <cell r="F87">
            <v>2.17420285227686</v>
          </cell>
          <cell r="G87">
            <v>1.86732695809829</v>
          </cell>
          <cell r="H87" t="b">
            <v>0</v>
          </cell>
          <cell r="I87">
            <v>20</v>
          </cell>
          <cell r="J87">
            <v>24</v>
          </cell>
          <cell r="K87">
            <v>9</v>
          </cell>
          <cell r="L87">
            <v>8</v>
          </cell>
        </row>
        <row r="88">
          <cell r="D88" t="str">
            <v>于中宝</v>
          </cell>
          <cell r="E88" t="str">
            <v>智能创新部</v>
          </cell>
          <cell r="F88">
            <v>2.17420285227686</v>
          </cell>
          <cell r="G88">
            <v>2.28542114694738</v>
          </cell>
          <cell r="H88" t="b">
            <v>1</v>
          </cell>
          <cell r="I88">
            <v>3</v>
          </cell>
          <cell r="J88">
            <v>36</v>
          </cell>
          <cell r="K88">
            <v>14</v>
          </cell>
          <cell r="L88">
            <v>9</v>
          </cell>
        </row>
        <row r="89">
          <cell r="D89" t="str">
            <v>袁凯</v>
          </cell>
          <cell r="E89" t="str">
            <v>数据开发部</v>
          </cell>
          <cell r="F89">
            <v>2.60626964384499</v>
          </cell>
          <cell r="G89">
            <v>2.78641165754678</v>
          </cell>
          <cell r="H89" t="b">
            <v>1</v>
          </cell>
          <cell r="I89">
            <v>4</v>
          </cell>
          <cell r="J89">
            <v>12</v>
          </cell>
          <cell r="K89">
            <v>32</v>
          </cell>
          <cell r="L89">
            <v>13</v>
          </cell>
        </row>
        <row r="90">
          <cell r="D90" t="str">
            <v>张必歌</v>
          </cell>
          <cell r="E90" t="str">
            <v>数据开发部</v>
          </cell>
          <cell r="F90">
            <v>2.60626964384499</v>
          </cell>
          <cell r="G90">
            <v>0.346564814806334</v>
          </cell>
          <cell r="H90" t="b">
            <v>0</v>
          </cell>
          <cell r="I90">
            <v>56</v>
          </cell>
          <cell r="J90">
            <v>3</v>
          </cell>
          <cell r="K90">
            <v>0</v>
          </cell>
          <cell r="L90">
            <v>1</v>
          </cell>
        </row>
        <row r="91">
          <cell r="D91" t="str">
            <v>张琛玥</v>
          </cell>
          <cell r="E91" t="e">
            <v>#N/A</v>
          </cell>
          <cell r="F91" t="e">
            <v>#N/A</v>
          </cell>
          <cell r="G91">
            <v>2.2236111110833</v>
          </cell>
          <cell r="H91" t="e">
            <v>#N/A</v>
          </cell>
          <cell r="I91">
            <v>0</v>
          </cell>
          <cell r="J91">
            <v>0</v>
          </cell>
          <cell r="K91">
            <v>2</v>
          </cell>
          <cell r="L91">
            <v>0</v>
          </cell>
        </row>
        <row r="92">
          <cell r="D92" t="str">
            <v>张放</v>
          </cell>
          <cell r="E92" t="str">
            <v>数据平台部</v>
          </cell>
          <cell r="F92">
            <v>2.02939535241624</v>
          </cell>
          <cell r="G92">
            <v>3.7372903563862</v>
          </cell>
          <cell r="H92" t="b">
            <v>1</v>
          </cell>
          <cell r="I92">
            <v>5</v>
          </cell>
          <cell r="J92">
            <v>11</v>
          </cell>
          <cell r="K92">
            <v>12</v>
          </cell>
          <cell r="L92">
            <v>25</v>
          </cell>
        </row>
        <row r="93">
          <cell r="D93" t="str">
            <v>张峰</v>
          </cell>
          <cell r="E93" t="str">
            <v>智能创新部</v>
          </cell>
          <cell r="F93">
            <v>2.17420285227686</v>
          </cell>
          <cell r="G93">
            <v>0.631701388847432</v>
          </cell>
          <cell r="H93" t="b">
            <v>0</v>
          </cell>
          <cell r="I93">
            <v>16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张镓奇</v>
          </cell>
          <cell r="E94" t="str">
            <v>智能创新部</v>
          </cell>
          <cell r="F94">
            <v>2.17420285227686</v>
          </cell>
          <cell r="G94">
            <v>2.63681481483509</v>
          </cell>
          <cell r="H94" t="b">
            <v>1</v>
          </cell>
          <cell r="I94">
            <v>0</v>
          </cell>
          <cell r="J94">
            <v>11</v>
          </cell>
          <cell r="K94">
            <v>45</v>
          </cell>
          <cell r="L94">
            <v>4</v>
          </cell>
        </row>
        <row r="95">
          <cell r="D95" t="str">
            <v>张倩</v>
          </cell>
          <cell r="E95" t="str">
            <v>数据开发部</v>
          </cell>
          <cell r="F95">
            <v>2.60626964384499</v>
          </cell>
          <cell r="G95">
            <v>2.38720760234068</v>
          </cell>
          <cell r="H95" t="b">
            <v>0</v>
          </cell>
          <cell r="I95">
            <v>2</v>
          </cell>
          <cell r="J95">
            <v>22</v>
          </cell>
          <cell r="K95">
            <v>31</v>
          </cell>
          <cell r="L95">
            <v>2</v>
          </cell>
        </row>
        <row r="96">
          <cell r="D96" t="str">
            <v>张顺</v>
          </cell>
          <cell r="E96" t="str">
            <v>数据平台部</v>
          </cell>
          <cell r="F96">
            <v>2.02939535241624</v>
          </cell>
          <cell r="G96">
            <v>1.06639351852937</v>
          </cell>
          <cell r="H96" t="b">
            <v>0</v>
          </cell>
          <cell r="I96">
            <v>28</v>
          </cell>
          <cell r="J96">
            <v>30</v>
          </cell>
          <cell r="K96">
            <v>2</v>
          </cell>
          <cell r="L96">
            <v>0</v>
          </cell>
        </row>
        <row r="97">
          <cell r="D97" t="str">
            <v>张雅淇</v>
          </cell>
          <cell r="E97" t="str">
            <v>数据开发部</v>
          </cell>
          <cell r="F97">
            <v>2.60626964384499</v>
          </cell>
          <cell r="G97">
            <v>1.45581056464933</v>
          </cell>
          <cell r="H97" t="b">
            <v>0</v>
          </cell>
          <cell r="I97">
            <v>29</v>
          </cell>
          <cell r="J97">
            <v>16</v>
          </cell>
          <cell r="K97">
            <v>12</v>
          </cell>
          <cell r="L97">
            <v>4</v>
          </cell>
        </row>
        <row r="98">
          <cell r="D98" t="str">
            <v>张子璐</v>
          </cell>
          <cell r="E98" t="str">
            <v>智能创新部</v>
          </cell>
          <cell r="F98">
            <v>2.17420285227686</v>
          </cell>
          <cell r="G98">
            <v>1.16506830601548</v>
          </cell>
          <cell r="H98" t="b">
            <v>0</v>
          </cell>
          <cell r="I98">
            <v>28</v>
          </cell>
          <cell r="J98">
            <v>28</v>
          </cell>
          <cell r="K98">
            <v>3</v>
          </cell>
          <cell r="L98">
            <v>2</v>
          </cell>
        </row>
        <row r="99">
          <cell r="D99" t="str">
            <v>赵家乐</v>
          </cell>
          <cell r="E99" t="str">
            <v>智能创新部</v>
          </cell>
          <cell r="F99">
            <v>2.17420285227686</v>
          </cell>
          <cell r="G99">
            <v>2.56414444444701</v>
          </cell>
          <cell r="H99" t="b">
            <v>1</v>
          </cell>
          <cell r="I99">
            <v>2</v>
          </cell>
          <cell r="J99">
            <v>5</v>
          </cell>
          <cell r="K99">
            <v>17</v>
          </cell>
          <cell r="L99">
            <v>1</v>
          </cell>
        </row>
        <row r="100">
          <cell r="D100" t="str">
            <v>赵雅婷</v>
          </cell>
          <cell r="E100" t="str">
            <v>数据开发部</v>
          </cell>
          <cell r="F100">
            <v>2.60626964384499</v>
          </cell>
          <cell r="G100">
            <v>2.78553535354916</v>
          </cell>
          <cell r="H100" t="b">
            <v>1</v>
          </cell>
          <cell r="I100">
            <v>2</v>
          </cell>
          <cell r="J100">
            <v>10</v>
          </cell>
          <cell r="K100">
            <v>34</v>
          </cell>
          <cell r="L100">
            <v>9</v>
          </cell>
        </row>
        <row r="101">
          <cell r="D101" t="str">
            <v>郑卞钰</v>
          </cell>
          <cell r="E101" t="str">
            <v>数据开发部</v>
          </cell>
          <cell r="F101">
            <v>2.60626964384499</v>
          </cell>
          <cell r="G101">
            <v>2.78639880953207</v>
          </cell>
          <cell r="H101" t="b">
            <v>1</v>
          </cell>
          <cell r="I101">
            <v>3</v>
          </cell>
          <cell r="J101">
            <v>9</v>
          </cell>
          <cell r="K101">
            <v>36</v>
          </cell>
          <cell r="L101">
            <v>8</v>
          </cell>
        </row>
        <row r="102">
          <cell r="D102" t="str">
            <v>周浩</v>
          </cell>
          <cell r="E102" t="str">
            <v>数据平台部</v>
          </cell>
          <cell r="F102">
            <v>2.02939535241624</v>
          </cell>
          <cell r="G102">
            <v>2.44872863246509</v>
          </cell>
          <cell r="H102" t="b">
            <v>1</v>
          </cell>
          <cell r="I102">
            <v>6</v>
          </cell>
          <cell r="J102">
            <v>17</v>
          </cell>
          <cell r="K102">
            <v>20</v>
          </cell>
          <cell r="L102">
            <v>9</v>
          </cell>
        </row>
        <row r="103">
          <cell r="D103" t="str">
            <v>周龙</v>
          </cell>
          <cell r="E103" t="str">
            <v>数据开发部</v>
          </cell>
          <cell r="F103">
            <v>2.60626964384499</v>
          </cell>
          <cell r="G103">
            <v>3.14809322034964</v>
          </cell>
          <cell r="H103" t="b">
            <v>1</v>
          </cell>
          <cell r="I103">
            <v>7</v>
          </cell>
          <cell r="J103">
            <v>7</v>
          </cell>
          <cell r="K103">
            <v>28</v>
          </cell>
          <cell r="L103">
            <v>17</v>
          </cell>
        </row>
        <row r="104">
          <cell r="D104" t="str">
            <v>周影</v>
          </cell>
          <cell r="E104" t="str">
            <v>数据开发部</v>
          </cell>
          <cell r="F104">
            <v>2.60626964384499</v>
          </cell>
          <cell r="G104">
            <v>3.30794834307897</v>
          </cell>
          <cell r="H104" t="b">
            <v>1</v>
          </cell>
          <cell r="I104">
            <v>0</v>
          </cell>
          <cell r="J104">
            <v>12</v>
          </cell>
          <cell r="K104">
            <v>30</v>
          </cell>
          <cell r="L104">
            <v>15</v>
          </cell>
        </row>
        <row r="105">
          <cell r="D105" t="str">
            <v>朱文川</v>
          </cell>
          <cell r="E105" t="str">
            <v>数据平台部</v>
          </cell>
          <cell r="F105">
            <v>2.02939535241624</v>
          </cell>
          <cell r="G105">
            <v>1.55351532567373</v>
          </cell>
          <cell r="H105" t="b">
            <v>0</v>
          </cell>
          <cell r="I105">
            <v>16</v>
          </cell>
          <cell r="J105">
            <v>36</v>
          </cell>
          <cell r="K105">
            <v>0</v>
          </cell>
          <cell r="L105">
            <v>6</v>
          </cell>
        </row>
        <row r="106">
          <cell r="D106" t="str">
            <v>诸倩铷</v>
          </cell>
          <cell r="E106" t="str">
            <v>数据开发部</v>
          </cell>
          <cell r="F106">
            <v>2.60626964384499</v>
          </cell>
          <cell r="G106">
            <v>1.93338293651427</v>
          </cell>
          <cell r="H106" t="b">
            <v>0</v>
          </cell>
          <cell r="I106">
            <v>3</v>
          </cell>
          <cell r="J106">
            <v>23</v>
          </cell>
          <cell r="K106">
            <v>29</v>
          </cell>
          <cell r="L106">
            <v>1</v>
          </cell>
        </row>
        <row r="107">
          <cell r="D107" t="str">
            <v>邹小芳</v>
          </cell>
          <cell r="E107" t="str">
            <v>数据开发部</v>
          </cell>
          <cell r="F107">
            <v>2.60626964384499</v>
          </cell>
          <cell r="G107">
            <v>2.62597484277113</v>
          </cell>
          <cell r="H107" t="b">
            <v>1</v>
          </cell>
          <cell r="I107">
            <v>5</v>
          </cell>
          <cell r="J107">
            <v>13</v>
          </cell>
          <cell r="K107">
            <v>27</v>
          </cell>
          <cell r="L107">
            <v>8</v>
          </cell>
        </row>
      </sheetData>
      <sheetData sheetId="4">
        <row r="1">
          <cell r="A1" t="str">
            <v>姓名</v>
          </cell>
          <cell r="B1" t="str">
            <v>计数</v>
          </cell>
        </row>
        <row r="2">
          <cell r="A2" t="str">
            <v>曹婕</v>
          </cell>
          <cell r="B2">
            <v>1</v>
          </cell>
        </row>
        <row r="3">
          <cell r="A3" t="str">
            <v>陈晨</v>
          </cell>
          <cell r="B3">
            <v>1</v>
          </cell>
        </row>
        <row r="4">
          <cell r="A4" t="str">
            <v>嵇雅娟</v>
          </cell>
          <cell r="B4">
            <v>3</v>
          </cell>
        </row>
        <row r="5">
          <cell r="A5" t="str">
            <v>贾世林</v>
          </cell>
          <cell r="B5">
            <v>1</v>
          </cell>
        </row>
        <row r="6">
          <cell r="A6" t="str">
            <v>陆凯华</v>
          </cell>
          <cell r="B6">
            <v>3</v>
          </cell>
        </row>
        <row r="7">
          <cell r="A7" t="str">
            <v>骆静龙</v>
          </cell>
          <cell r="B7">
            <v>2</v>
          </cell>
        </row>
        <row r="8">
          <cell r="A8" t="str">
            <v>马富强</v>
          </cell>
          <cell r="B8">
            <v>1</v>
          </cell>
        </row>
        <row r="9">
          <cell r="A9" t="str">
            <v>潘修滔</v>
          </cell>
          <cell r="B9">
            <v>1</v>
          </cell>
        </row>
        <row r="10">
          <cell r="A10" t="str">
            <v>彭坤</v>
          </cell>
          <cell r="B10">
            <v>1</v>
          </cell>
        </row>
        <row r="11">
          <cell r="A11" t="str">
            <v>王萌萌</v>
          </cell>
          <cell r="B11">
            <v>1</v>
          </cell>
        </row>
        <row r="12">
          <cell r="A12" t="str">
            <v>王正超</v>
          </cell>
          <cell r="B12">
            <v>2</v>
          </cell>
        </row>
        <row r="13">
          <cell r="A13" t="str">
            <v>王子枫</v>
          </cell>
          <cell r="B13">
            <v>1</v>
          </cell>
        </row>
        <row r="14">
          <cell r="A14" t="str">
            <v>吴小倩</v>
          </cell>
          <cell r="B14">
            <v>1</v>
          </cell>
        </row>
        <row r="15">
          <cell r="A15" t="str">
            <v>诸倩铷</v>
          </cell>
          <cell r="B15">
            <v>1</v>
          </cell>
        </row>
        <row r="16">
          <cell r="A16" t="str">
            <v>鞠爱宁</v>
          </cell>
          <cell r="B16">
            <v>2</v>
          </cell>
        </row>
        <row r="17">
          <cell r="A17" t="str">
            <v>李响</v>
          </cell>
          <cell r="B17">
            <v>1</v>
          </cell>
        </row>
        <row r="18">
          <cell r="A18" t="str">
            <v>邱玥</v>
          </cell>
          <cell r="B18">
            <v>3</v>
          </cell>
        </row>
        <row r="19">
          <cell r="A19" t="str">
            <v>任欣宇</v>
          </cell>
          <cell r="B19">
            <v>2</v>
          </cell>
        </row>
        <row r="20">
          <cell r="A20" t="str">
            <v>史朋飞</v>
          </cell>
          <cell r="B20">
            <v>1</v>
          </cell>
        </row>
        <row r="21">
          <cell r="A21" t="str">
            <v>佟嘉欣</v>
          </cell>
          <cell r="B21">
            <v>1</v>
          </cell>
        </row>
        <row r="22">
          <cell r="A22" t="str">
            <v>万珊红</v>
          </cell>
          <cell r="B22">
            <v>3</v>
          </cell>
        </row>
        <row r="23">
          <cell r="A23" t="str">
            <v>郑卞钰</v>
          </cell>
          <cell r="B23">
            <v>1</v>
          </cell>
        </row>
        <row r="24">
          <cell r="A24" t="str">
            <v>周浩</v>
          </cell>
          <cell r="B24">
            <v>1</v>
          </cell>
        </row>
      </sheetData>
      <sheetData sheetId="5">
        <row r="1">
          <cell r="A1" t="str">
            <v>方案提交人2</v>
          </cell>
          <cell r="B1" t="str">
            <v>计数项:变更任务编号</v>
          </cell>
        </row>
        <row r="2">
          <cell r="A2" t="str">
            <v>安新宜</v>
          </cell>
          <cell r="B2">
            <v>19</v>
          </cell>
        </row>
        <row r="3">
          <cell r="A3" t="str">
            <v>陈晨</v>
          </cell>
          <cell r="B3">
            <v>11</v>
          </cell>
        </row>
        <row r="4">
          <cell r="A4" t="str">
            <v>陈科宇</v>
          </cell>
          <cell r="B4">
            <v>3</v>
          </cell>
        </row>
        <row r="5">
          <cell r="A5" t="str">
            <v>陈朗</v>
          </cell>
          <cell r="B5">
            <v>7</v>
          </cell>
        </row>
        <row r="6">
          <cell r="A6" t="str">
            <v>陈笑轩</v>
          </cell>
          <cell r="B6">
            <v>1</v>
          </cell>
        </row>
        <row r="7">
          <cell r="A7" t="str">
            <v>陈玉思</v>
          </cell>
          <cell r="B7">
            <v>1</v>
          </cell>
        </row>
        <row r="8">
          <cell r="A8" t="str">
            <v>丁晨</v>
          </cell>
          <cell r="B8">
            <v>6</v>
          </cell>
        </row>
        <row r="9">
          <cell r="A9" t="str">
            <v>杜乐</v>
          </cell>
          <cell r="B9">
            <v>64</v>
          </cell>
        </row>
        <row r="10">
          <cell r="A10" t="str">
            <v>冯潇</v>
          </cell>
          <cell r="B10">
            <v>5</v>
          </cell>
        </row>
        <row r="11">
          <cell r="A11" t="str">
            <v>冯晓煜</v>
          </cell>
          <cell r="B11">
            <v>2</v>
          </cell>
        </row>
        <row r="12">
          <cell r="A12" t="str">
            <v>龚毅磊</v>
          </cell>
          <cell r="B12">
            <v>11</v>
          </cell>
        </row>
        <row r="13">
          <cell r="A13" t="str">
            <v>胡帆</v>
          </cell>
          <cell r="B13">
            <v>10</v>
          </cell>
        </row>
        <row r="14">
          <cell r="A14" t="str">
            <v>胡庆</v>
          </cell>
          <cell r="B14">
            <v>3</v>
          </cell>
        </row>
        <row r="15">
          <cell r="A15" t="str">
            <v>胡雯</v>
          </cell>
          <cell r="B15">
            <v>4</v>
          </cell>
        </row>
        <row r="16">
          <cell r="A16" t="str">
            <v>黄亦豪</v>
          </cell>
          <cell r="B16">
            <v>10</v>
          </cell>
        </row>
        <row r="17">
          <cell r="A17" t="str">
            <v>嵇雅娟</v>
          </cell>
          <cell r="B17">
            <v>9</v>
          </cell>
        </row>
        <row r="18">
          <cell r="A18" t="str">
            <v>贾世林</v>
          </cell>
          <cell r="B18">
            <v>12</v>
          </cell>
        </row>
        <row r="19">
          <cell r="A19" t="str">
            <v>蒋捷</v>
          </cell>
          <cell r="B19">
            <v>1</v>
          </cell>
        </row>
        <row r="20">
          <cell r="A20" t="str">
            <v>景丞</v>
          </cell>
          <cell r="B20">
            <v>22</v>
          </cell>
        </row>
        <row r="21">
          <cell r="A21" t="str">
            <v>鞠爱宁</v>
          </cell>
          <cell r="B21">
            <v>11</v>
          </cell>
        </row>
        <row r="22">
          <cell r="A22" t="str">
            <v>康冉</v>
          </cell>
          <cell r="B22">
            <v>10</v>
          </cell>
        </row>
        <row r="23">
          <cell r="A23" t="str">
            <v>兰昕蕾</v>
          </cell>
          <cell r="B23">
            <v>7</v>
          </cell>
        </row>
        <row r="24">
          <cell r="A24" t="str">
            <v>李凯文</v>
          </cell>
          <cell r="B24">
            <v>6</v>
          </cell>
        </row>
        <row r="25">
          <cell r="A25" t="str">
            <v>李敏吉</v>
          </cell>
          <cell r="B25">
            <v>5</v>
          </cell>
        </row>
        <row r="26">
          <cell r="A26" t="str">
            <v>李天卓</v>
          </cell>
          <cell r="B26">
            <v>1</v>
          </cell>
        </row>
        <row r="27">
          <cell r="A27" t="str">
            <v>李响</v>
          </cell>
          <cell r="B27">
            <v>13</v>
          </cell>
        </row>
        <row r="28">
          <cell r="A28" t="str">
            <v>李卓辉</v>
          </cell>
          <cell r="B28">
            <v>1</v>
          </cell>
        </row>
        <row r="29">
          <cell r="A29" t="str">
            <v>连静</v>
          </cell>
          <cell r="B29">
            <v>6</v>
          </cell>
        </row>
        <row r="30">
          <cell r="A30" t="str">
            <v>林幸</v>
          </cell>
          <cell r="B30">
            <v>9</v>
          </cell>
        </row>
        <row r="31">
          <cell r="A31" t="str">
            <v>刘惠</v>
          </cell>
          <cell r="B31">
            <v>2</v>
          </cell>
        </row>
        <row r="32">
          <cell r="A32" t="str">
            <v>刘金良</v>
          </cell>
          <cell r="B32">
            <v>2</v>
          </cell>
        </row>
        <row r="33">
          <cell r="A33" t="str">
            <v>刘梦颖</v>
          </cell>
          <cell r="B33">
            <v>12</v>
          </cell>
        </row>
        <row r="34">
          <cell r="A34" t="str">
            <v>陆凯华</v>
          </cell>
          <cell r="B34">
            <v>35</v>
          </cell>
        </row>
        <row r="35">
          <cell r="A35" t="str">
            <v>罗仁杰</v>
          </cell>
          <cell r="B35">
            <v>13</v>
          </cell>
        </row>
        <row r="36">
          <cell r="A36" t="str">
            <v>骆静龙</v>
          </cell>
          <cell r="B36">
            <v>10</v>
          </cell>
        </row>
        <row r="37">
          <cell r="A37" t="str">
            <v>马富强</v>
          </cell>
          <cell r="B37">
            <v>13</v>
          </cell>
        </row>
        <row r="38">
          <cell r="A38" t="str">
            <v>梅凯磊</v>
          </cell>
          <cell r="B38">
            <v>13</v>
          </cell>
        </row>
        <row r="39">
          <cell r="A39" t="str">
            <v>梅苏源</v>
          </cell>
          <cell r="B39">
            <v>3</v>
          </cell>
        </row>
        <row r="40">
          <cell r="A40" t="str">
            <v>潘修滔</v>
          </cell>
          <cell r="B40">
            <v>6</v>
          </cell>
        </row>
        <row r="41">
          <cell r="A41" t="str">
            <v>祁鑫</v>
          </cell>
          <cell r="B41">
            <v>1</v>
          </cell>
        </row>
        <row r="42">
          <cell r="A42" t="str">
            <v>钱磊</v>
          </cell>
          <cell r="B42">
            <v>8</v>
          </cell>
        </row>
        <row r="43">
          <cell r="A43" t="str">
            <v>邱玥</v>
          </cell>
          <cell r="B43">
            <v>4</v>
          </cell>
        </row>
        <row r="44">
          <cell r="A44" t="str">
            <v>任欣宇</v>
          </cell>
          <cell r="B44">
            <v>36</v>
          </cell>
        </row>
        <row r="45">
          <cell r="A45" t="str">
            <v>阮靖龙</v>
          </cell>
          <cell r="B45">
            <v>1</v>
          </cell>
        </row>
        <row r="46">
          <cell r="A46" t="str">
            <v>沈志贇</v>
          </cell>
          <cell r="B46">
            <v>3</v>
          </cell>
        </row>
        <row r="47">
          <cell r="A47" t="str">
            <v>史朋飞</v>
          </cell>
          <cell r="B47">
            <v>2</v>
          </cell>
        </row>
        <row r="48">
          <cell r="A48" t="str">
            <v>谭学彤</v>
          </cell>
          <cell r="B48">
            <v>2</v>
          </cell>
        </row>
        <row r="49">
          <cell r="A49" t="str">
            <v>佟嘉欣</v>
          </cell>
          <cell r="B49">
            <v>10</v>
          </cell>
        </row>
        <row r="50">
          <cell r="A50" t="str">
            <v>万珊红</v>
          </cell>
          <cell r="B50">
            <v>19</v>
          </cell>
        </row>
        <row r="51">
          <cell r="A51" t="str">
            <v>王萌萌</v>
          </cell>
          <cell r="B51">
            <v>6</v>
          </cell>
        </row>
        <row r="52">
          <cell r="A52" t="str">
            <v>王双钰</v>
          </cell>
          <cell r="B52">
            <v>3</v>
          </cell>
        </row>
        <row r="53">
          <cell r="A53" t="str">
            <v>王言哲</v>
          </cell>
          <cell r="B53">
            <v>19</v>
          </cell>
        </row>
        <row r="54">
          <cell r="A54" t="str">
            <v>王友轩</v>
          </cell>
          <cell r="B54">
            <v>7</v>
          </cell>
        </row>
        <row r="55">
          <cell r="A55" t="str">
            <v>王正超</v>
          </cell>
          <cell r="B55">
            <v>16</v>
          </cell>
        </row>
        <row r="56">
          <cell r="A56" t="str">
            <v>王子枫</v>
          </cell>
          <cell r="B56">
            <v>3</v>
          </cell>
        </row>
        <row r="57">
          <cell r="A57" t="str">
            <v>卫彩萍</v>
          </cell>
          <cell r="B57">
            <v>17</v>
          </cell>
        </row>
        <row r="58">
          <cell r="A58" t="str">
            <v>吴小倩</v>
          </cell>
          <cell r="B58">
            <v>14</v>
          </cell>
        </row>
        <row r="59">
          <cell r="A59" t="str">
            <v>伍恒</v>
          </cell>
          <cell r="B59">
            <v>38</v>
          </cell>
        </row>
        <row r="60">
          <cell r="A60" t="str">
            <v>姚志环</v>
          </cell>
          <cell r="B60">
            <v>7</v>
          </cell>
        </row>
        <row r="61">
          <cell r="A61" t="str">
            <v>于俊杰</v>
          </cell>
          <cell r="B61">
            <v>9</v>
          </cell>
        </row>
        <row r="62">
          <cell r="A62" t="str">
            <v>于中宝</v>
          </cell>
          <cell r="B62">
            <v>5</v>
          </cell>
        </row>
        <row r="63">
          <cell r="A63" t="str">
            <v>袁凯</v>
          </cell>
          <cell r="B63">
            <v>12</v>
          </cell>
        </row>
        <row r="64">
          <cell r="A64" t="str">
            <v>张必歌</v>
          </cell>
          <cell r="B64">
            <v>3</v>
          </cell>
        </row>
        <row r="65">
          <cell r="A65" t="str">
            <v>张放</v>
          </cell>
          <cell r="B65">
            <v>27</v>
          </cell>
        </row>
        <row r="66">
          <cell r="A66" t="str">
            <v>张镓奇</v>
          </cell>
          <cell r="B66">
            <v>2</v>
          </cell>
        </row>
        <row r="67">
          <cell r="A67" t="str">
            <v>张倩</v>
          </cell>
          <cell r="B67">
            <v>9</v>
          </cell>
        </row>
        <row r="68">
          <cell r="A68" t="str">
            <v>张雅淇</v>
          </cell>
          <cell r="B68">
            <v>3</v>
          </cell>
        </row>
        <row r="69">
          <cell r="A69" t="str">
            <v>张子璐</v>
          </cell>
          <cell r="B69">
            <v>1</v>
          </cell>
        </row>
        <row r="70">
          <cell r="A70" t="str">
            <v>郑卞钰</v>
          </cell>
          <cell r="B70">
            <v>11</v>
          </cell>
        </row>
        <row r="71">
          <cell r="A71" t="str">
            <v>周浩</v>
          </cell>
          <cell r="B71">
            <v>14</v>
          </cell>
        </row>
        <row r="72">
          <cell r="A72" t="str">
            <v>朱文川</v>
          </cell>
          <cell r="B72">
            <v>6</v>
          </cell>
        </row>
        <row r="73">
          <cell r="A73" t="str">
            <v>总计</v>
          </cell>
          <cell r="B73">
            <v>697</v>
          </cell>
        </row>
      </sheetData>
      <sheetData sheetId="6">
        <row r="1">
          <cell r="A1" t="str">
            <v>方案提交人2</v>
          </cell>
          <cell r="B1" t="str">
            <v>计数项:变更任务编号</v>
          </cell>
        </row>
        <row r="2">
          <cell r="A2" t="str">
            <v>安新宜</v>
          </cell>
          <cell r="B2">
            <v>12</v>
          </cell>
        </row>
        <row r="3">
          <cell r="A3" t="str">
            <v>曹婕</v>
          </cell>
          <cell r="B3">
            <v>3</v>
          </cell>
        </row>
        <row r="4">
          <cell r="A4" t="str">
            <v>陈晨</v>
          </cell>
          <cell r="B4">
            <v>19</v>
          </cell>
        </row>
        <row r="5">
          <cell r="A5" t="str">
            <v>陈科宇</v>
          </cell>
          <cell r="B5">
            <v>2</v>
          </cell>
        </row>
        <row r="6">
          <cell r="A6" t="str">
            <v>陈朗</v>
          </cell>
          <cell r="B6">
            <v>7</v>
          </cell>
        </row>
        <row r="7">
          <cell r="A7" t="str">
            <v>陈笑轩</v>
          </cell>
          <cell r="B7">
            <v>7</v>
          </cell>
        </row>
        <row r="8">
          <cell r="A8" t="str">
            <v>丁晨</v>
          </cell>
          <cell r="B8">
            <v>10</v>
          </cell>
        </row>
        <row r="9">
          <cell r="A9" t="str">
            <v>杜乐</v>
          </cell>
          <cell r="B9">
            <v>11</v>
          </cell>
        </row>
        <row r="10">
          <cell r="A10" t="str">
            <v>冯潇</v>
          </cell>
          <cell r="B10">
            <v>3</v>
          </cell>
        </row>
        <row r="11">
          <cell r="A11" t="str">
            <v>冯晓煜</v>
          </cell>
          <cell r="B11">
            <v>1</v>
          </cell>
        </row>
        <row r="12">
          <cell r="A12" t="str">
            <v>龚毅磊</v>
          </cell>
          <cell r="B12">
            <v>17</v>
          </cell>
        </row>
        <row r="13">
          <cell r="A13" t="str">
            <v>胡帆</v>
          </cell>
          <cell r="B13">
            <v>8</v>
          </cell>
        </row>
        <row r="14">
          <cell r="A14" t="str">
            <v>胡庆</v>
          </cell>
          <cell r="B14">
            <v>7</v>
          </cell>
        </row>
        <row r="15">
          <cell r="A15" t="str">
            <v>胡雯</v>
          </cell>
          <cell r="B15">
            <v>10</v>
          </cell>
        </row>
        <row r="16">
          <cell r="A16" t="str">
            <v>黄亦豪</v>
          </cell>
          <cell r="B16">
            <v>1</v>
          </cell>
        </row>
        <row r="17">
          <cell r="A17" t="str">
            <v>嵇雅娟</v>
          </cell>
          <cell r="B17">
            <v>5</v>
          </cell>
        </row>
        <row r="18">
          <cell r="A18" t="str">
            <v>贾世林</v>
          </cell>
          <cell r="B18">
            <v>7</v>
          </cell>
        </row>
        <row r="19">
          <cell r="A19" t="str">
            <v>景丞</v>
          </cell>
          <cell r="B19">
            <v>9</v>
          </cell>
        </row>
        <row r="20">
          <cell r="A20" t="str">
            <v>鞠爱宁</v>
          </cell>
          <cell r="B20">
            <v>10</v>
          </cell>
        </row>
        <row r="21">
          <cell r="A21" t="str">
            <v>兰昕蕾</v>
          </cell>
          <cell r="B21">
            <v>8</v>
          </cell>
        </row>
        <row r="22">
          <cell r="A22" t="str">
            <v>李凯文</v>
          </cell>
          <cell r="B22">
            <v>3</v>
          </cell>
        </row>
        <row r="23">
          <cell r="A23" t="str">
            <v>李敏吉</v>
          </cell>
          <cell r="B23">
            <v>5</v>
          </cell>
        </row>
        <row r="24">
          <cell r="A24" t="str">
            <v>李响</v>
          </cell>
          <cell r="B24">
            <v>16</v>
          </cell>
        </row>
        <row r="25">
          <cell r="A25" t="str">
            <v>连静</v>
          </cell>
          <cell r="B25">
            <v>8</v>
          </cell>
        </row>
        <row r="26">
          <cell r="A26" t="str">
            <v>林幸</v>
          </cell>
          <cell r="B26">
            <v>8</v>
          </cell>
        </row>
        <row r="27">
          <cell r="A27" t="str">
            <v>刘惠</v>
          </cell>
          <cell r="B27">
            <v>3</v>
          </cell>
        </row>
        <row r="28">
          <cell r="A28" t="str">
            <v>刘金良</v>
          </cell>
          <cell r="B28">
            <v>1</v>
          </cell>
        </row>
        <row r="29">
          <cell r="A29" t="str">
            <v>陆凯华</v>
          </cell>
          <cell r="B29">
            <v>21</v>
          </cell>
        </row>
        <row r="30">
          <cell r="A30" t="str">
            <v>陆怡晴</v>
          </cell>
          <cell r="B30">
            <v>1</v>
          </cell>
        </row>
        <row r="31">
          <cell r="A31" t="str">
            <v>罗仁杰</v>
          </cell>
          <cell r="B31">
            <v>24</v>
          </cell>
        </row>
        <row r="32">
          <cell r="A32" t="str">
            <v>骆静龙</v>
          </cell>
          <cell r="B32">
            <v>15</v>
          </cell>
        </row>
        <row r="33">
          <cell r="A33" t="str">
            <v>马富强</v>
          </cell>
          <cell r="B33">
            <v>10</v>
          </cell>
        </row>
        <row r="34">
          <cell r="A34" t="str">
            <v>梅凯磊</v>
          </cell>
          <cell r="B34">
            <v>9</v>
          </cell>
        </row>
        <row r="35">
          <cell r="A35" t="str">
            <v>梅苏源</v>
          </cell>
          <cell r="B35">
            <v>11</v>
          </cell>
        </row>
        <row r="36">
          <cell r="A36" t="str">
            <v>潘修滔</v>
          </cell>
          <cell r="B36">
            <v>6</v>
          </cell>
        </row>
        <row r="37">
          <cell r="A37" t="str">
            <v>濮敏</v>
          </cell>
          <cell r="B37">
            <v>2</v>
          </cell>
        </row>
        <row r="38">
          <cell r="A38" t="str">
            <v>钱磊</v>
          </cell>
          <cell r="B38">
            <v>1</v>
          </cell>
        </row>
        <row r="39">
          <cell r="A39" t="str">
            <v>邱玥</v>
          </cell>
          <cell r="B39">
            <v>2</v>
          </cell>
        </row>
        <row r="40">
          <cell r="A40" t="str">
            <v>任欣宇</v>
          </cell>
          <cell r="B40">
            <v>23</v>
          </cell>
        </row>
        <row r="41">
          <cell r="A41" t="str">
            <v>阮靖龙</v>
          </cell>
          <cell r="B41">
            <v>2</v>
          </cell>
        </row>
        <row r="42">
          <cell r="A42" t="str">
            <v>沈志贇</v>
          </cell>
          <cell r="B42">
            <v>1</v>
          </cell>
        </row>
        <row r="43">
          <cell r="A43" t="str">
            <v>史朋飞</v>
          </cell>
          <cell r="B43">
            <v>2</v>
          </cell>
        </row>
        <row r="44">
          <cell r="A44" t="str">
            <v>谭学彤</v>
          </cell>
          <cell r="B44">
            <v>3</v>
          </cell>
        </row>
        <row r="45">
          <cell r="A45" t="str">
            <v>田振宇</v>
          </cell>
          <cell r="B45">
            <v>3</v>
          </cell>
        </row>
        <row r="46">
          <cell r="A46" t="str">
            <v>佟嘉欣</v>
          </cell>
          <cell r="B46">
            <v>3</v>
          </cell>
        </row>
        <row r="47">
          <cell r="A47" t="str">
            <v>万珊红</v>
          </cell>
          <cell r="B47">
            <v>15</v>
          </cell>
        </row>
        <row r="48">
          <cell r="A48" t="str">
            <v>王萌萌</v>
          </cell>
          <cell r="B48">
            <v>8</v>
          </cell>
        </row>
        <row r="49">
          <cell r="A49" t="str">
            <v>王双钰</v>
          </cell>
          <cell r="B49">
            <v>1</v>
          </cell>
        </row>
        <row r="50">
          <cell r="A50" t="str">
            <v>王言哲</v>
          </cell>
          <cell r="B50">
            <v>20</v>
          </cell>
        </row>
        <row r="51">
          <cell r="A51" t="str">
            <v>王友轩</v>
          </cell>
          <cell r="B51">
            <v>3</v>
          </cell>
        </row>
        <row r="52">
          <cell r="A52" t="str">
            <v>王正超</v>
          </cell>
          <cell r="B52">
            <v>14</v>
          </cell>
        </row>
        <row r="53">
          <cell r="A53" t="str">
            <v>王子枫</v>
          </cell>
          <cell r="B53">
            <v>8</v>
          </cell>
        </row>
        <row r="54">
          <cell r="A54" t="str">
            <v>卫彩萍</v>
          </cell>
          <cell r="B54">
            <v>14</v>
          </cell>
        </row>
        <row r="55">
          <cell r="A55" t="str">
            <v>伍恒</v>
          </cell>
          <cell r="B55">
            <v>11</v>
          </cell>
        </row>
        <row r="56">
          <cell r="A56" t="str">
            <v>姚志环</v>
          </cell>
          <cell r="B56">
            <v>4</v>
          </cell>
        </row>
        <row r="57">
          <cell r="A57" t="str">
            <v>于中宝</v>
          </cell>
          <cell r="B57">
            <v>9</v>
          </cell>
        </row>
        <row r="58">
          <cell r="A58" t="str">
            <v>袁凯</v>
          </cell>
          <cell r="B58">
            <v>3</v>
          </cell>
        </row>
        <row r="59">
          <cell r="A59" t="str">
            <v>张必歌</v>
          </cell>
          <cell r="B59">
            <v>29</v>
          </cell>
        </row>
        <row r="60">
          <cell r="A60" t="str">
            <v>张放</v>
          </cell>
          <cell r="B60">
            <v>21</v>
          </cell>
        </row>
        <row r="61">
          <cell r="A61" t="str">
            <v>张镓奇</v>
          </cell>
          <cell r="B61">
            <v>2</v>
          </cell>
        </row>
        <row r="62">
          <cell r="A62" t="str">
            <v>张倩</v>
          </cell>
          <cell r="B62">
            <v>6</v>
          </cell>
        </row>
        <row r="63">
          <cell r="A63" t="str">
            <v>张顺</v>
          </cell>
          <cell r="B63">
            <v>3</v>
          </cell>
        </row>
        <row r="64">
          <cell r="A64" t="str">
            <v>张雅淇</v>
          </cell>
          <cell r="B64">
            <v>9</v>
          </cell>
        </row>
        <row r="65">
          <cell r="A65" t="str">
            <v>张子璐</v>
          </cell>
          <cell r="B65">
            <v>8</v>
          </cell>
        </row>
        <row r="66">
          <cell r="A66" t="str">
            <v>赵雅婷</v>
          </cell>
          <cell r="B66">
            <v>2</v>
          </cell>
        </row>
        <row r="67">
          <cell r="A67" t="str">
            <v>郑卞钰</v>
          </cell>
          <cell r="B67">
            <v>13</v>
          </cell>
        </row>
        <row r="68">
          <cell r="A68" t="str">
            <v>周浩</v>
          </cell>
          <cell r="B68">
            <v>8</v>
          </cell>
        </row>
        <row r="69">
          <cell r="A69" t="str">
            <v>朱文川</v>
          </cell>
          <cell r="B69">
            <v>6</v>
          </cell>
        </row>
        <row r="70">
          <cell r="A70" t="str">
            <v>诸倩铷</v>
          </cell>
          <cell r="B70">
            <v>4</v>
          </cell>
        </row>
        <row r="71">
          <cell r="A71" t="str">
            <v>总计</v>
          </cell>
          <cell r="B71">
            <v>561</v>
          </cell>
        </row>
      </sheetData>
      <sheetData sheetId="7">
        <row r="1">
          <cell r="I1" t="str">
            <v>主管行员</v>
          </cell>
          <cell r="J1" t="str">
            <v>计数项:变更次数</v>
          </cell>
        </row>
        <row r="2">
          <cell r="I2" t="str">
            <v>曹宁远</v>
          </cell>
          <cell r="J2">
            <v>1</v>
          </cell>
        </row>
        <row r="3">
          <cell r="I3" t="str">
            <v>陈朗</v>
          </cell>
          <cell r="J3">
            <v>1</v>
          </cell>
        </row>
        <row r="4">
          <cell r="I4" t="str">
            <v>丁晨</v>
          </cell>
          <cell r="J4">
            <v>1</v>
          </cell>
        </row>
        <row r="5">
          <cell r="I5" t="str">
            <v>杜乐</v>
          </cell>
          <cell r="J5">
            <v>1</v>
          </cell>
        </row>
        <row r="6">
          <cell r="I6" t="str">
            <v>冯潇</v>
          </cell>
          <cell r="J6">
            <v>1</v>
          </cell>
        </row>
        <row r="7">
          <cell r="I7" t="str">
            <v>高丰韡</v>
          </cell>
          <cell r="J7">
            <v>1</v>
          </cell>
        </row>
        <row r="8">
          <cell r="I8" t="str">
            <v>龚毅磊</v>
          </cell>
          <cell r="J8">
            <v>1</v>
          </cell>
        </row>
        <row r="9">
          <cell r="I9" t="str">
            <v>何韬</v>
          </cell>
          <cell r="J9">
            <v>1</v>
          </cell>
        </row>
        <row r="10">
          <cell r="I10" t="str">
            <v>胡帆</v>
          </cell>
          <cell r="J10">
            <v>1</v>
          </cell>
        </row>
        <row r="11">
          <cell r="I11" t="str">
            <v>黄亦豪</v>
          </cell>
          <cell r="J11">
            <v>1</v>
          </cell>
        </row>
        <row r="12">
          <cell r="I12" t="str">
            <v>嵇雅娟</v>
          </cell>
          <cell r="J12">
            <v>3</v>
          </cell>
        </row>
        <row r="13">
          <cell r="I13" t="str">
            <v>贾世林</v>
          </cell>
          <cell r="J13">
            <v>1</v>
          </cell>
        </row>
        <row r="14">
          <cell r="I14" t="str">
            <v>蒋捷</v>
          </cell>
          <cell r="J14">
            <v>1</v>
          </cell>
        </row>
        <row r="15">
          <cell r="I15" t="str">
            <v>景丞</v>
          </cell>
          <cell r="J15">
            <v>1</v>
          </cell>
        </row>
        <row r="16">
          <cell r="I16" t="str">
            <v>鞠爱宁</v>
          </cell>
          <cell r="J16">
            <v>1</v>
          </cell>
        </row>
        <row r="17">
          <cell r="I17" t="str">
            <v>康冉</v>
          </cell>
          <cell r="J17">
            <v>1</v>
          </cell>
        </row>
        <row r="18">
          <cell r="I18" t="str">
            <v>李非凡</v>
          </cell>
          <cell r="J18">
            <v>1</v>
          </cell>
        </row>
        <row r="19">
          <cell r="I19" t="str">
            <v>李凯文</v>
          </cell>
          <cell r="J19">
            <v>2</v>
          </cell>
        </row>
        <row r="20">
          <cell r="I20" t="str">
            <v>李敏吉</v>
          </cell>
          <cell r="J20">
            <v>3</v>
          </cell>
        </row>
        <row r="21">
          <cell r="I21" t="str">
            <v>李天卓</v>
          </cell>
          <cell r="J21">
            <v>2</v>
          </cell>
        </row>
        <row r="22">
          <cell r="I22" t="str">
            <v>李响</v>
          </cell>
          <cell r="J22">
            <v>2</v>
          </cell>
        </row>
        <row r="23">
          <cell r="I23" t="str">
            <v>连静</v>
          </cell>
          <cell r="J23">
            <v>1</v>
          </cell>
        </row>
        <row r="24">
          <cell r="I24" t="str">
            <v>林幸</v>
          </cell>
          <cell r="J24">
            <v>1</v>
          </cell>
        </row>
        <row r="25">
          <cell r="I25" t="str">
            <v>刘惠</v>
          </cell>
          <cell r="J25">
            <v>1</v>
          </cell>
        </row>
        <row r="26">
          <cell r="I26" t="str">
            <v>刘金良</v>
          </cell>
          <cell r="J26">
            <v>1</v>
          </cell>
        </row>
        <row r="27">
          <cell r="I27" t="str">
            <v>刘梦颖</v>
          </cell>
          <cell r="J27">
            <v>2</v>
          </cell>
        </row>
        <row r="28">
          <cell r="I28" t="str">
            <v>陆凯华</v>
          </cell>
          <cell r="J28">
            <v>3</v>
          </cell>
        </row>
        <row r="29">
          <cell r="I29" t="str">
            <v>罗仁杰</v>
          </cell>
          <cell r="J29">
            <v>1</v>
          </cell>
        </row>
        <row r="30">
          <cell r="I30" t="str">
            <v>梅凯磊</v>
          </cell>
          <cell r="J30">
            <v>2</v>
          </cell>
        </row>
        <row r="31">
          <cell r="I31" t="str">
            <v>濮敏</v>
          </cell>
          <cell r="J31">
            <v>1</v>
          </cell>
        </row>
        <row r="32">
          <cell r="I32" t="str">
            <v>钱磊</v>
          </cell>
          <cell r="J32">
            <v>1</v>
          </cell>
        </row>
        <row r="33">
          <cell r="I33" t="str">
            <v>邱玥</v>
          </cell>
          <cell r="J33">
            <v>1</v>
          </cell>
        </row>
        <row r="34">
          <cell r="I34" t="str">
            <v>沈志贇</v>
          </cell>
          <cell r="J34">
            <v>1</v>
          </cell>
        </row>
        <row r="35">
          <cell r="I35" t="str">
            <v>史朋飞</v>
          </cell>
          <cell r="J35">
            <v>1</v>
          </cell>
        </row>
        <row r="36">
          <cell r="I36" t="str">
            <v>万珊红</v>
          </cell>
          <cell r="J36">
            <v>2</v>
          </cell>
        </row>
        <row r="37">
          <cell r="I37" t="str">
            <v>王正超</v>
          </cell>
          <cell r="J37">
            <v>1</v>
          </cell>
        </row>
        <row r="38">
          <cell r="I38" t="str">
            <v>魏乾顺</v>
          </cell>
          <cell r="J38">
            <v>1</v>
          </cell>
        </row>
        <row r="39">
          <cell r="I39" t="str">
            <v>吴小倩</v>
          </cell>
          <cell r="J39">
            <v>1</v>
          </cell>
        </row>
        <row r="40">
          <cell r="I40" t="str">
            <v>伍恒</v>
          </cell>
          <cell r="J40">
            <v>2</v>
          </cell>
        </row>
        <row r="41">
          <cell r="I41" t="str">
            <v>徐成凯</v>
          </cell>
          <cell r="J41">
            <v>1</v>
          </cell>
        </row>
        <row r="42">
          <cell r="I42" t="str">
            <v>杨婧</v>
          </cell>
          <cell r="J42">
            <v>1</v>
          </cell>
        </row>
        <row r="43">
          <cell r="I43" t="str">
            <v>于俊杰</v>
          </cell>
          <cell r="J43">
            <v>1</v>
          </cell>
        </row>
        <row r="44">
          <cell r="I44" t="str">
            <v>于中宝</v>
          </cell>
          <cell r="J44">
            <v>1</v>
          </cell>
        </row>
        <row r="45">
          <cell r="I45" t="str">
            <v>张放</v>
          </cell>
          <cell r="J45">
            <v>2</v>
          </cell>
        </row>
        <row r="46">
          <cell r="I46" t="str">
            <v>张镓奇</v>
          </cell>
          <cell r="J46">
            <v>1</v>
          </cell>
        </row>
        <row r="47">
          <cell r="I47" t="str">
            <v>张子璐</v>
          </cell>
          <cell r="J47">
            <v>1</v>
          </cell>
        </row>
        <row r="48">
          <cell r="I48" t="str">
            <v>赵磐</v>
          </cell>
          <cell r="J48">
            <v>1</v>
          </cell>
        </row>
        <row r="49">
          <cell r="I49" t="str">
            <v>周浩</v>
          </cell>
          <cell r="J49">
            <v>3</v>
          </cell>
        </row>
        <row r="50">
          <cell r="I50" t="str">
            <v>周龙</v>
          </cell>
          <cell r="J50">
            <v>1</v>
          </cell>
        </row>
      </sheetData>
      <sheetData sheetId="8">
        <row r="1">
          <cell r="A1" t="str">
            <v>项目经理</v>
          </cell>
          <cell r="B1" t="str">
            <v>汇总</v>
          </cell>
        </row>
        <row r="2">
          <cell r="A2" t="str">
            <v>曹宁远</v>
          </cell>
          <cell r="B2">
            <v>1</v>
          </cell>
        </row>
        <row r="3">
          <cell r="A3" t="str">
            <v>曹婉茹</v>
          </cell>
          <cell r="B3">
            <v>1</v>
          </cell>
        </row>
        <row r="4">
          <cell r="A4" t="str">
            <v>曾敏锐</v>
          </cell>
          <cell r="B4">
            <v>1</v>
          </cell>
        </row>
        <row r="5">
          <cell r="A5" t="str">
            <v>陈朗</v>
          </cell>
          <cell r="B5">
            <v>1</v>
          </cell>
        </row>
        <row r="6">
          <cell r="A6" t="str">
            <v>崔建文</v>
          </cell>
          <cell r="B6">
            <v>1</v>
          </cell>
        </row>
        <row r="7">
          <cell r="A7" t="str">
            <v>冯潇</v>
          </cell>
          <cell r="B7">
            <v>1</v>
          </cell>
        </row>
        <row r="8">
          <cell r="A8" t="str">
            <v>龚毅磊</v>
          </cell>
          <cell r="B8">
            <v>1</v>
          </cell>
        </row>
        <row r="9">
          <cell r="A9" t="str">
            <v>胡承萱</v>
          </cell>
          <cell r="B9">
            <v>2</v>
          </cell>
        </row>
        <row r="10">
          <cell r="A10" t="str">
            <v>黄佳佳</v>
          </cell>
          <cell r="B10">
            <v>3</v>
          </cell>
        </row>
        <row r="11">
          <cell r="A11" t="str">
            <v>贾世林</v>
          </cell>
          <cell r="B11">
            <v>1</v>
          </cell>
        </row>
        <row r="12">
          <cell r="A12" t="str">
            <v>蒋捷</v>
          </cell>
          <cell r="B12">
            <v>1</v>
          </cell>
        </row>
        <row r="13">
          <cell r="A13" t="str">
            <v>景丞</v>
          </cell>
          <cell r="B13">
            <v>1</v>
          </cell>
        </row>
        <row r="14">
          <cell r="A14" t="str">
            <v>康冉</v>
          </cell>
          <cell r="B14">
            <v>3</v>
          </cell>
        </row>
        <row r="15">
          <cell r="A15" t="str">
            <v>李梦霄</v>
          </cell>
          <cell r="B15">
            <v>1</v>
          </cell>
        </row>
        <row r="16">
          <cell r="A16" t="str">
            <v>李敏吉</v>
          </cell>
          <cell r="B16">
            <v>1</v>
          </cell>
        </row>
        <row r="17">
          <cell r="A17" t="str">
            <v>李响</v>
          </cell>
          <cell r="B17">
            <v>2</v>
          </cell>
        </row>
        <row r="18">
          <cell r="A18" t="str">
            <v>林幸</v>
          </cell>
          <cell r="B18">
            <v>1</v>
          </cell>
        </row>
        <row r="19">
          <cell r="A19" t="str">
            <v>刘惠</v>
          </cell>
          <cell r="B19">
            <v>1</v>
          </cell>
        </row>
        <row r="20">
          <cell r="A20" t="str">
            <v>刘梦颖</v>
          </cell>
          <cell r="B20">
            <v>2</v>
          </cell>
        </row>
        <row r="21">
          <cell r="A21" t="str">
            <v>刘召龙</v>
          </cell>
          <cell r="B21">
            <v>5</v>
          </cell>
        </row>
        <row r="22">
          <cell r="A22" t="str">
            <v>陆凯华</v>
          </cell>
          <cell r="B22">
            <v>1</v>
          </cell>
        </row>
        <row r="23">
          <cell r="A23" t="str">
            <v>陆雨欣</v>
          </cell>
          <cell r="B23">
            <v>4</v>
          </cell>
        </row>
        <row r="24">
          <cell r="A24" t="str">
            <v>梅凯磊</v>
          </cell>
          <cell r="B24">
            <v>2</v>
          </cell>
        </row>
        <row r="25">
          <cell r="A25" t="str">
            <v>钱磊</v>
          </cell>
          <cell r="B25">
            <v>1</v>
          </cell>
        </row>
        <row r="26">
          <cell r="A26" t="str">
            <v>邱玥</v>
          </cell>
          <cell r="B26">
            <v>1</v>
          </cell>
        </row>
        <row r="27">
          <cell r="A27" t="str">
            <v>孙菡悦</v>
          </cell>
          <cell r="B27">
            <v>1</v>
          </cell>
        </row>
        <row r="28">
          <cell r="A28" t="str">
            <v>王枫</v>
          </cell>
          <cell r="B28">
            <v>3</v>
          </cell>
        </row>
        <row r="29">
          <cell r="A29" t="str">
            <v>王晓璇</v>
          </cell>
          <cell r="B29">
            <v>1</v>
          </cell>
        </row>
        <row r="30">
          <cell r="A30" t="str">
            <v>王正超</v>
          </cell>
          <cell r="B30">
            <v>1</v>
          </cell>
        </row>
        <row r="31">
          <cell r="A31" t="str">
            <v>卫彩萍</v>
          </cell>
          <cell r="B31">
            <v>1</v>
          </cell>
        </row>
        <row r="32">
          <cell r="A32" t="str">
            <v>吴小倩</v>
          </cell>
          <cell r="B32">
            <v>2</v>
          </cell>
        </row>
        <row r="33">
          <cell r="A33" t="str">
            <v>伍恒</v>
          </cell>
          <cell r="B33">
            <v>1</v>
          </cell>
        </row>
        <row r="34">
          <cell r="A34" t="str">
            <v>于俊杰</v>
          </cell>
          <cell r="B34">
            <v>1</v>
          </cell>
        </row>
        <row r="35">
          <cell r="A35" t="str">
            <v>于中宝</v>
          </cell>
          <cell r="B35">
            <v>2</v>
          </cell>
        </row>
        <row r="36">
          <cell r="A36" t="str">
            <v>张放</v>
          </cell>
          <cell r="B36">
            <v>1</v>
          </cell>
        </row>
        <row r="37">
          <cell r="A37" t="str">
            <v>张镓奇</v>
          </cell>
          <cell r="B37">
            <v>1</v>
          </cell>
        </row>
        <row r="38">
          <cell r="A38" t="str">
            <v>张子璐</v>
          </cell>
          <cell r="B38">
            <v>1</v>
          </cell>
        </row>
        <row r="39">
          <cell r="A39" t="str">
            <v>赵超</v>
          </cell>
          <cell r="B39">
            <v>1</v>
          </cell>
        </row>
        <row r="40">
          <cell r="A40" t="str">
            <v>周静</v>
          </cell>
          <cell r="B40">
            <v>1</v>
          </cell>
        </row>
        <row r="41">
          <cell r="A41" t="str">
            <v>总计</v>
          </cell>
          <cell r="B41">
            <v>58</v>
          </cell>
        </row>
      </sheetData>
      <sheetData sheetId="9">
        <row r="1">
          <cell r="A1" t="str">
            <v>需求负责人</v>
          </cell>
          <cell r="B1" t="str">
            <v>汇总</v>
          </cell>
        </row>
        <row r="2">
          <cell r="A2" t="str">
            <v>安新宜</v>
          </cell>
          <cell r="B2">
            <v>1</v>
          </cell>
        </row>
        <row r="3">
          <cell r="A3" t="str">
            <v>曹婕</v>
          </cell>
          <cell r="B3">
            <v>1</v>
          </cell>
        </row>
        <row r="4">
          <cell r="A4" t="str">
            <v>曹婉茹</v>
          </cell>
          <cell r="B4">
            <v>7</v>
          </cell>
        </row>
        <row r="5">
          <cell r="A5" t="str">
            <v>陈晨</v>
          </cell>
          <cell r="B5">
            <v>12</v>
          </cell>
        </row>
        <row r="6">
          <cell r="A6" t="str">
            <v>陈笑轩</v>
          </cell>
          <cell r="B6">
            <v>1</v>
          </cell>
        </row>
        <row r="7">
          <cell r="A7" t="str">
            <v>崔建文</v>
          </cell>
          <cell r="B7">
            <v>2</v>
          </cell>
        </row>
        <row r="8">
          <cell r="A8" t="str">
            <v>丁晨</v>
          </cell>
          <cell r="B8">
            <v>2</v>
          </cell>
        </row>
        <row r="9">
          <cell r="A9" t="str">
            <v>杜乐</v>
          </cell>
          <cell r="B9">
            <v>2</v>
          </cell>
        </row>
        <row r="10">
          <cell r="A10" t="str">
            <v>龚毅磊</v>
          </cell>
          <cell r="B10">
            <v>7</v>
          </cell>
        </row>
        <row r="11">
          <cell r="A11" t="str">
            <v>胡楚</v>
          </cell>
          <cell r="B11">
            <v>2</v>
          </cell>
        </row>
        <row r="12">
          <cell r="A12" t="str">
            <v>胡庆</v>
          </cell>
          <cell r="B12">
            <v>1</v>
          </cell>
        </row>
        <row r="13">
          <cell r="A13" t="str">
            <v>胡雯</v>
          </cell>
          <cell r="B13">
            <v>25</v>
          </cell>
        </row>
        <row r="14">
          <cell r="A14" t="str">
            <v>黄哲睿</v>
          </cell>
          <cell r="B14">
            <v>1</v>
          </cell>
        </row>
        <row r="15">
          <cell r="A15" t="str">
            <v>嵇雅娟</v>
          </cell>
          <cell r="B15">
            <v>5</v>
          </cell>
        </row>
        <row r="16">
          <cell r="A16" t="str">
            <v>贾世林</v>
          </cell>
          <cell r="B16">
            <v>1</v>
          </cell>
        </row>
        <row r="17">
          <cell r="A17" t="str">
            <v>蒋嘉石</v>
          </cell>
          <cell r="B17">
            <v>1</v>
          </cell>
        </row>
        <row r="18">
          <cell r="A18" t="str">
            <v>景丞</v>
          </cell>
          <cell r="B18">
            <v>28</v>
          </cell>
        </row>
        <row r="19">
          <cell r="A19" t="str">
            <v>鞠爱宁</v>
          </cell>
          <cell r="B19">
            <v>1</v>
          </cell>
        </row>
        <row r="20">
          <cell r="A20" t="str">
            <v>康冉</v>
          </cell>
          <cell r="B20">
            <v>15</v>
          </cell>
        </row>
        <row r="21">
          <cell r="A21" t="str">
            <v>兰昕蕾</v>
          </cell>
          <cell r="B21">
            <v>2</v>
          </cell>
        </row>
        <row r="22">
          <cell r="A22" t="str">
            <v>李凯文</v>
          </cell>
          <cell r="B22">
            <v>1</v>
          </cell>
        </row>
        <row r="23">
          <cell r="A23" t="str">
            <v>李敏吉</v>
          </cell>
          <cell r="B23">
            <v>3</v>
          </cell>
        </row>
        <row r="24">
          <cell r="A24" t="str">
            <v>李瑞敏</v>
          </cell>
          <cell r="B24">
            <v>3</v>
          </cell>
        </row>
        <row r="25">
          <cell r="A25" t="str">
            <v>李禹凝</v>
          </cell>
          <cell r="B25">
            <v>1</v>
          </cell>
        </row>
        <row r="26">
          <cell r="A26" t="str">
            <v>连静</v>
          </cell>
          <cell r="B26">
            <v>3</v>
          </cell>
        </row>
        <row r="27">
          <cell r="A27" t="str">
            <v>林幸</v>
          </cell>
          <cell r="B27">
            <v>3</v>
          </cell>
        </row>
        <row r="28">
          <cell r="A28" t="str">
            <v>刘惠</v>
          </cell>
          <cell r="B28">
            <v>2</v>
          </cell>
        </row>
        <row r="29">
          <cell r="A29" t="str">
            <v>刘梦颖</v>
          </cell>
          <cell r="B29">
            <v>8</v>
          </cell>
        </row>
        <row r="30">
          <cell r="A30" t="str">
            <v>刘召龙</v>
          </cell>
          <cell r="B30">
            <v>5</v>
          </cell>
        </row>
        <row r="31">
          <cell r="A31" t="str">
            <v>刘子昕</v>
          </cell>
          <cell r="B31">
            <v>6</v>
          </cell>
        </row>
        <row r="32">
          <cell r="A32" t="str">
            <v>陆凯华</v>
          </cell>
          <cell r="B32">
            <v>4</v>
          </cell>
        </row>
        <row r="33">
          <cell r="A33" t="str">
            <v>陆雨欣</v>
          </cell>
          <cell r="B33">
            <v>7</v>
          </cell>
        </row>
        <row r="34">
          <cell r="A34" t="str">
            <v>路立静</v>
          </cell>
          <cell r="B34">
            <v>8</v>
          </cell>
        </row>
        <row r="35">
          <cell r="A35" t="str">
            <v>罗仁杰</v>
          </cell>
          <cell r="B35">
            <v>5</v>
          </cell>
        </row>
        <row r="36">
          <cell r="A36" t="str">
            <v>骆静龙</v>
          </cell>
          <cell r="B36">
            <v>1</v>
          </cell>
        </row>
        <row r="37">
          <cell r="A37" t="str">
            <v>马富强</v>
          </cell>
          <cell r="B37">
            <v>1</v>
          </cell>
        </row>
        <row r="38">
          <cell r="A38" t="str">
            <v>梅凯磊</v>
          </cell>
          <cell r="B38">
            <v>4</v>
          </cell>
        </row>
        <row r="39">
          <cell r="A39" t="str">
            <v>梅苏源</v>
          </cell>
          <cell r="B39">
            <v>12</v>
          </cell>
        </row>
        <row r="40">
          <cell r="A40" t="str">
            <v>潘修滔</v>
          </cell>
          <cell r="B40">
            <v>2</v>
          </cell>
        </row>
        <row r="41">
          <cell r="A41" t="str">
            <v>祁鑫</v>
          </cell>
          <cell r="B41">
            <v>1</v>
          </cell>
        </row>
        <row r="42">
          <cell r="A42" t="str">
            <v>钱磊</v>
          </cell>
          <cell r="B42">
            <v>7</v>
          </cell>
        </row>
        <row r="43">
          <cell r="A43" t="str">
            <v>邱玥</v>
          </cell>
          <cell r="B43">
            <v>1</v>
          </cell>
        </row>
        <row r="44">
          <cell r="A44" t="str">
            <v>任欣宇</v>
          </cell>
          <cell r="B44">
            <v>1</v>
          </cell>
        </row>
        <row r="45">
          <cell r="A45" t="str">
            <v>阮靖龙</v>
          </cell>
          <cell r="B45">
            <v>4</v>
          </cell>
        </row>
        <row r="46">
          <cell r="A46" t="str">
            <v>沈志贇</v>
          </cell>
          <cell r="B46">
            <v>2</v>
          </cell>
        </row>
        <row r="47">
          <cell r="A47" t="str">
            <v>施怡伶</v>
          </cell>
          <cell r="B47">
            <v>1</v>
          </cell>
        </row>
        <row r="48">
          <cell r="A48" t="str">
            <v>孙菡悦</v>
          </cell>
          <cell r="B48">
            <v>2</v>
          </cell>
        </row>
        <row r="49">
          <cell r="A49" t="str">
            <v>佟嘉欣</v>
          </cell>
          <cell r="B49">
            <v>11</v>
          </cell>
        </row>
        <row r="50">
          <cell r="A50" t="str">
            <v>万珊红</v>
          </cell>
          <cell r="B50">
            <v>1</v>
          </cell>
        </row>
        <row r="51">
          <cell r="A51" t="str">
            <v>王璐珊</v>
          </cell>
          <cell r="B51">
            <v>2</v>
          </cell>
        </row>
        <row r="52">
          <cell r="A52" t="str">
            <v>王萌萌</v>
          </cell>
          <cell r="B52">
            <v>4</v>
          </cell>
        </row>
        <row r="53">
          <cell r="A53" t="str">
            <v>王双钰</v>
          </cell>
          <cell r="B53">
            <v>1</v>
          </cell>
        </row>
        <row r="54">
          <cell r="A54" t="str">
            <v>王素雅</v>
          </cell>
          <cell r="B54">
            <v>1</v>
          </cell>
        </row>
        <row r="55">
          <cell r="A55" t="str">
            <v>王言哲</v>
          </cell>
          <cell r="B55">
            <v>8</v>
          </cell>
        </row>
        <row r="56">
          <cell r="A56" t="str">
            <v>王友轩</v>
          </cell>
          <cell r="B56">
            <v>7</v>
          </cell>
        </row>
        <row r="57">
          <cell r="A57" t="str">
            <v>王正超</v>
          </cell>
          <cell r="B57">
            <v>14</v>
          </cell>
        </row>
        <row r="58">
          <cell r="A58" t="str">
            <v>王子路</v>
          </cell>
          <cell r="B58">
            <v>1</v>
          </cell>
        </row>
        <row r="59">
          <cell r="A59" t="str">
            <v>卫彩萍</v>
          </cell>
          <cell r="B59">
            <v>2</v>
          </cell>
        </row>
        <row r="60">
          <cell r="A60" t="str">
            <v>魏佳翔</v>
          </cell>
          <cell r="B60">
            <v>1</v>
          </cell>
        </row>
        <row r="61">
          <cell r="A61" t="str">
            <v>魏榕慧</v>
          </cell>
          <cell r="B61">
            <v>4</v>
          </cell>
        </row>
        <row r="62">
          <cell r="A62" t="str">
            <v>吴小倩</v>
          </cell>
          <cell r="B62">
            <v>5</v>
          </cell>
        </row>
        <row r="63">
          <cell r="A63" t="str">
            <v>伍恒</v>
          </cell>
          <cell r="B63">
            <v>1</v>
          </cell>
        </row>
        <row r="64">
          <cell r="A64" t="str">
            <v>徐倩茹</v>
          </cell>
          <cell r="B64">
            <v>3</v>
          </cell>
        </row>
        <row r="65">
          <cell r="A65" t="str">
            <v>许天凝</v>
          </cell>
          <cell r="B65">
            <v>1</v>
          </cell>
        </row>
        <row r="66">
          <cell r="A66" t="str">
            <v>杨婧</v>
          </cell>
          <cell r="B66">
            <v>1</v>
          </cell>
        </row>
        <row r="67">
          <cell r="A67" t="str">
            <v>杨沁怡</v>
          </cell>
          <cell r="B67">
            <v>1</v>
          </cell>
        </row>
        <row r="68">
          <cell r="A68" t="str">
            <v>于璐</v>
          </cell>
          <cell r="B68">
            <v>1</v>
          </cell>
        </row>
        <row r="69">
          <cell r="A69" t="str">
            <v>于中宝</v>
          </cell>
          <cell r="B69">
            <v>2</v>
          </cell>
        </row>
        <row r="70">
          <cell r="A70" t="str">
            <v>俞振飞</v>
          </cell>
          <cell r="B70">
            <v>1</v>
          </cell>
        </row>
        <row r="71">
          <cell r="A71" t="str">
            <v>袁凯</v>
          </cell>
          <cell r="B71">
            <v>14</v>
          </cell>
        </row>
        <row r="72">
          <cell r="A72" t="str">
            <v>张必歌</v>
          </cell>
          <cell r="B72">
            <v>3</v>
          </cell>
        </row>
        <row r="73">
          <cell r="A73" t="str">
            <v>张放</v>
          </cell>
          <cell r="B73">
            <v>3</v>
          </cell>
        </row>
        <row r="74">
          <cell r="A74" t="str">
            <v>张镓奇</v>
          </cell>
          <cell r="B74">
            <v>1</v>
          </cell>
        </row>
        <row r="75">
          <cell r="A75" t="str">
            <v>张倩</v>
          </cell>
          <cell r="B75">
            <v>2</v>
          </cell>
        </row>
        <row r="76">
          <cell r="A76" t="str">
            <v>张雅淇</v>
          </cell>
          <cell r="B76">
            <v>23</v>
          </cell>
        </row>
        <row r="77">
          <cell r="A77" t="str">
            <v>张娅莉</v>
          </cell>
          <cell r="B77">
            <v>3</v>
          </cell>
        </row>
        <row r="78">
          <cell r="A78" t="str">
            <v>张子璐</v>
          </cell>
          <cell r="B78">
            <v>2</v>
          </cell>
        </row>
        <row r="79">
          <cell r="A79" t="str">
            <v>郑卞钰</v>
          </cell>
          <cell r="B79">
            <v>6</v>
          </cell>
        </row>
        <row r="80">
          <cell r="A80" t="str">
            <v>周浩</v>
          </cell>
          <cell r="B80">
            <v>2</v>
          </cell>
        </row>
        <row r="81">
          <cell r="A81" t="str">
            <v>周龙</v>
          </cell>
          <cell r="B81">
            <v>3</v>
          </cell>
        </row>
        <row r="82">
          <cell r="A82" t="str">
            <v>周叶珉</v>
          </cell>
          <cell r="B82">
            <v>1</v>
          </cell>
        </row>
        <row r="83">
          <cell r="A83" t="str">
            <v>周影</v>
          </cell>
          <cell r="B83">
            <v>3</v>
          </cell>
        </row>
        <row r="84">
          <cell r="A84" t="str">
            <v>诸倩铷</v>
          </cell>
          <cell r="B84">
            <v>2</v>
          </cell>
        </row>
        <row r="85">
          <cell r="A85" t="str">
            <v>邹小芳</v>
          </cell>
          <cell r="B85">
            <v>2</v>
          </cell>
        </row>
        <row r="86">
          <cell r="A86" t="str">
            <v>总计</v>
          </cell>
          <cell r="B86">
            <v>365</v>
          </cell>
        </row>
      </sheetData>
      <sheetData sheetId="1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考勤分析"/>
      <sheetName val="导出计数_部门"/>
      <sheetName val="考勤明细"/>
      <sheetName val="考勤明细 (2)"/>
      <sheetName val="ehr请假"/>
      <sheetName val="透视图"/>
    </sheetNames>
    <sheetDataSet>
      <sheetData sheetId="0">
        <row r="1">
          <cell r="A1" t="str">
            <v>姓名</v>
          </cell>
          <cell r="B1" t="str">
            <v>部门</v>
          </cell>
          <cell r="C1" t="str">
            <v>部门平均加班时长</v>
          </cell>
          <cell r="D1" t="str">
            <v>平均值项:加班时长</v>
          </cell>
          <cell r="E1" t="str">
            <v>高于部门均值</v>
          </cell>
          <cell r="F1" t="str">
            <v>求和项:1h以下</v>
          </cell>
          <cell r="G1" t="str">
            <v>求和项:加班1-2h</v>
          </cell>
          <cell r="H1" t="str">
            <v>求和项:加班2-4h</v>
          </cell>
          <cell r="I1" t="str">
            <v>求和项:加班4h以上</v>
          </cell>
        </row>
        <row r="2">
          <cell r="A2" t="str">
            <v>杨晓彦</v>
          </cell>
          <cell r="B2" t="str">
            <v>综合管理部</v>
          </cell>
          <cell r="C2">
            <v>2.17943392046029</v>
          </cell>
          <cell r="D2">
            <v>2.24363799283521</v>
          </cell>
          <cell r="E2" t="b">
            <v>1</v>
          </cell>
          <cell r="F2">
            <v>8</v>
          </cell>
          <cell r="G2">
            <v>17</v>
          </cell>
          <cell r="H2">
            <v>33</v>
          </cell>
          <cell r="I2">
            <v>4</v>
          </cell>
        </row>
        <row r="3">
          <cell r="A3" t="str">
            <v>顾小萍</v>
          </cell>
          <cell r="B3" t="str">
            <v>综合管理部</v>
          </cell>
          <cell r="C3">
            <v>2.17943392046029</v>
          </cell>
          <cell r="D3">
            <v>2.73982407407699</v>
          </cell>
          <cell r="E3" t="b">
            <v>1</v>
          </cell>
          <cell r="F3">
            <v>1</v>
          </cell>
          <cell r="G3">
            <v>14</v>
          </cell>
          <cell r="H3">
            <v>39</v>
          </cell>
          <cell r="I3">
            <v>6</v>
          </cell>
        </row>
        <row r="4">
          <cell r="A4" t="str">
            <v>武燕蓉</v>
          </cell>
          <cell r="B4" t="str">
            <v>综合管理部</v>
          </cell>
          <cell r="C4">
            <v>2.17943392046029</v>
          </cell>
          <cell r="D4">
            <v>0.812783333321568</v>
          </cell>
          <cell r="E4" t="b">
            <v>0</v>
          </cell>
          <cell r="F4">
            <v>42</v>
          </cell>
          <cell r="G4">
            <v>7</v>
          </cell>
          <cell r="H4">
            <v>1</v>
          </cell>
          <cell r="I4">
            <v>0</v>
          </cell>
        </row>
        <row r="5">
          <cell r="A5" t="str">
            <v>许阿云</v>
          </cell>
          <cell r="B5" t="str">
            <v>综合管理部</v>
          </cell>
          <cell r="C5">
            <v>2.17943392046029</v>
          </cell>
          <cell r="D5">
            <v>2.20509700175829</v>
          </cell>
          <cell r="E5" t="b">
            <v>1</v>
          </cell>
          <cell r="F5">
            <v>7</v>
          </cell>
          <cell r="G5">
            <v>25</v>
          </cell>
          <cell r="H5">
            <v>27</v>
          </cell>
          <cell r="I5">
            <v>4</v>
          </cell>
        </row>
        <row r="6">
          <cell r="A6" t="str">
            <v>胡超亭</v>
          </cell>
          <cell r="B6" t="str">
            <v>综合管理部</v>
          </cell>
          <cell r="C6">
            <v>2.17943392046029</v>
          </cell>
          <cell r="D6">
            <v>1.99369175628019</v>
          </cell>
          <cell r="E6" t="b">
            <v>0</v>
          </cell>
          <cell r="F6">
            <v>3</v>
          </cell>
          <cell r="G6">
            <v>36</v>
          </cell>
          <cell r="H6">
            <v>21</v>
          </cell>
          <cell r="I6">
            <v>2</v>
          </cell>
        </row>
        <row r="7">
          <cell r="A7" t="str">
            <v>宋子夜</v>
          </cell>
          <cell r="B7" t="str">
            <v>综合管理部</v>
          </cell>
          <cell r="C7">
            <v>2.17943392046029</v>
          </cell>
          <cell r="D7">
            <v>2.23944444444201</v>
          </cell>
          <cell r="E7" t="b">
            <v>1</v>
          </cell>
          <cell r="F7">
            <v>7</v>
          </cell>
          <cell r="G7">
            <v>23</v>
          </cell>
          <cell r="H7">
            <v>30</v>
          </cell>
          <cell r="I7">
            <v>3</v>
          </cell>
        </row>
        <row r="8">
          <cell r="A8" t="str">
            <v>杨萍</v>
          </cell>
          <cell r="B8" t="str">
            <v>综合管理部</v>
          </cell>
          <cell r="C8">
            <v>2.17943392046029</v>
          </cell>
          <cell r="D8">
            <v>3.1222595356582</v>
          </cell>
          <cell r="E8" t="b">
            <v>1</v>
          </cell>
          <cell r="F8">
            <v>5</v>
          </cell>
          <cell r="G8">
            <v>13</v>
          </cell>
          <cell r="H8">
            <v>31</v>
          </cell>
          <cell r="I8">
            <v>18</v>
          </cell>
        </row>
        <row r="9">
          <cell r="A9" t="str">
            <v>马亦沁</v>
          </cell>
          <cell r="B9" t="str">
            <v>综合管理部</v>
          </cell>
          <cell r="C9">
            <v>2.17943392046029</v>
          </cell>
          <cell r="D9">
            <v>1.58866319443678</v>
          </cell>
          <cell r="E9" t="b">
            <v>0</v>
          </cell>
          <cell r="F9">
            <v>32</v>
          </cell>
          <cell r="G9">
            <v>8</v>
          </cell>
          <cell r="H9">
            <v>20</v>
          </cell>
          <cell r="I9">
            <v>4</v>
          </cell>
        </row>
        <row r="10">
          <cell r="A10" t="str">
            <v>蒋书润</v>
          </cell>
          <cell r="B10" t="str">
            <v>综合管理部</v>
          </cell>
          <cell r="C10">
            <v>2.17943392046029</v>
          </cell>
          <cell r="D10">
            <v>1.41259408603054</v>
          </cell>
          <cell r="E10" t="b">
            <v>0</v>
          </cell>
          <cell r="F10">
            <v>26</v>
          </cell>
          <cell r="G10">
            <v>22</v>
          </cell>
          <cell r="H10">
            <v>13</v>
          </cell>
          <cell r="I10">
            <v>1</v>
          </cell>
        </row>
        <row r="11">
          <cell r="A11" t="str">
            <v>陈世辉</v>
          </cell>
          <cell r="B11" t="str">
            <v>综合管理部</v>
          </cell>
          <cell r="C11">
            <v>2.17943392046029</v>
          </cell>
          <cell r="D11">
            <v>2.90239787581103</v>
          </cell>
          <cell r="E11" t="b">
            <v>1</v>
          </cell>
          <cell r="F11">
            <v>14</v>
          </cell>
          <cell r="G11">
            <v>18</v>
          </cell>
          <cell r="H11">
            <v>22</v>
          </cell>
          <cell r="I11">
            <v>14</v>
          </cell>
        </row>
        <row r="12">
          <cell r="A12" t="str">
            <v>曹翔</v>
          </cell>
          <cell r="B12" t="str">
            <v>综合管理部</v>
          </cell>
          <cell r="C12">
            <v>2.17943392046029</v>
          </cell>
          <cell r="D12">
            <v>1.78072859746305</v>
          </cell>
          <cell r="E12" t="b">
            <v>0</v>
          </cell>
          <cell r="F12">
            <v>7</v>
          </cell>
          <cell r="G12">
            <v>38</v>
          </cell>
          <cell r="H12">
            <v>15</v>
          </cell>
          <cell r="I12">
            <v>1</v>
          </cell>
        </row>
        <row r="13">
          <cell r="A13" t="str">
            <v>乐洋</v>
          </cell>
          <cell r="B13" t="str">
            <v>综合管理部</v>
          </cell>
          <cell r="C13">
            <v>2.17943392046029</v>
          </cell>
          <cell r="D13">
            <v>3.02901475694307</v>
          </cell>
          <cell r="E13" t="b">
            <v>1</v>
          </cell>
          <cell r="F13">
            <v>11</v>
          </cell>
          <cell r="G13">
            <v>10</v>
          </cell>
          <cell r="H13">
            <v>25</v>
          </cell>
          <cell r="I13">
            <v>18</v>
          </cell>
        </row>
        <row r="14">
          <cell r="A14" t="str">
            <v>陆雨欣</v>
          </cell>
          <cell r="B14" t="str">
            <v>综合管理部</v>
          </cell>
          <cell r="C14">
            <v>2.17943392046029</v>
          </cell>
          <cell r="D14">
            <v>1.99551824211932</v>
          </cell>
          <cell r="E14" t="b">
            <v>0</v>
          </cell>
          <cell r="F14">
            <v>8</v>
          </cell>
          <cell r="G14">
            <v>44</v>
          </cell>
          <cell r="H14">
            <v>8</v>
          </cell>
          <cell r="I14">
            <v>7</v>
          </cell>
        </row>
        <row r="15">
          <cell r="A15" t="str">
            <v>王枫</v>
          </cell>
          <cell r="B15" t="str">
            <v>综合管理部</v>
          </cell>
          <cell r="C15">
            <v>2.17943392046029</v>
          </cell>
          <cell r="D15">
            <v>0.895100182153239</v>
          </cell>
          <cell r="E15" t="b">
            <v>0</v>
          </cell>
          <cell r="F15">
            <v>46</v>
          </cell>
          <cell r="G15">
            <v>11</v>
          </cell>
          <cell r="H15">
            <v>4</v>
          </cell>
          <cell r="I15">
            <v>0</v>
          </cell>
        </row>
        <row r="16">
          <cell r="A16" t="str">
            <v>黄佳佳</v>
          </cell>
          <cell r="B16" t="str">
            <v>综合管理部</v>
          </cell>
          <cell r="C16">
            <v>2.17943392046029</v>
          </cell>
          <cell r="D16">
            <v>3.07502314814095</v>
          </cell>
          <cell r="E16" t="b">
            <v>1</v>
          </cell>
          <cell r="F16">
            <v>4</v>
          </cell>
          <cell r="G16">
            <v>11</v>
          </cell>
          <cell r="H16">
            <v>29</v>
          </cell>
          <cell r="I16">
            <v>16</v>
          </cell>
        </row>
        <row r="17">
          <cell r="A17" t="str">
            <v>刘召龙</v>
          </cell>
          <cell r="B17" t="str">
            <v>综合管理部</v>
          </cell>
          <cell r="C17">
            <v>2.17943392046029</v>
          </cell>
          <cell r="D17">
            <v>0.593819444426723</v>
          </cell>
          <cell r="E17" t="b">
            <v>0</v>
          </cell>
          <cell r="F17">
            <v>8</v>
          </cell>
          <cell r="G17">
            <v>4</v>
          </cell>
          <cell r="H17">
            <v>0</v>
          </cell>
          <cell r="I17">
            <v>0</v>
          </cell>
        </row>
        <row r="18">
          <cell r="A18" t="str">
            <v>曾敏锐</v>
          </cell>
          <cell r="B18" t="str">
            <v>综合管理部</v>
          </cell>
          <cell r="C18">
            <v>2.17943392046029</v>
          </cell>
          <cell r="D18">
            <v>2.80708576997501</v>
          </cell>
          <cell r="E18" t="b">
            <v>1</v>
          </cell>
          <cell r="F18">
            <v>7</v>
          </cell>
          <cell r="G18">
            <v>10</v>
          </cell>
          <cell r="H18">
            <v>26</v>
          </cell>
          <cell r="I18">
            <v>14</v>
          </cell>
        </row>
        <row r="19">
          <cell r="A19" t="str">
            <v>占桐</v>
          </cell>
          <cell r="B19" t="str">
            <v>综合管理部</v>
          </cell>
          <cell r="C19">
            <v>2.17943392046029</v>
          </cell>
          <cell r="D19">
            <v>0.867702821871111</v>
          </cell>
          <cell r="E19" t="b">
            <v>0</v>
          </cell>
          <cell r="F19">
            <v>51</v>
          </cell>
          <cell r="G19">
            <v>11</v>
          </cell>
          <cell r="H19">
            <v>0</v>
          </cell>
          <cell r="I19">
            <v>1</v>
          </cell>
        </row>
        <row r="20">
          <cell r="A20" t="str">
            <v>陈彦百</v>
          </cell>
          <cell r="B20" t="str">
            <v>综合管理部</v>
          </cell>
          <cell r="C20">
            <v>2.17943392046029</v>
          </cell>
          <cell r="D20">
            <v>0.942385361552061</v>
          </cell>
          <cell r="E20" t="b">
            <v>0</v>
          </cell>
          <cell r="F20">
            <v>45</v>
          </cell>
          <cell r="G20">
            <v>15</v>
          </cell>
          <cell r="H20">
            <v>2</v>
          </cell>
          <cell r="I20">
            <v>1</v>
          </cell>
        </row>
        <row r="21">
          <cell r="A21" t="str">
            <v>任若琳</v>
          </cell>
          <cell r="B21" t="str">
            <v>综合管理部</v>
          </cell>
          <cell r="C21">
            <v>2.17943392046029</v>
          </cell>
          <cell r="D21">
            <v>0.454034391544863</v>
          </cell>
          <cell r="E21" t="b">
            <v>0</v>
          </cell>
          <cell r="F21">
            <v>60</v>
          </cell>
          <cell r="G21">
            <v>3</v>
          </cell>
          <cell r="H21">
            <v>0</v>
          </cell>
          <cell r="I21">
            <v>0</v>
          </cell>
        </row>
        <row r="22">
          <cell r="A22" t="str">
            <v>沈子新</v>
          </cell>
          <cell r="B22" t="str">
            <v>综合管理部</v>
          </cell>
          <cell r="C22">
            <v>2.17943392046029</v>
          </cell>
          <cell r="D22">
            <v>0.76149641578142</v>
          </cell>
          <cell r="E22" t="b">
            <v>0</v>
          </cell>
          <cell r="F22">
            <v>49</v>
          </cell>
          <cell r="G22">
            <v>12</v>
          </cell>
          <cell r="H22">
            <v>0</v>
          </cell>
          <cell r="I22">
            <v>1</v>
          </cell>
        </row>
        <row r="23">
          <cell r="A23" t="str">
            <v>张雨轩</v>
          </cell>
          <cell r="B23" t="str">
            <v>综合管理部</v>
          </cell>
          <cell r="C23">
            <v>2.17943392046029</v>
          </cell>
          <cell r="D23">
            <v>1.83358024691402</v>
          </cell>
          <cell r="E23" t="b">
            <v>0</v>
          </cell>
          <cell r="F23">
            <v>17</v>
          </cell>
          <cell r="G23">
            <v>20</v>
          </cell>
          <cell r="H23">
            <v>25</v>
          </cell>
          <cell r="I23">
            <v>1</v>
          </cell>
        </row>
        <row r="24">
          <cell r="A24" t="str">
            <v>温皓文</v>
          </cell>
          <cell r="B24" t="str">
            <v>综合管理部</v>
          </cell>
          <cell r="C24">
            <v>2.17943392046029</v>
          </cell>
          <cell r="D24">
            <v>1.10872311828538</v>
          </cell>
          <cell r="E24" t="b">
            <v>0</v>
          </cell>
          <cell r="F24">
            <v>23</v>
          </cell>
          <cell r="G24">
            <v>34</v>
          </cell>
          <cell r="H24">
            <v>5</v>
          </cell>
          <cell r="I24">
            <v>0</v>
          </cell>
        </row>
        <row r="25">
          <cell r="A25" t="str">
            <v>朱嘉玮</v>
          </cell>
          <cell r="B25" t="str">
            <v>综合管理部</v>
          </cell>
          <cell r="C25">
            <v>2.17943392046029</v>
          </cell>
          <cell r="D25">
            <v>0.498239247318951</v>
          </cell>
          <cell r="E25" t="b">
            <v>0</v>
          </cell>
          <cell r="F25">
            <v>57</v>
          </cell>
          <cell r="G25">
            <v>5</v>
          </cell>
          <cell r="H25">
            <v>0</v>
          </cell>
          <cell r="I25">
            <v>0</v>
          </cell>
        </row>
        <row r="26">
          <cell r="A26" t="str">
            <v>吕晶</v>
          </cell>
          <cell r="B26" t="str">
            <v>综合管理部</v>
          </cell>
          <cell r="C26">
            <v>2.17943392046029</v>
          </cell>
          <cell r="D26">
            <v>0.550595878134294</v>
          </cell>
          <cell r="E26" t="b">
            <v>0</v>
          </cell>
          <cell r="F26">
            <v>58</v>
          </cell>
          <cell r="G26">
            <v>3</v>
          </cell>
          <cell r="H26">
            <v>1</v>
          </cell>
          <cell r="I26">
            <v>0</v>
          </cell>
        </row>
        <row r="27">
          <cell r="A27" t="str">
            <v>刘雅雯</v>
          </cell>
          <cell r="B27" t="str">
            <v>综合管理部</v>
          </cell>
          <cell r="C27">
            <v>2.17943392046029</v>
          </cell>
          <cell r="D27">
            <v>0.552147266321025</v>
          </cell>
          <cell r="E27" t="b">
            <v>0</v>
          </cell>
          <cell r="F27">
            <v>59</v>
          </cell>
          <cell r="G27">
            <v>3</v>
          </cell>
          <cell r="H27">
            <v>1</v>
          </cell>
          <cell r="I27">
            <v>0</v>
          </cell>
        </row>
        <row r="28">
          <cell r="A28" t="str">
            <v>成绘茜</v>
          </cell>
          <cell r="B28" t="str">
            <v>综合管理部</v>
          </cell>
          <cell r="C28">
            <v>2.17943392046029</v>
          </cell>
          <cell r="D28">
            <v>0.466012544798545</v>
          </cell>
          <cell r="E28" t="b">
            <v>0</v>
          </cell>
          <cell r="F28">
            <v>58</v>
          </cell>
          <cell r="G28">
            <v>3</v>
          </cell>
          <cell r="H28">
            <v>1</v>
          </cell>
          <cell r="I28">
            <v>0</v>
          </cell>
        </row>
        <row r="29">
          <cell r="A29" t="str">
            <v>罗辰昊</v>
          </cell>
          <cell r="B29" t="str">
            <v>综合管理部</v>
          </cell>
          <cell r="C29">
            <v>2.17943392046029</v>
          </cell>
          <cell r="D29">
            <v>0.982103174611454</v>
          </cell>
          <cell r="E29" t="b">
            <v>0</v>
          </cell>
          <cell r="F29">
            <v>40</v>
          </cell>
          <cell r="G29">
            <v>18</v>
          </cell>
          <cell r="H29">
            <v>3</v>
          </cell>
          <cell r="I29">
            <v>2</v>
          </cell>
        </row>
        <row r="30">
          <cell r="A30" t="str">
            <v>张漫</v>
          </cell>
          <cell r="B30" t="str">
            <v>综合管理部</v>
          </cell>
          <cell r="C30">
            <v>2.17943392046029</v>
          </cell>
          <cell r="D30">
            <v>0.736349206350352</v>
          </cell>
          <cell r="E30" t="b">
            <v>0</v>
          </cell>
          <cell r="F30">
            <v>49</v>
          </cell>
          <cell r="G30">
            <v>11</v>
          </cell>
          <cell r="H30">
            <v>2</v>
          </cell>
          <cell r="I30">
            <v>1</v>
          </cell>
        </row>
        <row r="31">
          <cell r="A31" t="str">
            <v>宛蕾</v>
          </cell>
          <cell r="B31" t="str">
            <v>综合管理部</v>
          </cell>
          <cell r="C31">
            <v>2.17943392046029</v>
          </cell>
          <cell r="D31">
            <v>0.3380286738468</v>
          </cell>
          <cell r="E31" t="b">
            <v>0</v>
          </cell>
          <cell r="F31">
            <v>62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姚陈潇</v>
          </cell>
          <cell r="B32" t="str">
            <v>综合管理部</v>
          </cell>
          <cell r="C32">
            <v>2.17943392046029</v>
          </cell>
          <cell r="D32">
            <v>0.550681003559035</v>
          </cell>
          <cell r="E32" t="b">
            <v>0</v>
          </cell>
          <cell r="F32">
            <v>58</v>
          </cell>
          <cell r="G32">
            <v>2</v>
          </cell>
          <cell r="H32">
            <v>1</v>
          </cell>
          <cell r="I32">
            <v>1</v>
          </cell>
        </row>
        <row r="33">
          <cell r="A33" t="str">
            <v>朱宇畅</v>
          </cell>
          <cell r="B33" t="str">
            <v>综合管理部</v>
          </cell>
          <cell r="C33">
            <v>2.17943392046029</v>
          </cell>
          <cell r="D33">
            <v>1.02166666666152</v>
          </cell>
          <cell r="E33" t="b">
            <v>0</v>
          </cell>
          <cell r="F33">
            <v>50</v>
          </cell>
          <cell r="G33">
            <v>5</v>
          </cell>
          <cell r="H33">
            <v>3</v>
          </cell>
          <cell r="I33">
            <v>1</v>
          </cell>
        </row>
        <row r="34">
          <cell r="A34" t="str">
            <v>廖宇杰</v>
          </cell>
          <cell r="B34" t="str">
            <v>综合管理部</v>
          </cell>
          <cell r="C34">
            <v>2.17943392046029</v>
          </cell>
          <cell r="D34">
            <v>0.959380692179261</v>
          </cell>
          <cell r="E34" t="b">
            <v>0</v>
          </cell>
          <cell r="F34">
            <v>45</v>
          </cell>
          <cell r="G34">
            <v>12</v>
          </cell>
          <cell r="H34">
            <v>1</v>
          </cell>
          <cell r="I34">
            <v>3</v>
          </cell>
        </row>
        <row r="35">
          <cell r="A35" t="str">
            <v>陈睿菁</v>
          </cell>
          <cell r="B35" t="str">
            <v>综合管理部</v>
          </cell>
          <cell r="C35">
            <v>2.17943392046029</v>
          </cell>
          <cell r="D35">
            <v>0.762898745541949</v>
          </cell>
          <cell r="E35" t="b">
            <v>0</v>
          </cell>
          <cell r="F35">
            <v>51</v>
          </cell>
          <cell r="G35">
            <v>7</v>
          </cell>
          <cell r="H35">
            <v>4</v>
          </cell>
          <cell r="I35">
            <v>0</v>
          </cell>
        </row>
        <row r="36">
          <cell r="A36" t="str">
            <v>单曙兵</v>
          </cell>
          <cell r="B36" t="str">
            <v>数据治理部</v>
          </cell>
          <cell r="C36">
            <v>1.06490645676759</v>
          </cell>
          <cell r="D36">
            <v>1.23100088183428</v>
          </cell>
          <cell r="E36" t="b">
            <v>1</v>
          </cell>
          <cell r="F36">
            <v>28</v>
          </cell>
          <cell r="G36">
            <v>21</v>
          </cell>
          <cell r="H36">
            <v>13</v>
          </cell>
          <cell r="I36">
            <v>1</v>
          </cell>
        </row>
        <row r="37">
          <cell r="A37" t="str">
            <v>庄家宙</v>
          </cell>
          <cell r="B37" t="str">
            <v>数据治理部</v>
          </cell>
          <cell r="C37">
            <v>1.06490645676759</v>
          </cell>
          <cell r="D37">
            <v>1.32756272401762</v>
          </cell>
          <cell r="E37" t="b">
            <v>1</v>
          </cell>
          <cell r="F37">
            <v>3</v>
          </cell>
          <cell r="G37">
            <v>59</v>
          </cell>
          <cell r="H37">
            <v>0</v>
          </cell>
          <cell r="I37">
            <v>0</v>
          </cell>
        </row>
        <row r="38">
          <cell r="A38" t="str">
            <v>李凯达</v>
          </cell>
          <cell r="B38" t="str">
            <v>数据治理部</v>
          </cell>
          <cell r="C38">
            <v>1.06490645676759</v>
          </cell>
          <cell r="D38">
            <v>1.53822580645623</v>
          </cell>
          <cell r="E38" t="b">
            <v>1</v>
          </cell>
          <cell r="F38">
            <v>21</v>
          </cell>
          <cell r="G38">
            <v>15</v>
          </cell>
          <cell r="H38">
            <v>26</v>
          </cell>
          <cell r="I38">
            <v>0</v>
          </cell>
        </row>
        <row r="39">
          <cell r="A39" t="str">
            <v>米俊文</v>
          </cell>
          <cell r="B39" t="str">
            <v>数据治理部</v>
          </cell>
          <cell r="C39">
            <v>1.06490645676759</v>
          </cell>
          <cell r="D39">
            <v>1.88590395479992</v>
          </cell>
          <cell r="E39" t="b">
            <v>1</v>
          </cell>
          <cell r="F39">
            <v>6</v>
          </cell>
          <cell r="G39">
            <v>32</v>
          </cell>
          <cell r="H39">
            <v>20</v>
          </cell>
          <cell r="I39">
            <v>1</v>
          </cell>
        </row>
        <row r="40">
          <cell r="A40" t="str">
            <v>于璐</v>
          </cell>
          <cell r="B40" t="str">
            <v>数据治理部</v>
          </cell>
          <cell r="C40">
            <v>1.06490645676759</v>
          </cell>
          <cell r="D40">
            <v>0.816366120224407</v>
          </cell>
          <cell r="E40" t="b">
            <v>0</v>
          </cell>
          <cell r="F40">
            <v>42</v>
          </cell>
          <cell r="G40">
            <v>18</v>
          </cell>
          <cell r="H40">
            <v>1</v>
          </cell>
          <cell r="I40">
            <v>0</v>
          </cell>
        </row>
        <row r="41">
          <cell r="A41" t="str">
            <v>傅潜林</v>
          </cell>
          <cell r="B41" t="str">
            <v>数据治理部</v>
          </cell>
          <cell r="C41">
            <v>1.06490645676759</v>
          </cell>
          <cell r="D41">
            <v>0.466877394646872</v>
          </cell>
          <cell r="E41" t="b">
            <v>0</v>
          </cell>
          <cell r="F41">
            <v>58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刘燕玲</v>
          </cell>
          <cell r="B42" t="str">
            <v>数据治理部</v>
          </cell>
          <cell r="C42">
            <v>1.06490645676759</v>
          </cell>
          <cell r="D42">
            <v>0.740728597451559</v>
          </cell>
          <cell r="E42" t="b">
            <v>0</v>
          </cell>
          <cell r="F42">
            <v>52</v>
          </cell>
          <cell r="G42">
            <v>5</v>
          </cell>
          <cell r="H42">
            <v>3</v>
          </cell>
          <cell r="I42">
            <v>1</v>
          </cell>
        </row>
        <row r="43">
          <cell r="A43" t="str">
            <v>王玉祥</v>
          </cell>
          <cell r="B43" t="str">
            <v>数据治理部</v>
          </cell>
          <cell r="C43">
            <v>1.06490645676759</v>
          </cell>
          <cell r="D43">
            <v>0.492581967211931</v>
          </cell>
          <cell r="E43" t="b">
            <v>0</v>
          </cell>
          <cell r="F43">
            <v>58</v>
          </cell>
          <cell r="G43">
            <v>3</v>
          </cell>
          <cell r="H43">
            <v>0</v>
          </cell>
          <cell r="I43">
            <v>0</v>
          </cell>
        </row>
        <row r="44">
          <cell r="A44" t="str">
            <v>李焕彰</v>
          </cell>
          <cell r="B44" t="str">
            <v>信息管理部</v>
          </cell>
          <cell r="C44">
            <v>1.41253264094858</v>
          </cell>
          <cell r="D44">
            <v>4.55251282049844</v>
          </cell>
          <cell r="E44" t="b">
            <v>1</v>
          </cell>
          <cell r="F44">
            <v>8</v>
          </cell>
          <cell r="G44">
            <v>3</v>
          </cell>
          <cell r="H44">
            <v>5</v>
          </cell>
          <cell r="I44">
            <v>49</v>
          </cell>
        </row>
        <row r="45">
          <cell r="A45" t="str">
            <v>舒宝龙</v>
          </cell>
          <cell r="B45" t="str">
            <v>信息管理部</v>
          </cell>
          <cell r="C45">
            <v>1.41253264094858</v>
          </cell>
          <cell r="D45">
            <v>0.439226851853891</v>
          </cell>
          <cell r="E45" t="b">
            <v>0</v>
          </cell>
          <cell r="F45">
            <v>49</v>
          </cell>
          <cell r="G45">
            <v>9</v>
          </cell>
          <cell r="H45">
            <v>2</v>
          </cell>
          <cell r="I45">
            <v>0</v>
          </cell>
        </row>
        <row r="46">
          <cell r="A46" t="str">
            <v>孙菡悦</v>
          </cell>
          <cell r="B46" t="str">
            <v>信息管理部</v>
          </cell>
          <cell r="C46">
            <v>1.41253264094858</v>
          </cell>
          <cell r="D46">
            <v>0.483959435631285</v>
          </cell>
          <cell r="E46" t="b">
            <v>0</v>
          </cell>
          <cell r="F46">
            <v>57</v>
          </cell>
          <cell r="G46">
            <v>5</v>
          </cell>
          <cell r="H46">
            <v>0</v>
          </cell>
          <cell r="I46">
            <v>1</v>
          </cell>
        </row>
        <row r="47">
          <cell r="A47" t="str">
            <v>陆应佳玥</v>
          </cell>
          <cell r="B47" t="str">
            <v>信息管理部</v>
          </cell>
          <cell r="C47">
            <v>1.41253264094858</v>
          </cell>
          <cell r="D47">
            <v>0.343551912582594</v>
          </cell>
          <cell r="E47" t="b">
            <v>0</v>
          </cell>
          <cell r="F47">
            <v>59</v>
          </cell>
          <cell r="G47">
            <v>0</v>
          </cell>
          <cell r="H47">
            <v>0</v>
          </cell>
          <cell r="I47">
            <v>2</v>
          </cell>
        </row>
        <row r="48">
          <cell r="A48" t="str">
            <v>刘思言</v>
          </cell>
          <cell r="B48" t="str">
            <v>信息管理部</v>
          </cell>
          <cell r="C48">
            <v>1.41253264094858</v>
          </cell>
          <cell r="D48">
            <v>0.496548269567133</v>
          </cell>
          <cell r="E48" t="b">
            <v>0</v>
          </cell>
          <cell r="F48">
            <v>61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李小萌</v>
          </cell>
          <cell r="B49" t="str">
            <v>信息管理部</v>
          </cell>
          <cell r="C49">
            <v>1.41253264094858</v>
          </cell>
          <cell r="D49">
            <v>0.633087431675121</v>
          </cell>
          <cell r="E49" t="b">
            <v>0</v>
          </cell>
          <cell r="F49">
            <v>52</v>
          </cell>
          <cell r="G49">
            <v>4</v>
          </cell>
          <cell r="H49">
            <v>1</v>
          </cell>
          <cell r="I49">
            <v>4</v>
          </cell>
        </row>
        <row r="50">
          <cell r="A50" t="str">
            <v>汪乐乐</v>
          </cell>
          <cell r="B50" t="str">
            <v>信息管理部</v>
          </cell>
          <cell r="C50">
            <v>1.41253264094858</v>
          </cell>
          <cell r="D50">
            <v>1.19120673951693</v>
          </cell>
          <cell r="E50" t="b">
            <v>0</v>
          </cell>
          <cell r="F50">
            <v>35</v>
          </cell>
          <cell r="G50">
            <v>13</v>
          </cell>
          <cell r="H50">
            <v>12</v>
          </cell>
          <cell r="I50">
            <v>1</v>
          </cell>
        </row>
        <row r="51">
          <cell r="A51" t="str">
            <v>张文婉</v>
          </cell>
          <cell r="B51" t="str">
            <v>信息管理部</v>
          </cell>
          <cell r="C51">
            <v>1.41253264094858</v>
          </cell>
          <cell r="D51">
            <v>0.632513661199959</v>
          </cell>
          <cell r="E51" t="b">
            <v>0</v>
          </cell>
          <cell r="F51">
            <v>49</v>
          </cell>
          <cell r="G51">
            <v>8</v>
          </cell>
          <cell r="H51">
            <v>4</v>
          </cell>
          <cell r="I51">
            <v>0</v>
          </cell>
        </row>
        <row r="52">
          <cell r="A52" t="str">
            <v>曹婉茹</v>
          </cell>
          <cell r="B52" t="str">
            <v>信息管理部</v>
          </cell>
          <cell r="C52">
            <v>1.41253264094858</v>
          </cell>
          <cell r="D52">
            <v>1.22392531876361</v>
          </cell>
          <cell r="E52" t="b">
            <v>0</v>
          </cell>
          <cell r="F52">
            <v>30</v>
          </cell>
          <cell r="G52">
            <v>17</v>
          </cell>
          <cell r="H52">
            <v>12</v>
          </cell>
          <cell r="I52">
            <v>2</v>
          </cell>
        </row>
        <row r="53">
          <cell r="A53" t="str">
            <v>刘子昕</v>
          </cell>
          <cell r="B53" t="str">
            <v>信息管理部</v>
          </cell>
          <cell r="C53">
            <v>1.41253264094858</v>
          </cell>
          <cell r="D53">
            <v>0.388800925924443</v>
          </cell>
          <cell r="E53" t="b">
            <v>0</v>
          </cell>
          <cell r="F53">
            <v>57</v>
          </cell>
          <cell r="G53">
            <v>3</v>
          </cell>
          <cell r="H53">
            <v>0</v>
          </cell>
          <cell r="I53">
            <v>0</v>
          </cell>
        </row>
        <row r="54">
          <cell r="A54" t="str">
            <v>俞筱晨</v>
          </cell>
          <cell r="B54" t="str">
            <v>信息管理部</v>
          </cell>
          <cell r="C54">
            <v>1.41253264094858</v>
          </cell>
          <cell r="D54">
            <v>0.264369114886148</v>
          </cell>
          <cell r="E54" t="b">
            <v>0</v>
          </cell>
          <cell r="F54">
            <v>59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杨陆</v>
          </cell>
          <cell r="B55" t="str">
            <v>信息管理部</v>
          </cell>
          <cell r="C55">
            <v>1.41253264094858</v>
          </cell>
          <cell r="D55">
            <v>0.922810185184547</v>
          </cell>
          <cell r="E55" t="b">
            <v>0</v>
          </cell>
          <cell r="F55">
            <v>41</v>
          </cell>
          <cell r="G55">
            <v>15</v>
          </cell>
          <cell r="H55">
            <v>3</v>
          </cell>
          <cell r="I55">
            <v>1</v>
          </cell>
        </row>
        <row r="56">
          <cell r="A56" t="str">
            <v>王璐珊</v>
          </cell>
          <cell r="B56" t="str">
            <v>信息管理部</v>
          </cell>
          <cell r="C56">
            <v>1.41253264094858</v>
          </cell>
          <cell r="D56">
            <v>1.55925925926302</v>
          </cell>
          <cell r="E56" t="b">
            <v>1</v>
          </cell>
          <cell r="F56">
            <v>21</v>
          </cell>
          <cell r="G56">
            <v>30</v>
          </cell>
          <cell r="H56">
            <v>5</v>
          </cell>
          <cell r="I56">
            <v>7</v>
          </cell>
        </row>
        <row r="57">
          <cell r="A57" t="str">
            <v>魏榕慧</v>
          </cell>
          <cell r="B57" t="str">
            <v>信息管理部</v>
          </cell>
          <cell r="C57">
            <v>1.41253264094858</v>
          </cell>
          <cell r="D57">
            <v>0.941634790521481</v>
          </cell>
          <cell r="E57" t="b">
            <v>0</v>
          </cell>
          <cell r="F57">
            <v>43</v>
          </cell>
          <cell r="G57">
            <v>11</v>
          </cell>
          <cell r="H57">
            <v>7</v>
          </cell>
          <cell r="I57">
            <v>0</v>
          </cell>
        </row>
        <row r="58">
          <cell r="A58" t="str">
            <v>路立静</v>
          </cell>
          <cell r="B58" t="str">
            <v>信息管理部</v>
          </cell>
          <cell r="C58">
            <v>1.41253264094858</v>
          </cell>
          <cell r="D58">
            <v>1.1671493624816</v>
          </cell>
          <cell r="E58" t="b">
            <v>0</v>
          </cell>
          <cell r="F58">
            <v>34</v>
          </cell>
          <cell r="G58">
            <v>14</v>
          </cell>
          <cell r="H58">
            <v>12</v>
          </cell>
          <cell r="I58">
            <v>1</v>
          </cell>
        </row>
        <row r="59">
          <cell r="A59" t="str">
            <v>周叶珉</v>
          </cell>
          <cell r="B59" t="str">
            <v>信息管理部</v>
          </cell>
          <cell r="C59">
            <v>1.41253264094858</v>
          </cell>
          <cell r="D59">
            <v>2.7824074074031</v>
          </cell>
          <cell r="E59" t="b">
            <v>1</v>
          </cell>
          <cell r="F59">
            <v>27</v>
          </cell>
          <cell r="G59">
            <v>6</v>
          </cell>
          <cell r="H59">
            <v>25</v>
          </cell>
          <cell r="I59">
            <v>14</v>
          </cell>
        </row>
        <row r="60">
          <cell r="A60" t="str">
            <v>俞振飞</v>
          </cell>
          <cell r="B60" t="str">
            <v>信息管理部</v>
          </cell>
          <cell r="C60">
            <v>1.41253264094858</v>
          </cell>
          <cell r="D60">
            <v>1.7435035842223</v>
          </cell>
          <cell r="E60" t="b">
            <v>1</v>
          </cell>
          <cell r="F60">
            <v>16</v>
          </cell>
          <cell r="G60">
            <v>26</v>
          </cell>
          <cell r="H60">
            <v>18</v>
          </cell>
          <cell r="I60">
            <v>2</v>
          </cell>
        </row>
        <row r="61">
          <cell r="A61" t="str">
            <v>李瑞敏</v>
          </cell>
          <cell r="B61" t="str">
            <v>信息管理部</v>
          </cell>
          <cell r="C61">
            <v>1.41253264094858</v>
          </cell>
          <cell r="D61">
            <v>3.2266313932995</v>
          </cell>
          <cell r="E61" t="b">
            <v>1</v>
          </cell>
          <cell r="F61">
            <v>12</v>
          </cell>
          <cell r="G61">
            <v>0</v>
          </cell>
          <cell r="H61">
            <v>31</v>
          </cell>
          <cell r="I61">
            <v>20</v>
          </cell>
        </row>
        <row r="62">
          <cell r="A62" t="str">
            <v>韩统优</v>
          </cell>
          <cell r="B62" t="str">
            <v>信息管理部</v>
          </cell>
          <cell r="C62">
            <v>1.41253264094858</v>
          </cell>
          <cell r="D62">
            <v>0.873299808429096</v>
          </cell>
          <cell r="E62" t="b">
            <v>0</v>
          </cell>
          <cell r="F62">
            <v>41</v>
          </cell>
          <cell r="G62">
            <v>11</v>
          </cell>
          <cell r="H62">
            <v>5</v>
          </cell>
          <cell r="I62">
            <v>1</v>
          </cell>
        </row>
        <row r="63">
          <cell r="A63" t="str">
            <v>宋轲</v>
          </cell>
          <cell r="B63" t="str">
            <v>信息管理部</v>
          </cell>
          <cell r="C63">
            <v>1.41253264094858</v>
          </cell>
          <cell r="D63">
            <v>1.33714351853899</v>
          </cell>
          <cell r="E63" t="b">
            <v>0</v>
          </cell>
          <cell r="F63">
            <v>14</v>
          </cell>
          <cell r="G63">
            <v>41</v>
          </cell>
          <cell r="H63">
            <v>5</v>
          </cell>
          <cell r="I63">
            <v>0</v>
          </cell>
        </row>
        <row r="64">
          <cell r="A64" t="str">
            <v>胡承萱</v>
          </cell>
          <cell r="B64" t="str">
            <v>信息管理部</v>
          </cell>
          <cell r="C64">
            <v>1.41253264094858</v>
          </cell>
          <cell r="D64">
            <v>2.72961469536136</v>
          </cell>
          <cell r="E64" t="b">
            <v>1</v>
          </cell>
          <cell r="F64">
            <v>7</v>
          </cell>
          <cell r="G64">
            <v>0</v>
          </cell>
          <cell r="H64">
            <v>54</v>
          </cell>
          <cell r="I64">
            <v>1</v>
          </cell>
        </row>
        <row r="65">
          <cell r="A65" t="str">
            <v>蒋嘉石</v>
          </cell>
          <cell r="B65" t="str">
            <v>信息管理部</v>
          </cell>
          <cell r="C65">
            <v>1.41253264094858</v>
          </cell>
          <cell r="D65">
            <v>1.48971759259584</v>
          </cell>
          <cell r="E65" t="b">
            <v>1</v>
          </cell>
          <cell r="F65">
            <v>8</v>
          </cell>
          <cell r="G65">
            <v>46</v>
          </cell>
          <cell r="H65">
            <v>5</v>
          </cell>
          <cell r="I65">
            <v>1</v>
          </cell>
        </row>
        <row r="66">
          <cell r="A66" t="str">
            <v>张鑫</v>
          </cell>
          <cell r="B66" t="str">
            <v>信息管理部</v>
          </cell>
          <cell r="C66">
            <v>1.41253264094858</v>
          </cell>
          <cell r="D66">
            <v>1.94587499999616</v>
          </cell>
          <cell r="E66" t="b">
            <v>1</v>
          </cell>
          <cell r="F66">
            <v>15</v>
          </cell>
          <cell r="G66">
            <v>24</v>
          </cell>
          <cell r="H66">
            <v>16</v>
          </cell>
          <cell r="I66">
            <v>5</v>
          </cell>
        </row>
        <row r="67">
          <cell r="A67" t="str">
            <v>林子琪</v>
          </cell>
          <cell r="B67" t="str">
            <v>信息管理部</v>
          </cell>
          <cell r="C67">
            <v>1.41253264094858</v>
          </cell>
          <cell r="D67">
            <v>1.91887962960852</v>
          </cell>
          <cell r="E67" t="b">
            <v>1</v>
          </cell>
          <cell r="F67">
            <v>7</v>
          </cell>
          <cell r="G67">
            <v>22</v>
          </cell>
          <cell r="H67">
            <v>31</v>
          </cell>
          <cell r="I67">
            <v>0</v>
          </cell>
        </row>
        <row r="68">
          <cell r="A68" t="str">
            <v>施怡伶</v>
          </cell>
          <cell r="B68" t="str">
            <v>信息管理部</v>
          </cell>
          <cell r="C68">
            <v>1.41253264094858</v>
          </cell>
          <cell r="D68">
            <v>0.732163978494599</v>
          </cell>
          <cell r="E68" t="b">
            <v>0</v>
          </cell>
          <cell r="F68">
            <v>45</v>
          </cell>
          <cell r="G68">
            <v>16</v>
          </cell>
          <cell r="H68">
            <v>1</v>
          </cell>
          <cell r="I68">
            <v>0</v>
          </cell>
        </row>
        <row r="69">
          <cell r="A69" t="str">
            <v>郭骏</v>
          </cell>
          <cell r="B69" t="str">
            <v>信息管理部</v>
          </cell>
          <cell r="C69">
            <v>1.41253264094858</v>
          </cell>
          <cell r="D69">
            <v>1.58145161289271</v>
          </cell>
          <cell r="E69" t="b">
            <v>1</v>
          </cell>
          <cell r="F69">
            <v>27</v>
          </cell>
          <cell r="G69">
            <v>19</v>
          </cell>
          <cell r="H69">
            <v>10</v>
          </cell>
          <cell r="I69">
            <v>6</v>
          </cell>
        </row>
        <row r="70">
          <cell r="A70" t="str">
            <v>范佳</v>
          </cell>
          <cell r="B70" t="str">
            <v>信息管理部</v>
          </cell>
          <cell r="C70">
            <v>1.41253264094858</v>
          </cell>
          <cell r="D70">
            <v>2.28154846335058</v>
          </cell>
          <cell r="E70" t="b">
            <v>1</v>
          </cell>
          <cell r="F70">
            <v>6</v>
          </cell>
          <cell r="G70">
            <v>14</v>
          </cell>
          <cell r="H70">
            <v>22</v>
          </cell>
          <cell r="I70">
            <v>5</v>
          </cell>
        </row>
        <row r="71">
          <cell r="A71" t="str">
            <v>白迪</v>
          </cell>
          <cell r="B71" t="str">
            <v>数据平台部</v>
          </cell>
          <cell r="C71">
            <v>2.15069903978101</v>
          </cell>
          <cell r="D71">
            <v>1.95347442681576</v>
          </cell>
          <cell r="E71" t="b">
            <v>0</v>
          </cell>
          <cell r="F71">
            <v>11</v>
          </cell>
          <cell r="G71">
            <v>39</v>
          </cell>
          <cell r="H71">
            <v>3</v>
          </cell>
          <cell r="I71">
            <v>10</v>
          </cell>
        </row>
        <row r="72">
          <cell r="A72" t="str">
            <v>曹宁远</v>
          </cell>
          <cell r="B72" t="str">
            <v>数据平台部</v>
          </cell>
          <cell r="C72">
            <v>2.15069903978101</v>
          </cell>
          <cell r="D72">
            <v>1.41623655913563</v>
          </cell>
          <cell r="E72" t="b">
            <v>0</v>
          </cell>
          <cell r="F72">
            <v>21</v>
          </cell>
          <cell r="G72">
            <v>24</v>
          </cell>
          <cell r="H72">
            <v>15</v>
          </cell>
          <cell r="I72">
            <v>2</v>
          </cell>
        </row>
        <row r="73">
          <cell r="A73" t="str">
            <v>伍恒</v>
          </cell>
          <cell r="B73" t="str">
            <v>数据平台部</v>
          </cell>
          <cell r="C73">
            <v>2.15069903978101</v>
          </cell>
          <cell r="D73">
            <v>2.38396892655578</v>
          </cell>
          <cell r="E73" t="b">
            <v>1</v>
          </cell>
          <cell r="F73">
            <v>12</v>
          </cell>
          <cell r="G73">
            <v>32</v>
          </cell>
          <cell r="H73">
            <v>5</v>
          </cell>
          <cell r="I73">
            <v>10</v>
          </cell>
        </row>
        <row r="74">
          <cell r="A74" t="str">
            <v>濮敏</v>
          </cell>
          <cell r="B74" t="str">
            <v>数据平台部</v>
          </cell>
          <cell r="C74">
            <v>2.15069903978101</v>
          </cell>
          <cell r="D74">
            <v>0.550550925928595</v>
          </cell>
          <cell r="E74" t="b">
            <v>0</v>
          </cell>
          <cell r="F74">
            <v>58</v>
          </cell>
          <cell r="G74">
            <v>2</v>
          </cell>
          <cell r="H74">
            <v>0</v>
          </cell>
          <cell r="I74">
            <v>0</v>
          </cell>
        </row>
        <row r="75">
          <cell r="A75" t="str">
            <v>沈志贇</v>
          </cell>
          <cell r="B75" t="str">
            <v>数据平台部</v>
          </cell>
          <cell r="C75">
            <v>2.15069903978101</v>
          </cell>
          <cell r="D75">
            <v>1.13954545454048</v>
          </cell>
          <cell r="E75" t="b">
            <v>0</v>
          </cell>
          <cell r="F75">
            <v>27</v>
          </cell>
          <cell r="G75">
            <v>36</v>
          </cell>
          <cell r="H75">
            <v>1</v>
          </cell>
          <cell r="I75">
            <v>2</v>
          </cell>
        </row>
        <row r="76">
          <cell r="A76" t="str">
            <v>朱文川</v>
          </cell>
          <cell r="B76" t="str">
            <v>数据平台部</v>
          </cell>
          <cell r="C76">
            <v>2.15069903978101</v>
          </cell>
          <cell r="D76">
            <v>1.48216094771273</v>
          </cell>
          <cell r="E76" t="b">
            <v>0</v>
          </cell>
          <cell r="F76">
            <v>30</v>
          </cell>
          <cell r="G76">
            <v>31</v>
          </cell>
          <cell r="H76">
            <v>1</v>
          </cell>
          <cell r="I76">
            <v>6</v>
          </cell>
        </row>
        <row r="77">
          <cell r="A77" t="str">
            <v>王双钰</v>
          </cell>
          <cell r="B77" t="str">
            <v>数据平台部</v>
          </cell>
          <cell r="C77">
            <v>2.15069903978101</v>
          </cell>
          <cell r="D77">
            <v>0.942661290312366</v>
          </cell>
          <cell r="E77" t="b">
            <v>0</v>
          </cell>
          <cell r="F77">
            <v>45</v>
          </cell>
          <cell r="G77">
            <v>15</v>
          </cell>
          <cell r="H77">
            <v>0</v>
          </cell>
          <cell r="I77">
            <v>2</v>
          </cell>
        </row>
        <row r="78">
          <cell r="A78" t="str">
            <v>吕丽丽</v>
          </cell>
          <cell r="B78" t="str">
            <v>数据平台部</v>
          </cell>
          <cell r="C78">
            <v>2.15069903978101</v>
          </cell>
          <cell r="D78">
            <v>0.843915343913804</v>
          </cell>
          <cell r="E78" t="b">
            <v>0</v>
          </cell>
          <cell r="F78">
            <v>49</v>
          </cell>
          <cell r="G78">
            <v>13</v>
          </cell>
          <cell r="H78">
            <v>0</v>
          </cell>
          <cell r="I78">
            <v>1</v>
          </cell>
        </row>
        <row r="79">
          <cell r="A79" t="str">
            <v>陈玉思</v>
          </cell>
          <cell r="B79" t="str">
            <v>数据平台部</v>
          </cell>
          <cell r="C79">
            <v>2.15069903978101</v>
          </cell>
          <cell r="D79">
            <v>1.26271402548625</v>
          </cell>
          <cell r="E79" t="b">
            <v>0</v>
          </cell>
          <cell r="F79">
            <v>38</v>
          </cell>
          <cell r="G79">
            <v>18</v>
          </cell>
          <cell r="H79">
            <v>1</v>
          </cell>
          <cell r="I79">
            <v>4</v>
          </cell>
        </row>
        <row r="80">
          <cell r="A80" t="str">
            <v>魏佳翔</v>
          </cell>
          <cell r="B80" t="str">
            <v>数据平台部</v>
          </cell>
          <cell r="C80">
            <v>2.15069903978101</v>
          </cell>
          <cell r="D80">
            <v>1.60906944443899</v>
          </cell>
          <cell r="E80" t="b">
            <v>0</v>
          </cell>
          <cell r="F80">
            <v>30</v>
          </cell>
          <cell r="G80">
            <v>18</v>
          </cell>
          <cell r="H80">
            <v>5</v>
          </cell>
          <cell r="I80">
            <v>7</v>
          </cell>
        </row>
        <row r="81">
          <cell r="A81" t="str">
            <v>鞠爱宁</v>
          </cell>
          <cell r="B81" t="str">
            <v>数据平台部</v>
          </cell>
          <cell r="C81">
            <v>2.15069903978101</v>
          </cell>
          <cell r="D81">
            <v>3.05393589742912</v>
          </cell>
          <cell r="E81" t="b">
            <v>1</v>
          </cell>
          <cell r="F81">
            <v>4</v>
          </cell>
          <cell r="G81">
            <v>8</v>
          </cell>
          <cell r="H81">
            <v>37</v>
          </cell>
          <cell r="I81">
            <v>16</v>
          </cell>
        </row>
        <row r="82">
          <cell r="A82" t="str">
            <v>周浩</v>
          </cell>
          <cell r="B82" t="str">
            <v>数据平台部</v>
          </cell>
          <cell r="C82">
            <v>2.15069903978101</v>
          </cell>
          <cell r="D82">
            <v>2.7279999999766</v>
          </cell>
          <cell r="E82" t="b">
            <v>1</v>
          </cell>
          <cell r="F82">
            <v>9</v>
          </cell>
          <cell r="G82">
            <v>11</v>
          </cell>
          <cell r="H82">
            <v>24</v>
          </cell>
          <cell r="I82">
            <v>16</v>
          </cell>
        </row>
        <row r="83">
          <cell r="A83" t="str">
            <v>胡帆</v>
          </cell>
          <cell r="B83" t="str">
            <v>数据平台部</v>
          </cell>
          <cell r="C83">
            <v>2.15069903978101</v>
          </cell>
          <cell r="D83">
            <v>2.65690860213832</v>
          </cell>
          <cell r="E83" t="b">
            <v>1</v>
          </cell>
          <cell r="F83">
            <v>15</v>
          </cell>
          <cell r="G83">
            <v>2</v>
          </cell>
          <cell r="H83">
            <v>29</v>
          </cell>
          <cell r="I83">
            <v>16</v>
          </cell>
        </row>
        <row r="84">
          <cell r="A84" t="str">
            <v>安新宜</v>
          </cell>
          <cell r="B84" t="str">
            <v>数据平台部</v>
          </cell>
          <cell r="C84">
            <v>2.15069903978101</v>
          </cell>
          <cell r="D84">
            <v>3.02768214937723</v>
          </cell>
          <cell r="E84" t="b">
            <v>1</v>
          </cell>
          <cell r="F84">
            <v>15</v>
          </cell>
          <cell r="G84">
            <v>16</v>
          </cell>
          <cell r="H84">
            <v>5</v>
          </cell>
          <cell r="I84">
            <v>25</v>
          </cell>
        </row>
        <row r="85">
          <cell r="A85" t="str">
            <v>张放</v>
          </cell>
          <cell r="B85" t="str">
            <v>数据平台部</v>
          </cell>
          <cell r="C85">
            <v>2.15069903978101</v>
          </cell>
          <cell r="D85">
            <v>3.53113675214297</v>
          </cell>
          <cell r="E85" t="b">
            <v>1</v>
          </cell>
          <cell r="F85">
            <v>7</v>
          </cell>
          <cell r="G85">
            <v>17</v>
          </cell>
          <cell r="H85">
            <v>14</v>
          </cell>
          <cell r="I85">
            <v>27</v>
          </cell>
        </row>
        <row r="86">
          <cell r="A86" t="str">
            <v>任欣宇</v>
          </cell>
          <cell r="B86" t="str">
            <v>数据平台部</v>
          </cell>
          <cell r="C86">
            <v>2.15069903978101</v>
          </cell>
          <cell r="D86">
            <v>2.34635521885304</v>
          </cell>
          <cell r="E86" t="b">
            <v>1</v>
          </cell>
          <cell r="F86">
            <v>27</v>
          </cell>
          <cell r="G86">
            <v>15</v>
          </cell>
          <cell r="H86">
            <v>6</v>
          </cell>
          <cell r="I86">
            <v>18</v>
          </cell>
        </row>
        <row r="87">
          <cell r="A87" t="str">
            <v>刘金良</v>
          </cell>
          <cell r="B87" t="str">
            <v>数据平台部</v>
          </cell>
          <cell r="C87">
            <v>2.15069903978101</v>
          </cell>
          <cell r="D87">
            <v>2.26006272401109</v>
          </cell>
          <cell r="E87" t="b">
            <v>1</v>
          </cell>
          <cell r="F87">
            <v>14</v>
          </cell>
          <cell r="G87">
            <v>8</v>
          </cell>
          <cell r="H87">
            <v>36</v>
          </cell>
          <cell r="I87">
            <v>4</v>
          </cell>
        </row>
        <row r="88">
          <cell r="A88" t="str">
            <v>吴证</v>
          </cell>
          <cell r="B88" t="str">
            <v>数据平台部</v>
          </cell>
          <cell r="C88">
            <v>2.15069903978101</v>
          </cell>
          <cell r="D88">
            <v>2.04114754099044</v>
          </cell>
          <cell r="E88" t="b">
            <v>0</v>
          </cell>
          <cell r="F88">
            <v>14</v>
          </cell>
          <cell r="G88">
            <v>24</v>
          </cell>
          <cell r="H88">
            <v>19</v>
          </cell>
          <cell r="I88">
            <v>4</v>
          </cell>
        </row>
        <row r="89">
          <cell r="A89" t="str">
            <v>王正超</v>
          </cell>
          <cell r="B89" t="str">
            <v>数据平台部</v>
          </cell>
          <cell r="C89">
            <v>2.15069903978101</v>
          </cell>
          <cell r="D89">
            <v>3.19607692307148</v>
          </cell>
          <cell r="E89" t="b">
            <v>1</v>
          </cell>
          <cell r="F89">
            <v>7</v>
          </cell>
          <cell r="G89">
            <v>13</v>
          </cell>
          <cell r="H89">
            <v>30</v>
          </cell>
          <cell r="I89">
            <v>15</v>
          </cell>
        </row>
        <row r="90">
          <cell r="A90" t="str">
            <v>梅凯磊</v>
          </cell>
          <cell r="B90" t="str">
            <v>数据平台部</v>
          </cell>
          <cell r="C90">
            <v>2.15069903978101</v>
          </cell>
          <cell r="D90">
            <v>1.48038194443922</v>
          </cell>
          <cell r="E90" t="b">
            <v>0</v>
          </cell>
          <cell r="F90">
            <v>32</v>
          </cell>
          <cell r="G90">
            <v>17</v>
          </cell>
          <cell r="H90">
            <v>1</v>
          </cell>
          <cell r="I90">
            <v>6</v>
          </cell>
        </row>
        <row r="91">
          <cell r="A91" t="str">
            <v>李敏吉</v>
          </cell>
          <cell r="B91" t="str">
            <v>数据平台部</v>
          </cell>
          <cell r="C91">
            <v>2.15069903978101</v>
          </cell>
          <cell r="D91">
            <v>2.49472222222964</v>
          </cell>
          <cell r="E91" t="b">
            <v>1</v>
          </cell>
          <cell r="F91">
            <v>14</v>
          </cell>
          <cell r="G91">
            <v>18</v>
          </cell>
          <cell r="H91">
            <v>16</v>
          </cell>
          <cell r="I91">
            <v>17</v>
          </cell>
        </row>
        <row r="92">
          <cell r="A92" t="str">
            <v>万珊红</v>
          </cell>
          <cell r="B92" t="str">
            <v>数据平台部</v>
          </cell>
          <cell r="C92">
            <v>2.15069903978101</v>
          </cell>
          <cell r="D92">
            <v>3.4093813131454</v>
          </cell>
          <cell r="E92" t="b">
            <v>1</v>
          </cell>
          <cell r="F92">
            <v>21</v>
          </cell>
          <cell r="G92">
            <v>12</v>
          </cell>
          <cell r="H92">
            <v>7</v>
          </cell>
          <cell r="I92">
            <v>26</v>
          </cell>
        </row>
        <row r="93">
          <cell r="A93" t="str">
            <v>刘惠</v>
          </cell>
          <cell r="B93" t="str">
            <v>数据平台部</v>
          </cell>
          <cell r="C93">
            <v>2.15069903978101</v>
          </cell>
          <cell r="D93">
            <v>0.934136904767781</v>
          </cell>
          <cell r="E93" t="b">
            <v>0</v>
          </cell>
          <cell r="F93">
            <v>49</v>
          </cell>
          <cell r="G93">
            <v>2</v>
          </cell>
          <cell r="H93">
            <v>1</v>
          </cell>
          <cell r="I93">
            <v>4</v>
          </cell>
        </row>
        <row r="94">
          <cell r="A94" t="str">
            <v>嵇雅娟</v>
          </cell>
          <cell r="B94" t="str">
            <v>数据平台部</v>
          </cell>
          <cell r="C94">
            <v>2.15069903978101</v>
          </cell>
          <cell r="D94">
            <v>1.91983870967318</v>
          </cell>
          <cell r="E94" t="b">
            <v>0</v>
          </cell>
          <cell r="F94">
            <v>32</v>
          </cell>
          <cell r="G94">
            <v>21</v>
          </cell>
          <cell r="H94">
            <v>2</v>
          </cell>
          <cell r="I94">
            <v>7</v>
          </cell>
        </row>
        <row r="95">
          <cell r="A95" t="str">
            <v>佟嘉欣</v>
          </cell>
          <cell r="B95" t="str">
            <v>数据平台部</v>
          </cell>
          <cell r="C95">
            <v>2.15069903978101</v>
          </cell>
          <cell r="D95">
            <v>2.17156810037258</v>
          </cell>
          <cell r="E95" t="b">
            <v>1</v>
          </cell>
          <cell r="F95">
            <v>23</v>
          </cell>
          <cell r="G95">
            <v>20</v>
          </cell>
          <cell r="H95">
            <v>5</v>
          </cell>
          <cell r="I95">
            <v>14</v>
          </cell>
        </row>
        <row r="96">
          <cell r="A96" t="str">
            <v>张顺</v>
          </cell>
          <cell r="B96" t="str">
            <v>数据平台部</v>
          </cell>
          <cell r="C96">
            <v>2.15069903978101</v>
          </cell>
          <cell r="D96">
            <v>1.18844618056391</v>
          </cell>
          <cell r="E96" t="b">
            <v>0</v>
          </cell>
          <cell r="F96">
            <v>30</v>
          </cell>
          <cell r="G96">
            <v>31</v>
          </cell>
          <cell r="H96">
            <v>1</v>
          </cell>
          <cell r="I96">
            <v>2</v>
          </cell>
        </row>
        <row r="97">
          <cell r="A97" t="str">
            <v>史朋飞</v>
          </cell>
          <cell r="B97" t="str">
            <v>数据平台部</v>
          </cell>
          <cell r="C97">
            <v>2.15069903978101</v>
          </cell>
          <cell r="D97">
            <v>2.63784288195438</v>
          </cell>
          <cell r="E97" t="b">
            <v>1</v>
          </cell>
          <cell r="F97">
            <v>11</v>
          </cell>
          <cell r="G97">
            <v>4</v>
          </cell>
          <cell r="H97">
            <v>45</v>
          </cell>
          <cell r="I97">
            <v>4</v>
          </cell>
        </row>
        <row r="98">
          <cell r="A98" t="str">
            <v>李天卓</v>
          </cell>
          <cell r="B98" t="str">
            <v>数据平台部</v>
          </cell>
          <cell r="C98">
            <v>2.15069903978101</v>
          </cell>
          <cell r="D98">
            <v>2.30130070547429</v>
          </cell>
          <cell r="E98" t="b">
            <v>1</v>
          </cell>
          <cell r="F98">
            <v>9</v>
          </cell>
          <cell r="G98">
            <v>30</v>
          </cell>
          <cell r="H98">
            <v>17</v>
          </cell>
          <cell r="I98">
            <v>7</v>
          </cell>
        </row>
        <row r="99">
          <cell r="A99" t="str">
            <v>冯晓煜</v>
          </cell>
          <cell r="B99" t="str">
            <v>数据平台部</v>
          </cell>
          <cell r="C99">
            <v>2.15069903978101</v>
          </cell>
          <cell r="D99">
            <v>1.80117283950538</v>
          </cell>
          <cell r="E99" t="b">
            <v>0</v>
          </cell>
          <cell r="F99">
            <v>18</v>
          </cell>
          <cell r="G99">
            <v>34</v>
          </cell>
          <cell r="H99">
            <v>5</v>
          </cell>
          <cell r="I99">
            <v>6</v>
          </cell>
        </row>
        <row r="100">
          <cell r="A100" t="str">
            <v>冯潇</v>
          </cell>
          <cell r="B100" t="str">
            <v>数据平台部</v>
          </cell>
          <cell r="C100">
            <v>2.15069903978101</v>
          </cell>
          <cell r="D100">
            <v>2.29902973396025</v>
          </cell>
          <cell r="E100" t="b">
            <v>1</v>
          </cell>
          <cell r="F100">
            <v>24</v>
          </cell>
          <cell r="G100">
            <v>25</v>
          </cell>
          <cell r="H100">
            <v>10</v>
          </cell>
          <cell r="I100">
            <v>12</v>
          </cell>
        </row>
        <row r="101">
          <cell r="A101" t="str">
            <v>陈朗</v>
          </cell>
          <cell r="B101" t="str">
            <v>数据平台部</v>
          </cell>
          <cell r="C101">
            <v>2.15069903978101</v>
          </cell>
          <cell r="D101">
            <v>1.26503418802391</v>
          </cell>
          <cell r="E101" t="b">
            <v>0</v>
          </cell>
          <cell r="F101">
            <v>34</v>
          </cell>
          <cell r="G101">
            <v>22</v>
          </cell>
          <cell r="H101">
            <v>7</v>
          </cell>
          <cell r="I101">
            <v>2</v>
          </cell>
        </row>
        <row r="102">
          <cell r="A102" t="str">
            <v>陆凯华</v>
          </cell>
          <cell r="B102" t="str">
            <v>数据平台部</v>
          </cell>
          <cell r="C102">
            <v>2.15069903978101</v>
          </cell>
          <cell r="D102">
            <v>5.4052777777943</v>
          </cell>
          <cell r="E102" t="b">
            <v>1</v>
          </cell>
          <cell r="F102">
            <v>10</v>
          </cell>
          <cell r="G102">
            <v>13</v>
          </cell>
          <cell r="H102">
            <v>11</v>
          </cell>
          <cell r="I102">
            <v>43</v>
          </cell>
        </row>
        <row r="103">
          <cell r="A103" t="str">
            <v>顾恺</v>
          </cell>
          <cell r="B103" t="str">
            <v>数据开发部</v>
          </cell>
          <cell r="C103">
            <v>2.72729368630507</v>
          </cell>
          <cell r="D103">
            <v>3.75801824212488</v>
          </cell>
          <cell r="E103" t="b">
            <v>1</v>
          </cell>
          <cell r="F103">
            <v>4</v>
          </cell>
          <cell r="G103">
            <v>14</v>
          </cell>
          <cell r="H103">
            <v>23</v>
          </cell>
          <cell r="I103">
            <v>26</v>
          </cell>
        </row>
        <row r="104">
          <cell r="A104" t="str">
            <v>杨青</v>
          </cell>
          <cell r="B104" t="str">
            <v>数据开发部</v>
          </cell>
          <cell r="C104">
            <v>2.72729368630507</v>
          </cell>
          <cell r="D104">
            <v>3.36539162113141</v>
          </cell>
          <cell r="E104" t="b">
            <v>1</v>
          </cell>
          <cell r="F104">
            <v>9</v>
          </cell>
          <cell r="G104">
            <v>9</v>
          </cell>
          <cell r="H104">
            <v>22</v>
          </cell>
          <cell r="I104">
            <v>21</v>
          </cell>
        </row>
        <row r="105">
          <cell r="A105" t="str">
            <v>黄哲睿</v>
          </cell>
          <cell r="B105" t="str">
            <v>数据开发部</v>
          </cell>
          <cell r="C105">
            <v>2.72729368630507</v>
          </cell>
          <cell r="D105">
            <v>4.65052083333608</v>
          </cell>
          <cell r="E105" t="b">
            <v>1</v>
          </cell>
          <cell r="F105">
            <v>9</v>
          </cell>
          <cell r="G105">
            <v>2</v>
          </cell>
          <cell r="H105">
            <v>20</v>
          </cell>
          <cell r="I105">
            <v>41</v>
          </cell>
        </row>
        <row r="106">
          <cell r="A106" t="str">
            <v>姚志环</v>
          </cell>
          <cell r="B106" t="str">
            <v>数据开发部</v>
          </cell>
          <cell r="C106">
            <v>2.72729368630507</v>
          </cell>
          <cell r="D106">
            <v>2.30371632996883</v>
          </cell>
          <cell r="E106" t="b">
            <v>0</v>
          </cell>
          <cell r="F106">
            <v>12</v>
          </cell>
          <cell r="G106">
            <v>35</v>
          </cell>
          <cell r="H106">
            <v>10</v>
          </cell>
          <cell r="I106">
            <v>9</v>
          </cell>
        </row>
        <row r="107">
          <cell r="A107" t="str">
            <v>丁晨</v>
          </cell>
          <cell r="B107" t="str">
            <v>数据开发部</v>
          </cell>
          <cell r="C107">
            <v>2.72729368630507</v>
          </cell>
          <cell r="D107">
            <v>3.84086377474269</v>
          </cell>
          <cell r="E107" t="b">
            <v>1</v>
          </cell>
          <cell r="F107">
            <v>8</v>
          </cell>
          <cell r="G107">
            <v>4</v>
          </cell>
          <cell r="H107">
            <v>34</v>
          </cell>
          <cell r="I107">
            <v>27</v>
          </cell>
        </row>
        <row r="108">
          <cell r="A108" t="str">
            <v>林幸</v>
          </cell>
          <cell r="B108" t="str">
            <v>数据开发部</v>
          </cell>
          <cell r="C108">
            <v>2.72729368630507</v>
          </cell>
          <cell r="D108">
            <v>3.76056818179451</v>
          </cell>
          <cell r="E108" t="b">
            <v>1</v>
          </cell>
          <cell r="F108">
            <v>6</v>
          </cell>
          <cell r="G108">
            <v>4</v>
          </cell>
          <cell r="H108">
            <v>37</v>
          </cell>
          <cell r="I108">
            <v>19</v>
          </cell>
        </row>
        <row r="109">
          <cell r="A109" t="str">
            <v>邹小芳</v>
          </cell>
          <cell r="B109" t="str">
            <v>数据开发部</v>
          </cell>
          <cell r="C109">
            <v>2.72729368630507</v>
          </cell>
          <cell r="D109">
            <v>3.2647606837599</v>
          </cell>
          <cell r="E109" t="b">
            <v>1</v>
          </cell>
          <cell r="F109">
            <v>13</v>
          </cell>
          <cell r="G109">
            <v>14</v>
          </cell>
          <cell r="H109">
            <v>25</v>
          </cell>
          <cell r="I109">
            <v>13</v>
          </cell>
        </row>
        <row r="110">
          <cell r="A110" t="str">
            <v>潘修滔</v>
          </cell>
          <cell r="B110" t="str">
            <v>数据开发部</v>
          </cell>
          <cell r="C110">
            <v>2.72729368630507</v>
          </cell>
          <cell r="D110">
            <v>2.28609829060554</v>
          </cell>
          <cell r="E110" t="b">
            <v>0</v>
          </cell>
          <cell r="F110">
            <v>4</v>
          </cell>
          <cell r="G110">
            <v>37</v>
          </cell>
          <cell r="H110">
            <v>17</v>
          </cell>
          <cell r="I110">
            <v>7</v>
          </cell>
        </row>
        <row r="111">
          <cell r="A111" t="str">
            <v>陆慧</v>
          </cell>
          <cell r="B111" t="str">
            <v>数据开发部</v>
          </cell>
          <cell r="C111">
            <v>2.72729368630507</v>
          </cell>
          <cell r="D111">
            <v>3.04146650327055</v>
          </cell>
          <cell r="E111" t="b">
            <v>1</v>
          </cell>
          <cell r="F111">
            <v>16</v>
          </cell>
          <cell r="G111">
            <v>16</v>
          </cell>
          <cell r="H111">
            <v>24</v>
          </cell>
          <cell r="I111">
            <v>12</v>
          </cell>
        </row>
        <row r="112">
          <cell r="A112" t="str">
            <v>周龙</v>
          </cell>
          <cell r="B112" t="str">
            <v>数据开发部</v>
          </cell>
          <cell r="C112">
            <v>2.72729368630507</v>
          </cell>
          <cell r="D112">
            <v>2.89792100694376</v>
          </cell>
          <cell r="E112" t="b">
            <v>1</v>
          </cell>
          <cell r="F112">
            <v>12</v>
          </cell>
          <cell r="G112">
            <v>12</v>
          </cell>
          <cell r="H112">
            <v>32</v>
          </cell>
          <cell r="I112">
            <v>8</v>
          </cell>
        </row>
        <row r="113">
          <cell r="A113" t="str">
            <v>田振宇</v>
          </cell>
          <cell r="B113" t="str">
            <v>数据开发部</v>
          </cell>
          <cell r="C113">
            <v>2.72729368630507</v>
          </cell>
          <cell r="D113">
            <v>2.05905458089802</v>
          </cell>
          <cell r="E113" t="b">
            <v>0</v>
          </cell>
          <cell r="F113">
            <v>8</v>
          </cell>
          <cell r="G113">
            <v>17</v>
          </cell>
          <cell r="H113">
            <v>31</v>
          </cell>
          <cell r="I113">
            <v>1</v>
          </cell>
        </row>
        <row r="114">
          <cell r="A114" t="str">
            <v>兰昕蕾</v>
          </cell>
          <cell r="B114" t="str">
            <v>数据开发部</v>
          </cell>
          <cell r="C114">
            <v>2.72729368630507</v>
          </cell>
          <cell r="D114">
            <v>3.99402173914427</v>
          </cell>
          <cell r="E114" t="b">
            <v>1</v>
          </cell>
          <cell r="F114">
            <v>7</v>
          </cell>
          <cell r="G114">
            <v>4</v>
          </cell>
          <cell r="H114">
            <v>33</v>
          </cell>
          <cell r="I114">
            <v>25</v>
          </cell>
        </row>
        <row r="115">
          <cell r="A115" t="str">
            <v>阮靖龙</v>
          </cell>
          <cell r="B115" t="str">
            <v>数据开发部</v>
          </cell>
          <cell r="C115">
            <v>2.72729368630507</v>
          </cell>
          <cell r="D115">
            <v>1.55872895622584</v>
          </cell>
          <cell r="E115" t="b">
            <v>0</v>
          </cell>
          <cell r="F115">
            <v>23</v>
          </cell>
          <cell r="G115">
            <v>37</v>
          </cell>
          <cell r="H115">
            <v>3</v>
          </cell>
          <cell r="I115">
            <v>3</v>
          </cell>
        </row>
        <row r="116">
          <cell r="A116" t="str">
            <v>马富强</v>
          </cell>
          <cell r="B116" t="str">
            <v>数据开发部</v>
          </cell>
          <cell r="C116">
            <v>2.72729368630507</v>
          </cell>
          <cell r="D116">
            <v>3.53421717170965</v>
          </cell>
          <cell r="E116" t="b">
            <v>1</v>
          </cell>
          <cell r="F116">
            <v>7</v>
          </cell>
          <cell r="G116">
            <v>5</v>
          </cell>
          <cell r="H116">
            <v>43</v>
          </cell>
          <cell r="I116">
            <v>11</v>
          </cell>
        </row>
        <row r="117">
          <cell r="A117" t="str">
            <v>袁凯</v>
          </cell>
          <cell r="B117" t="str">
            <v>数据开发部</v>
          </cell>
          <cell r="C117">
            <v>2.72729368630507</v>
          </cell>
          <cell r="D117">
            <v>2.77823529411569</v>
          </cell>
          <cell r="E117" t="b">
            <v>1</v>
          </cell>
          <cell r="F117">
            <v>12</v>
          </cell>
          <cell r="G117">
            <v>18</v>
          </cell>
          <cell r="H117">
            <v>30</v>
          </cell>
          <cell r="I117">
            <v>8</v>
          </cell>
        </row>
        <row r="118">
          <cell r="A118" t="str">
            <v>胡庆</v>
          </cell>
          <cell r="B118" t="str">
            <v>数据开发部</v>
          </cell>
          <cell r="C118">
            <v>2.72729368630507</v>
          </cell>
          <cell r="D118">
            <v>2.86199074073176</v>
          </cell>
          <cell r="E118" t="b">
            <v>1</v>
          </cell>
          <cell r="F118">
            <v>5</v>
          </cell>
          <cell r="G118">
            <v>15</v>
          </cell>
          <cell r="H118">
            <v>32</v>
          </cell>
          <cell r="I118">
            <v>14</v>
          </cell>
        </row>
        <row r="119">
          <cell r="A119" t="str">
            <v>王萌萌</v>
          </cell>
          <cell r="B119" t="str">
            <v>数据开发部</v>
          </cell>
          <cell r="C119">
            <v>2.72729368630507</v>
          </cell>
          <cell r="D119">
            <v>3.30253623189249</v>
          </cell>
          <cell r="E119" t="b">
            <v>1</v>
          </cell>
          <cell r="F119">
            <v>11</v>
          </cell>
          <cell r="G119">
            <v>12</v>
          </cell>
          <cell r="H119">
            <v>28</v>
          </cell>
          <cell r="I119">
            <v>18</v>
          </cell>
        </row>
        <row r="120">
          <cell r="A120" t="str">
            <v>赵雅婷</v>
          </cell>
          <cell r="B120" t="str">
            <v>数据开发部</v>
          </cell>
          <cell r="C120">
            <v>2.72729368630507</v>
          </cell>
          <cell r="D120">
            <v>2.74244871795482</v>
          </cell>
          <cell r="E120" t="b">
            <v>1</v>
          </cell>
          <cell r="F120">
            <v>6</v>
          </cell>
          <cell r="G120">
            <v>20</v>
          </cell>
          <cell r="H120">
            <v>29</v>
          </cell>
          <cell r="I120">
            <v>10</v>
          </cell>
        </row>
        <row r="121">
          <cell r="A121" t="str">
            <v>李禹凝</v>
          </cell>
          <cell r="B121" t="str">
            <v>数据开发部</v>
          </cell>
          <cell r="C121">
            <v>2.72729368630507</v>
          </cell>
          <cell r="D121">
            <v>2.24166239317184</v>
          </cell>
          <cell r="E121" t="b">
            <v>0</v>
          </cell>
          <cell r="F121">
            <v>5</v>
          </cell>
          <cell r="G121">
            <v>23</v>
          </cell>
          <cell r="H121">
            <v>34</v>
          </cell>
          <cell r="I121">
            <v>3</v>
          </cell>
        </row>
        <row r="122">
          <cell r="A122" t="str">
            <v>陈晨</v>
          </cell>
          <cell r="B122" t="str">
            <v>数据开发部</v>
          </cell>
          <cell r="C122">
            <v>2.72729368630507</v>
          </cell>
          <cell r="D122">
            <v>4.1208246527749</v>
          </cell>
          <cell r="E122" t="b">
            <v>1</v>
          </cell>
          <cell r="F122">
            <v>4</v>
          </cell>
          <cell r="G122">
            <v>3</v>
          </cell>
          <cell r="H122">
            <v>39</v>
          </cell>
          <cell r="I122">
            <v>18</v>
          </cell>
        </row>
        <row r="123">
          <cell r="A123" t="str">
            <v>钱磊</v>
          </cell>
          <cell r="B123" t="str">
            <v>数据开发部</v>
          </cell>
          <cell r="C123">
            <v>2.72729368630507</v>
          </cell>
          <cell r="D123">
            <v>4.35773757309959</v>
          </cell>
          <cell r="E123" t="b">
            <v>1</v>
          </cell>
          <cell r="F123">
            <v>8</v>
          </cell>
          <cell r="G123">
            <v>7</v>
          </cell>
          <cell r="H123">
            <v>16</v>
          </cell>
          <cell r="I123">
            <v>45</v>
          </cell>
        </row>
        <row r="124">
          <cell r="A124" t="str">
            <v>张雅淇</v>
          </cell>
          <cell r="B124" t="str">
            <v>数据开发部</v>
          </cell>
          <cell r="C124">
            <v>2.72729368630507</v>
          </cell>
          <cell r="D124">
            <v>1.19004208753397</v>
          </cell>
          <cell r="E124" t="b">
            <v>0</v>
          </cell>
          <cell r="F124">
            <v>43</v>
          </cell>
          <cell r="G124">
            <v>14</v>
          </cell>
          <cell r="H124">
            <v>6</v>
          </cell>
          <cell r="I124">
            <v>3</v>
          </cell>
        </row>
        <row r="125">
          <cell r="A125" t="str">
            <v>胡雯</v>
          </cell>
          <cell r="B125" t="str">
            <v>数据开发部</v>
          </cell>
          <cell r="C125">
            <v>2.72729368630507</v>
          </cell>
          <cell r="D125">
            <v>1.66551470587472</v>
          </cell>
          <cell r="E125" t="b">
            <v>0</v>
          </cell>
          <cell r="F125">
            <v>20</v>
          </cell>
          <cell r="G125">
            <v>34</v>
          </cell>
          <cell r="H125">
            <v>8</v>
          </cell>
          <cell r="I125">
            <v>6</v>
          </cell>
        </row>
        <row r="126">
          <cell r="A126" t="str">
            <v>陈科宇</v>
          </cell>
          <cell r="B126" t="str">
            <v>数据开发部</v>
          </cell>
          <cell r="C126">
            <v>2.72729368630507</v>
          </cell>
          <cell r="D126">
            <v>3.26518162393432</v>
          </cell>
          <cell r="E126" t="b">
            <v>1</v>
          </cell>
          <cell r="F126">
            <v>1</v>
          </cell>
          <cell r="G126">
            <v>14</v>
          </cell>
          <cell r="H126">
            <v>18</v>
          </cell>
          <cell r="I126">
            <v>19</v>
          </cell>
        </row>
        <row r="127">
          <cell r="A127" t="str">
            <v>周影</v>
          </cell>
          <cell r="B127" t="str">
            <v>数据开发部</v>
          </cell>
          <cell r="C127">
            <v>2.72729368630507</v>
          </cell>
          <cell r="D127">
            <v>3.16831723027407</v>
          </cell>
          <cell r="E127" t="b">
            <v>1</v>
          </cell>
          <cell r="F127">
            <v>9</v>
          </cell>
          <cell r="G127">
            <v>19</v>
          </cell>
          <cell r="H127">
            <v>28</v>
          </cell>
          <cell r="I127">
            <v>13</v>
          </cell>
        </row>
        <row r="128">
          <cell r="A128" t="str">
            <v>吴越</v>
          </cell>
          <cell r="B128" t="str">
            <v>数据开发部</v>
          </cell>
          <cell r="C128">
            <v>2.72729368630507</v>
          </cell>
          <cell r="D128">
            <v>0.977686703088694</v>
          </cell>
          <cell r="E128" t="b">
            <v>0</v>
          </cell>
          <cell r="F128">
            <v>37</v>
          </cell>
          <cell r="G128">
            <v>19</v>
          </cell>
          <cell r="H128">
            <v>4</v>
          </cell>
          <cell r="I128">
            <v>1</v>
          </cell>
        </row>
        <row r="129">
          <cell r="A129" t="str">
            <v>康冉</v>
          </cell>
          <cell r="B129" t="str">
            <v>数据开发部</v>
          </cell>
          <cell r="C129">
            <v>2.72729368630507</v>
          </cell>
          <cell r="D129">
            <v>1.81934210526647</v>
          </cell>
          <cell r="E129" t="b">
            <v>0</v>
          </cell>
          <cell r="F129">
            <v>21</v>
          </cell>
          <cell r="G129">
            <v>13</v>
          </cell>
          <cell r="H129">
            <v>19</v>
          </cell>
          <cell r="I129">
            <v>4</v>
          </cell>
        </row>
        <row r="130">
          <cell r="A130" t="str">
            <v>刘梦颖</v>
          </cell>
          <cell r="B130" t="str">
            <v>数据开发部</v>
          </cell>
          <cell r="C130">
            <v>2.72729368630507</v>
          </cell>
          <cell r="D130">
            <v>2.51042328042806</v>
          </cell>
          <cell r="E130" t="b">
            <v>0</v>
          </cell>
          <cell r="F130">
            <v>6</v>
          </cell>
          <cell r="G130">
            <v>10</v>
          </cell>
          <cell r="H130">
            <v>41</v>
          </cell>
          <cell r="I130">
            <v>6</v>
          </cell>
        </row>
        <row r="131">
          <cell r="A131" t="str">
            <v>吴小倩</v>
          </cell>
          <cell r="B131" t="str">
            <v>数据开发部</v>
          </cell>
          <cell r="C131">
            <v>2.72729368630507</v>
          </cell>
          <cell r="D131">
            <v>2.73512786594755</v>
          </cell>
          <cell r="E131" t="b">
            <v>1</v>
          </cell>
          <cell r="F131">
            <v>17</v>
          </cell>
          <cell r="G131">
            <v>11</v>
          </cell>
          <cell r="H131">
            <v>15</v>
          </cell>
          <cell r="I131">
            <v>20</v>
          </cell>
        </row>
        <row r="132">
          <cell r="A132" t="str">
            <v>景丞</v>
          </cell>
          <cell r="B132" t="str">
            <v>数据开发部</v>
          </cell>
          <cell r="C132">
            <v>2.72729368630507</v>
          </cell>
          <cell r="D132">
            <v>2.36982204861579</v>
          </cell>
          <cell r="E132" t="b">
            <v>0</v>
          </cell>
          <cell r="F132">
            <v>13</v>
          </cell>
          <cell r="G132">
            <v>17</v>
          </cell>
          <cell r="H132">
            <v>24</v>
          </cell>
          <cell r="I132">
            <v>10</v>
          </cell>
        </row>
        <row r="133">
          <cell r="A133" t="str">
            <v>卫彩萍</v>
          </cell>
          <cell r="B133" t="str">
            <v>数据开发部</v>
          </cell>
          <cell r="C133">
            <v>2.72729368630507</v>
          </cell>
          <cell r="D133">
            <v>2.4625793650824</v>
          </cell>
          <cell r="E133" t="b">
            <v>0</v>
          </cell>
          <cell r="F133">
            <v>11</v>
          </cell>
          <cell r="G133">
            <v>19</v>
          </cell>
          <cell r="H133">
            <v>20</v>
          </cell>
          <cell r="I133">
            <v>13</v>
          </cell>
        </row>
        <row r="134">
          <cell r="A134" t="str">
            <v>李卓辉</v>
          </cell>
          <cell r="B134" t="str">
            <v>数据开发部</v>
          </cell>
          <cell r="C134">
            <v>2.72729368630507</v>
          </cell>
          <cell r="D134">
            <v>2.12273745520337</v>
          </cell>
          <cell r="E134" t="b">
            <v>0</v>
          </cell>
          <cell r="F134">
            <v>5</v>
          </cell>
          <cell r="G134">
            <v>12</v>
          </cell>
          <cell r="H134">
            <v>45</v>
          </cell>
          <cell r="I134">
            <v>0</v>
          </cell>
        </row>
        <row r="135">
          <cell r="A135" t="str">
            <v>张必歌</v>
          </cell>
          <cell r="B135" t="str">
            <v>数据开发部</v>
          </cell>
          <cell r="C135">
            <v>2.72729368630507</v>
          </cell>
          <cell r="D135">
            <v>0.427969034595156</v>
          </cell>
          <cell r="E135" t="b">
            <v>0</v>
          </cell>
          <cell r="F135">
            <v>55</v>
          </cell>
          <cell r="G135">
            <v>4</v>
          </cell>
          <cell r="H135">
            <v>0</v>
          </cell>
          <cell r="I135">
            <v>2</v>
          </cell>
        </row>
        <row r="136">
          <cell r="A136" t="str">
            <v>李凯文</v>
          </cell>
          <cell r="B136" t="str">
            <v>数据开发部</v>
          </cell>
          <cell r="C136">
            <v>2.72729368630507</v>
          </cell>
          <cell r="D136">
            <v>4.29600600599991</v>
          </cell>
          <cell r="E136" t="b">
            <v>1</v>
          </cell>
          <cell r="F136">
            <v>7</v>
          </cell>
          <cell r="G136">
            <v>21</v>
          </cell>
          <cell r="H136">
            <v>10</v>
          </cell>
          <cell r="I136">
            <v>36</v>
          </cell>
        </row>
        <row r="137">
          <cell r="A137" t="str">
            <v>杜乐</v>
          </cell>
          <cell r="B137" t="str">
            <v>数据开发部</v>
          </cell>
          <cell r="C137">
            <v>2.72729368630507</v>
          </cell>
          <cell r="D137">
            <v>3.07728632478885</v>
          </cell>
          <cell r="E137" t="b">
            <v>1</v>
          </cell>
          <cell r="F137">
            <v>9</v>
          </cell>
          <cell r="G137">
            <v>23</v>
          </cell>
          <cell r="H137">
            <v>16</v>
          </cell>
          <cell r="I137">
            <v>17</v>
          </cell>
        </row>
        <row r="138">
          <cell r="A138" t="str">
            <v>连静</v>
          </cell>
          <cell r="B138" t="str">
            <v>数据开发部</v>
          </cell>
          <cell r="C138">
            <v>2.72729368630507</v>
          </cell>
          <cell r="D138">
            <v>3.37577114428599</v>
          </cell>
          <cell r="E138" t="b">
            <v>1</v>
          </cell>
          <cell r="F138">
            <v>18</v>
          </cell>
          <cell r="G138">
            <v>10</v>
          </cell>
          <cell r="H138">
            <v>7</v>
          </cell>
          <cell r="I138">
            <v>32</v>
          </cell>
        </row>
        <row r="139">
          <cell r="A139" t="str">
            <v>罗仁杰</v>
          </cell>
          <cell r="B139" t="str">
            <v>数据开发部</v>
          </cell>
          <cell r="C139">
            <v>2.72729368630507</v>
          </cell>
          <cell r="D139">
            <v>3.10661580596073</v>
          </cell>
          <cell r="E139" t="b">
            <v>1</v>
          </cell>
          <cell r="F139">
            <v>8</v>
          </cell>
          <cell r="G139">
            <v>19</v>
          </cell>
          <cell r="H139">
            <v>32</v>
          </cell>
          <cell r="I139">
            <v>12</v>
          </cell>
        </row>
        <row r="140">
          <cell r="A140" t="str">
            <v>陈笑轩</v>
          </cell>
          <cell r="B140" t="str">
            <v>数据开发部</v>
          </cell>
          <cell r="C140">
            <v>2.72729368630507</v>
          </cell>
          <cell r="D140">
            <v>1.62991319444245</v>
          </cell>
          <cell r="E140" t="b">
            <v>0</v>
          </cell>
          <cell r="F140">
            <v>23</v>
          </cell>
          <cell r="G140">
            <v>31</v>
          </cell>
          <cell r="H140">
            <v>7</v>
          </cell>
          <cell r="I140">
            <v>3</v>
          </cell>
        </row>
        <row r="141">
          <cell r="A141" t="str">
            <v>骆静龙</v>
          </cell>
          <cell r="B141" t="str">
            <v>数据开发部</v>
          </cell>
          <cell r="C141">
            <v>2.72729368630507</v>
          </cell>
          <cell r="D141">
            <v>2.75849616858639</v>
          </cell>
          <cell r="E141" t="b">
            <v>1</v>
          </cell>
          <cell r="F141">
            <v>7</v>
          </cell>
          <cell r="G141">
            <v>11</v>
          </cell>
          <cell r="H141">
            <v>31</v>
          </cell>
          <cell r="I141">
            <v>9</v>
          </cell>
        </row>
        <row r="142">
          <cell r="A142" t="str">
            <v>王言哲</v>
          </cell>
          <cell r="B142" t="str">
            <v>数据开发部</v>
          </cell>
          <cell r="C142">
            <v>2.72729368630507</v>
          </cell>
          <cell r="D142">
            <v>2.29612874781014</v>
          </cell>
          <cell r="E142" t="b">
            <v>0</v>
          </cell>
          <cell r="F142">
            <v>5</v>
          </cell>
          <cell r="G142">
            <v>38</v>
          </cell>
          <cell r="H142">
            <v>13</v>
          </cell>
          <cell r="I142">
            <v>7</v>
          </cell>
        </row>
        <row r="143">
          <cell r="A143" t="str">
            <v>王子枫</v>
          </cell>
          <cell r="B143" t="str">
            <v>数据开发部</v>
          </cell>
          <cell r="C143">
            <v>2.72729368630507</v>
          </cell>
          <cell r="D143">
            <v>3.18950980392487</v>
          </cell>
          <cell r="E143" t="b">
            <v>1</v>
          </cell>
          <cell r="F143">
            <v>8</v>
          </cell>
          <cell r="G143">
            <v>17</v>
          </cell>
          <cell r="H143">
            <v>26</v>
          </cell>
          <cell r="I143">
            <v>17</v>
          </cell>
        </row>
        <row r="144">
          <cell r="A144" t="str">
            <v>郑卞钰</v>
          </cell>
          <cell r="B144" t="str">
            <v>数据开发部</v>
          </cell>
          <cell r="C144">
            <v>2.72729368630507</v>
          </cell>
          <cell r="D144">
            <v>2.72306423612645</v>
          </cell>
          <cell r="E144" t="b">
            <v>0</v>
          </cell>
          <cell r="F144">
            <v>5</v>
          </cell>
          <cell r="G144">
            <v>6</v>
          </cell>
          <cell r="H144">
            <v>45</v>
          </cell>
          <cell r="I144">
            <v>8</v>
          </cell>
        </row>
        <row r="145">
          <cell r="A145" t="str">
            <v>张倩</v>
          </cell>
          <cell r="B145" t="str">
            <v>数据开发部</v>
          </cell>
          <cell r="C145">
            <v>2.72729368630507</v>
          </cell>
          <cell r="D145">
            <v>2.28623504274113</v>
          </cell>
          <cell r="E145" t="b">
            <v>0</v>
          </cell>
          <cell r="F145">
            <v>4</v>
          </cell>
          <cell r="G145">
            <v>38</v>
          </cell>
          <cell r="H145">
            <v>20</v>
          </cell>
          <cell r="I145">
            <v>3</v>
          </cell>
        </row>
        <row r="146">
          <cell r="A146" t="str">
            <v>梅苏源</v>
          </cell>
          <cell r="B146" t="str">
            <v>数据开发部</v>
          </cell>
          <cell r="C146">
            <v>2.72729368630507</v>
          </cell>
          <cell r="D146">
            <v>1.76844527364323</v>
          </cell>
          <cell r="E146" t="b">
            <v>0</v>
          </cell>
          <cell r="F146">
            <v>13</v>
          </cell>
          <cell r="G146">
            <v>45</v>
          </cell>
          <cell r="H146">
            <v>5</v>
          </cell>
          <cell r="I146">
            <v>4</v>
          </cell>
        </row>
        <row r="147">
          <cell r="A147" t="str">
            <v>诸倩铷</v>
          </cell>
          <cell r="B147" t="str">
            <v>数据开发部</v>
          </cell>
          <cell r="C147">
            <v>2.72729368630507</v>
          </cell>
          <cell r="D147">
            <v>2.10857974911379</v>
          </cell>
          <cell r="E147" t="b">
            <v>0</v>
          </cell>
          <cell r="F147">
            <v>6</v>
          </cell>
          <cell r="G147">
            <v>23</v>
          </cell>
          <cell r="H147">
            <v>27</v>
          </cell>
          <cell r="I147">
            <v>6</v>
          </cell>
        </row>
        <row r="148">
          <cell r="A148" t="str">
            <v>龚毅磊</v>
          </cell>
          <cell r="B148" t="str">
            <v>数据开发部</v>
          </cell>
          <cell r="C148">
            <v>2.72729368630507</v>
          </cell>
          <cell r="D148">
            <v>2.59334201388356</v>
          </cell>
          <cell r="E148" t="b">
            <v>0</v>
          </cell>
          <cell r="F148">
            <v>5</v>
          </cell>
          <cell r="G148">
            <v>11</v>
          </cell>
          <cell r="H148">
            <v>41</v>
          </cell>
          <cell r="I148">
            <v>7</v>
          </cell>
        </row>
        <row r="149">
          <cell r="A149" t="str">
            <v>陈佳宁</v>
          </cell>
          <cell r="B149" t="str">
            <v>数据开发部</v>
          </cell>
          <cell r="C149">
            <v>2.72729368630507</v>
          </cell>
          <cell r="D149">
            <v>1.89807598040052</v>
          </cell>
          <cell r="E149" t="b">
            <v>0</v>
          </cell>
          <cell r="F149">
            <v>32</v>
          </cell>
          <cell r="G149">
            <v>13</v>
          </cell>
          <cell r="H149">
            <v>18</v>
          </cell>
          <cell r="I149">
            <v>5</v>
          </cell>
        </row>
        <row r="150">
          <cell r="A150" t="str">
            <v>徐倩茹</v>
          </cell>
          <cell r="B150" t="str">
            <v>数据开发部</v>
          </cell>
          <cell r="C150">
            <v>2.72729368630507</v>
          </cell>
          <cell r="D150">
            <v>0.938736559124663</v>
          </cell>
          <cell r="E150" t="b">
            <v>0</v>
          </cell>
          <cell r="F150">
            <v>43</v>
          </cell>
          <cell r="G150">
            <v>12</v>
          </cell>
          <cell r="H150">
            <v>6</v>
          </cell>
          <cell r="I150">
            <v>1</v>
          </cell>
        </row>
        <row r="151">
          <cell r="A151" t="str">
            <v>贺文军</v>
          </cell>
          <cell r="B151" t="str">
            <v>信息统计部</v>
          </cell>
          <cell r="C151">
            <v>1.82375853413895</v>
          </cell>
          <cell r="D151">
            <v>3.34025925924652</v>
          </cell>
          <cell r="E151" t="b">
            <v>1</v>
          </cell>
          <cell r="F151">
            <v>9</v>
          </cell>
          <cell r="G151">
            <v>4</v>
          </cell>
          <cell r="H151">
            <v>23</v>
          </cell>
          <cell r="I151">
            <v>24</v>
          </cell>
        </row>
        <row r="152">
          <cell r="A152" t="str">
            <v>郭庆睿</v>
          </cell>
          <cell r="B152" t="str">
            <v>信息统计部</v>
          </cell>
          <cell r="C152">
            <v>1.82375853413895</v>
          </cell>
          <cell r="D152">
            <v>3.02769531249578</v>
          </cell>
          <cell r="E152" t="b">
            <v>1</v>
          </cell>
          <cell r="F152">
            <v>9</v>
          </cell>
          <cell r="G152">
            <v>3</v>
          </cell>
          <cell r="H152">
            <v>36</v>
          </cell>
          <cell r="I152">
            <v>16</v>
          </cell>
        </row>
        <row r="153">
          <cell r="A153" t="str">
            <v>黄澜</v>
          </cell>
          <cell r="B153" t="str">
            <v>信息统计部</v>
          </cell>
          <cell r="C153">
            <v>1.82375853413895</v>
          </cell>
          <cell r="D153">
            <v>1.59520833333506</v>
          </cell>
          <cell r="E153" t="b">
            <v>0</v>
          </cell>
          <cell r="F153">
            <v>24</v>
          </cell>
          <cell r="G153">
            <v>23</v>
          </cell>
          <cell r="H153">
            <v>1</v>
          </cell>
          <cell r="I153">
            <v>4</v>
          </cell>
        </row>
        <row r="154">
          <cell r="A154" t="str">
            <v>王素雅</v>
          </cell>
          <cell r="B154" t="str">
            <v>信息统计部</v>
          </cell>
          <cell r="C154">
            <v>1.82375853413895</v>
          </cell>
          <cell r="D154">
            <v>1.90072132616432</v>
          </cell>
          <cell r="E154" t="b">
            <v>1</v>
          </cell>
          <cell r="F154">
            <v>19</v>
          </cell>
          <cell r="G154">
            <v>17</v>
          </cell>
          <cell r="H154">
            <v>21</v>
          </cell>
          <cell r="I154">
            <v>5</v>
          </cell>
        </row>
        <row r="155">
          <cell r="A155" t="str">
            <v>姚蜜</v>
          </cell>
          <cell r="B155" t="str">
            <v>信息统计部</v>
          </cell>
          <cell r="C155">
            <v>1.82375853413895</v>
          </cell>
          <cell r="D155">
            <v>1.60488888888309</v>
          </cell>
          <cell r="E155" t="b">
            <v>0</v>
          </cell>
          <cell r="F155">
            <v>20</v>
          </cell>
          <cell r="G155">
            <v>23</v>
          </cell>
          <cell r="H155">
            <v>15</v>
          </cell>
          <cell r="I155">
            <v>2</v>
          </cell>
        </row>
        <row r="156">
          <cell r="A156" t="str">
            <v>向治蓉</v>
          </cell>
          <cell r="B156" t="str">
            <v>信息统计部</v>
          </cell>
          <cell r="C156">
            <v>1.82375853413895</v>
          </cell>
          <cell r="D156">
            <v>1.45773297491025</v>
          </cell>
          <cell r="E156" t="b">
            <v>0</v>
          </cell>
          <cell r="F156">
            <v>13</v>
          </cell>
          <cell r="G156">
            <v>37</v>
          </cell>
          <cell r="H156">
            <v>12</v>
          </cell>
          <cell r="I156">
            <v>0</v>
          </cell>
        </row>
        <row r="157">
          <cell r="A157" t="str">
            <v>张海濛</v>
          </cell>
          <cell r="B157" t="str">
            <v>信息统计部</v>
          </cell>
          <cell r="C157">
            <v>1.82375853413895</v>
          </cell>
          <cell r="D157">
            <v>1.14143897996849</v>
          </cell>
          <cell r="E157" t="b">
            <v>0</v>
          </cell>
          <cell r="F157">
            <v>24</v>
          </cell>
          <cell r="G157">
            <v>33</v>
          </cell>
          <cell r="H157">
            <v>4</v>
          </cell>
          <cell r="I157">
            <v>0</v>
          </cell>
        </row>
        <row r="158">
          <cell r="A158" t="str">
            <v>胡楚</v>
          </cell>
          <cell r="B158" t="str">
            <v>信息统计部</v>
          </cell>
          <cell r="C158">
            <v>1.82375853413895</v>
          </cell>
          <cell r="D158">
            <v>1.30510928962841</v>
          </cell>
          <cell r="E158" t="b">
            <v>0</v>
          </cell>
          <cell r="F158">
            <v>24</v>
          </cell>
          <cell r="G158">
            <v>29</v>
          </cell>
          <cell r="H158">
            <v>7</v>
          </cell>
          <cell r="I158">
            <v>1</v>
          </cell>
        </row>
        <row r="159">
          <cell r="A159" t="str">
            <v>王晓璇</v>
          </cell>
          <cell r="B159" t="str">
            <v>信息统计部</v>
          </cell>
          <cell r="C159">
            <v>1.82375853413895</v>
          </cell>
          <cell r="D159">
            <v>2.97723118280016</v>
          </cell>
          <cell r="E159" t="b">
            <v>1</v>
          </cell>
          <cell r="F159">
            <v>1</v>
          </cell>
          <cell r="G159">
            <v>19</v>
          </cell>
          <cell r="H159">
            <v>33</v>
          </cell>
          <cell r="I159">
            <v>9</v>
          </cell>
        </row>
        <row r="160">
          <cell r="A160" t="str">
            <v>曾世杰</v>
          </cell>
          <cell r="B160" t="str">
            <v>信息统计部</v>
          </cell>
          <cell r="C160">
            <v>1.82375853413895</v>
          </cell>
          <cell r="D160">
            <v>1.9406922398512</v>
          </cell>
          <cell r="E160" t="b">
            <v>1</v>
          </cell>
          <cell r="F160">
            <v>22</v>
          </cell>
          <cell r="G160">
            <v>21</v>
          </cell>
          <cell r="H160">
            <v>8</v>
          </cell>
          <cell r="I160">
            <v>12</v>
          </cell>
        </row>
        <row r="161">
          <cell r="A161" t="str">
            <v>张伟亮</v>
          </cell>
          <cell r="B161" t="str">
            <v>信息统计部</v>
          </cell>
          <cell r="C161">
            <v>1.82375853413895</v>
          </cell>
          <cell r="D161">
            <v>3.34787795992977</v>
          </cell>
          <cell r="E161" t="b">
            <v>1</v>
          </cell>
          <cell r="F161">
            <v>5</v>
          </cell>
          <cell r="G161">
            <v>3</v>
          </cell>
          <cell r="H161">
            <v>35</v>
          </cell>
          <cell r="I161">
            <v>18</v>
          </cell>
        </row>
        <row r="162">
          <cell r="A162" t="str">
            <v>张梦琦</v>
          </cell>
          <cell r="B162" t="str">
            <v>信息统计部</v>
          </cell>
          <cell r="C162">
            <v>1.82375853413895</v>
          </cell>
          <cell r="D162">
            <v>2.20330687831267</v>
          </cell>
          <cell r="E162" t="b">
            <v>1</v>
          </cell>
          <cell r="F162">
            <v>8</v>
          </cell>
          <cell r="G162">
            <v>29</v>
          </cell>
          <cell r="H162">
            <v>19</v>
          </cell>
          <cell r="I162">
            <v>7</v>
          </cell>
        </row>
        <row r="163">
          <cell r="A163" t="str">
            <v>王笑丹</v>
          </cell>
          <cell r="B163" t="str">
            <v>信息统计部</v>
          </cell>
          <cell r="C163">
            <v>1.82375853413895</v>
          </cell>
          <cell r="D163">
            <v>1.57172839505975</v>
          </cell>
          <cell r="E163" t="b">
            <v>0</v>
          </cell>
          <cell r="F163">
            <v>9</v>
          </cell>
          <cell r="G163">
            <v>42</v>
          </cell>
          <cell r="H163">
            <v>10</v>
          </cell>
          <cell r="I163">
            <v>2</v>
          </cell>
        </row>
        <row r="164">
          <cell r="A164" t="str">
            <v>李虎</v>
          </cell>
          <cell r="B164" t="str">
            <v>信息统计部</v>
          </cell>
          <cell r="C164">
            <v>1.82375853413895</v>
          </cell>
          <cell r="D164">
            <v>1.22154166667412</v>
          </cell>
          <cell r="E164" t="b">
            <v>0</v>
          </cell>
          <cell r="F164">
            <v>13</v>
          </cell>
          <cell r="G164">
            <v>44</v>
          </cell>
          <cell r="H164">
            <v>3</v>
          </cell>
          <cell r="I164">
            <v>0</v>
          </cell>
        </row>
        <row r="165">
          <cell r="A165" t="str">
            <v>张小天</v>
          </cell>
          <cell r="B165" t="str">
            <v>信息统计部</v>
          </cell>
          <cell r="C165">
            <v>1.82375853413895</v>
          </cell>
          <cell r="D165">
            <v>1.47376792113796</v>
          </cell>
          <cell r="E165" t="b">
            <v>0</v>
          </cell>
          <cell r="F165">
            <v>10</v>
          </cell>
          <cell r="G165">
            <v>42</v>
          </cell>
          <cell r="H165">
            <v>10</v>
          </cell>
          <cell r="I165">
            <v>0</v>
          </cell>
        </row>
        <row r="166">
          <cell r="A166" t="str">
            <v>王书祥</v>
          </cell>
          <cell r="B166" t="str">
            <v>信息统计部</v>
          </cell>
          <cell r="C166">
            <v>1.82375853413895</v>
          </cell>
          <cell r="D166">
            <v>1.88317129629916</v>
          </cell>
          <cell r="E166" t="b">
            <v>1</v>
          </cell>
          <cell r="F166">
            <v>13</v>
          </cell>
          <cell r="G166">
            <v>15</v>
          </cell>
          <cell r="H166">
            <v>31</v>
          </cell>
          <cell r="I166">
            <v>1</v>
          </cell>
        </row>
        <row r="167">
          <cell r="A167" t="str">
            <v>方晴</v>
          </cell>
          <cell r="B167" t="str">
            <v>信息统计部</v>
          </cell>
          <cell r="C167">
            <v>1.82375853413895</v>
          </cell>
          <cell r="D167">
            <v>1.62531481484475</v>
          </cell>
          <cell r="E167" t="b">
            <v>0</v>
          </cell>
          <cell r="F167">
            <v>12</v>
          </cell>
          <cell r="G167">
            <v>34</v>
          </cell>
          <cell r="H167">
            <v>14</v>
          </cell>
          <cell r="I167">
            <v>0</v>
          </cell>
        </row>
        <row r="168">
          <cell r="A168" t="str">
            <v>刘智超</v>
          </cell>
          <cell r="B168" t="str">
            <v>信息统计部</v>
          </cell>
          <cell r="C168">
            <v>1.82375853413895</v>
          </cell>
          <cell r="D168">
            <v>1.1226064814924</v>
          </cell>
          <cell r="E168" t="b">
            <v>0</v>
          </cell>
          <cell r="F168">
            <v>30</v>
          </cell>
          <cell r="G168">
            <v>24</v>
          </cell>
          <cell r="H168">
            <v>6</v>
          </cell>
          <cell r="I168">
            <v>0</v>
          </cell>
        </row>
        <row r="169">
          <cell r="A169" t="str">
            <v>王新</v>
          </cell>
          <cell r="B169" t="str">
            <v>信息统计部</v>
          </cell>
          <cell r="C169">
            <v>1.82375853413895</v>
          </cell>
          <cell r="D169">
            <v>1.60844086021591</v>
          </cell>
          <cell r="E169" t="b">
            <v>0</v>
          </cell>
          <cell r="F169">
            <v>23</v>
          </cell>
          <cell r="G169">
            <v>23</v>
          </cell>
          <cell r="H169">
            <v>8</v>
          </cell>
          <cell r="I169">
            <v>8</v>
          </cell>
        </row>
        <row r="170">
          <cell r="A170" t="str">
            <v>严彬华</v>
          </cell>
          <cell r="B170" t="str">
            <v>信息统计部</v>
          </cell>
          <cell r="C170">
            <v>1.82375853413895</v>
          </cell>
          <cell r="D170">
            <v>1.77308159722452</v>
          </cell>
          <cell r="E170" t="b">
            <v>0</v>
          </cell>
          <cell r="F170">
            <v>9</v>
          </cell>
          <cell r="G170">
            <v>36</v>
          </cell>
          <cell r="H170">
            <v>16</v>
          </cell>
          <cell r="I170">
            <v>3</v>
          </cell>
        </row>
        <row r="171">
          <cell r="A171" t="str">
            <v>李然</v>
          </cell>
          <cell r="B171" t="str">
            <v>信息统计部</v>
          </cell>
          <cell r="C171">
            <v>1.82375853413895</v>
          </cell>
          <cell r="D171">
            <v>2.0634677419392</v>
          </cell>
          <cell r="E171" t="b">
            <v>1</v>
          </cell>
          <cell r="F171">
            <v>7</v>
          </cell>
          <cell r="G171">
            <v>23</v>
          </cell>
          <cell r="H171">
            <v>31</v>
          </cell>
          <cell r="I171">
            <v>1</v>
          </cell>
        </row>
        <row r="172">
          <cell r="A172" t="str">
            <v>周逸晨</v>
          </cell>
          <cell r="B172" t="str">
            <v>信息统计部</v>
          </cell>
          <cell r="C172">
            <v>1.82375853413895</v>
          </cell>
          <cell r="D172">
            <v>1.55413082436538</v>
          </cell>
          <cell r="E172" t="b">
            <v>0</v>
          </cell>
          <cell r="F172">
            <v>23</v>
          </cell>
          <cell r="G172">
            <v>25</v>
          </cell>
          <cell r="H172">
            <v>10</v>
          </cell>
          <cell r="I172">
            <v>4</v>
          </cell>
        </row>
        <row r="173">
          <cell r="A173" t="str">
            <v>李亦佳</v>
          </cell>
          <cell r="B173" t="str">
            <v>信息统计部</v>
          </cell>
          <cell r="C173">
            <v>1.82375853413895</v>
          </cell>
          <cell r="D173">
            <v>1.22953853047089</v>
          </cell>
          <cell r="E173" t="b">
            <v>0</v>
          </cell>
          <cell r="F173">
            <v>38</v>
          </cell>
          <cell r="G173">
            <v>11</v>
          </cell>
          <cell r="H173">
            <v>8</v>
          </cell>
          <cell r="I173">
            <v>5</v>
          </cell>
        </row>
        <row r="174">
          <cell r="A174" t="str">
            <v>陈倩</v>
          </cell>
          <cell r="B174" t="str">
            <v>信息统计部</v>
          </cell>
          <cell r="C174">
            <v>1.82375853413895</v>
          </cell>
          <cell r="D174">
            <v>1.51262544802645</v>
          </cell>
          <cell r="E174" t="b">
            <v>0</v>
          </cell>
          <cell r="F174">
            <v>28</v>
          </cell>
          <cell r="G174">
            <v>17</v>
          </cell>
          <cell r="H174">
            <v>12</v>
          </cell>
          <cell r="I174">
            <v>5</v>
          </cell>
        </row>
        <row r="175">
          <cell r="A175" t="str">
            <v>赵超</v>
          </cell>
          <cell r="B175" t="str">
            <v>信息统计部</v>
          </cell>
          <cell r="C175">
            <v>1.82375853413895</v>
          </cell>
          <cell r="D175">
            <v>3.00546737214355</v>
          </cell>
          <cell r="E175" t="b">
            <v>1</v>
          </cell>
          <cell r="F175">
            <v>1</v>
          </cell>
          <cell r="G175">
            <v>12</v>
          </cell>
          <cell r="H175">
            <v>38</v>
          </cell>
          <cell r="I175">
            <v>12</v>
          </cell>
        </row>
        <row r="176">
          <cell r="A176" t="str">
            <v>徐陶然</v>
          </cell>
          <cell r="B176" t="str">
            <v>信息统计部</v>
          </cell>
          <cell r="C176">
            <v>1.82375853413895</v>
          </cell>
          <cell r="D176">
            <v>1.6655641025783</v>
          </cell>
          <cell r="E176" t="b">
            <v>0</v>
          </cell>
          <cell r="F176">
            <v>24</v>
          </cell>
          <cell r="G176">
            <v>24</v>
          </cell>
          <cell r="H176">
            <v>15</v>
          </cell>
          <cell r="I176">
            <v>2</v>
          </cell>
        </row>
        <row r="177">
          <cell r="A177" t="str">
            <v>周静</v>
          </cell>
          <cell r="B177" t="str">
            <v>信息统计部</v>
          </cell>
          <cell r="C177">
            <v>1.82375853413895</v>
          </cell>
          <cell r="D177">
            <v>0</v>
          </cell>
          <cell r="E177" t="b">
            <v>0</v>
          </cell>
          <cell r="F177">
            <v>62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胡申民</v>
          </cell>
          <cell r="B178" t="str">
            <v>智能创新部</v>
          </cell>
          <cell r="C178">
            <v>1.98981182795489</v>
          </cell>
          <cell r="D178">
            <v>2.79586111112148</v>
          </cell>
          <cell r="E178" t="b">
            <v>1</v>
          </cell>
          <cell r="F178">
            <v>13</v>
          </cell>
          <cell r="G178">
            <v>8</v>
          </cell>
          <cell r="H178">
            <v>22</v>
          </cell>
          <cell r="I178">
            <v>17</v>
          </cell>
        </row>
        <row r="179">
          <cell r="A179" t="str">
            <v>于中宝</v>
          </cell>
          <cell r="B179" t="str">
            <v>智能创新部</v>
          </cell>
          <cell r="C179">
            <v>1.98981182795489</v>
          </cell>
          <cell r="D179">
            <v>1.98538082435768</v>
          </cell>
          <cell r="E179" t="b">
            <v>0</v>
          </cell>
          <cell r="F179">
            <v>9</v>
          </cell>
          <cell r="G179">
            <v>34</v>
          </cell>
          <cell r="H179">
            <v>12</v>
          </cell>
          <cell r="I179">
            <v>7</v>
          </cell>
        </row>
        <row r="180">
          <cell r="A180" t="str">
            <v>祁鑫</v>
          </cell>
          <cell r="B180" t="str">
            <v>智能创新部</v>
          </cell>
          <cell r="C180">
            <v>1.98981182795489</v>
          </cell>
          <cell r="D180">
            <v>2.10993055555155</v>
          </cell>
          <cell r="E180" t="b">
            <v>1</v>
          </cell>
          <cell r="F180">
            <v>11</v>
          </cell>
          <cell r="G180">
            <v>28</v>
          </cell>
          <cell r="H180">
            <v>12</v>
          </cell>
          <cell r="I180">
            <v>9</v>
          </cell>
        </row>
        <row r="181">
          <cell r="A181" t="str">
            <v>贾世林</v>
          </cell>
          <cell r="B181" t="str">
            <v>智能创新部</v>
          </cell>
          <cell r="C181">
            <v>1.98981182795489</v>
          </cell>
          <cell r="D181">
            <v>1.84262544801271</v>
          </cell>
          <cell r="E181" t="b">
            <v>0</v>
          </cell>
          <cell r="F181">
            <v>13</v>
          </cell>
          <cell r="G181">
            <v>28</v>
          </cell>
          <cell r="H181">
            <v>15</v>
          </cell>
          <cell r="I181">
            <v>6</v>
          </cell>
        </row>
        <row r="182">
          <cell r="A182" t="str">
            <v>黄亦豪</v>
          </cell>
          <cell r="B182" t="str">
            <v>智能创新部</v>
          </cell>
          <cell r="C182">
            <v>1.98981182795489</v>
          </cell>
          <cell r="D182">
            <v>3.57200268816838</v>
          </cell>
          <cell r="E182" t="b">
            <v>1</v>
          </cell>
          <cell r="F182">
            <v>16</v>
          </cell>
          <cell r="G182">
            <v>8</v>
          </cell>
          <cell r="H182">
            <v>11</v>
          </cell>
          <cell r="I182">
            <v>27</v>
          </cell>
        </row>
        <row r="183">
          <cell r="A183" t="str">
            <v>王友轩</v>
          </cell>
          <cell r="B183" t="str">
            <v>智能创新部</v>
          </cell>
          <cell r="C183">
            <v>1.98981182795489</v>
          </cell>
          <cell r="D183">
            <v>4.11431857639946</v>
          </cell>
          <cell r="E183" t="b">
            <v>1</v>
          </cell>
          <cell r="F183">
            <v>5</v>
          </cell>
          <cell r="G183">
            <v>5</v>
          </cell>
          <cell r="H183">
            <v>21</v>
          </cell>
          <cell r="I183">
            <v>33</v>
          </cell>
        </row>
        <row r="184">
          <cell r="A184" t="str">
            <v>李响</v>
          </cell>
          <cell r="B184" t="str">
            <v>智能创新部</v>
          </cell>
          <cell r="C184">
            <v>1.98981182795489</v>
          </cell>
          <cell r="D184">
            <v>1.29716101695065</v>
          </cell>
          <cell r="E184" t="b">
            <v>0</v>
          </cell>
          <cell r="F184">
            <v>35</v>
          </cell>
          <cell r="G184">
            <v>16</v>
          </cell>
          <cell r="H184">
            <v>5</v>
          </cell>
          <cell r="I184">
            <v>3</v>
          </cell>
        </row>
        <row r="185">
          <cell r="A185" t="str">
            <v>刘雅昕</v>
          </cell>
          <cell r="B185" t="str">
            <v>智能创新部</v>
          </cell>
          <cell r="C185">
            <v>1.98981182795489</v>
          </cell>
          <cell r="D185">
            <v>1.05467592591497</v>
          </cell>
          <cell r="E185" t="b">
            <v>0</v>
          </cell>
          <cell r="F185">
            <v>48</v>
          </cell>
          <cell r="G185">
            <v>4</v>
          </cell>
          <cell r="H185">
            <v>4</v>
          </cell>
          <cell r="I185">
            <v>4</v>
          </cell>
        </row>
        <row r="186">
          <cell r="A186" t="str">
            <v>杨婧</v>
          </cell>
          <cell r="B186" t="str">
            <v>智能创新部</v>
          </cell>
          <cell r="C186">
            <v>1.98981182795489</v>
          </cell>
          <cell r="D186">
            <v>2.76546448087568</v>
          </cell>
          <cell r="E186" t="b">
            <v>1</v>
          </cell>
          <cell r="F186">
            <v>9</v>
          </cell>
          <cell r="G186">
            <v>14</v>
          </cell>
          <cell r="H186">
            <v>20</v>
          </cell>
          <cell r="I186">
            <v>18</v>
          </cell>
        </row>
        <row r="187">
          <cell r="A187" t="str">
            <v>张镓奇</v>
          </cell>
          <cell r="B187" t="str">
            <v>智能创新部</v>
          </cell>
          <cell r="C187">
            <v>1.98981182795489</v>
          </cell>
          <cell r="D187">
            <v>2.54837500000722</v>
          </cell>
          <cell r="E187" t="b">
            <v>1</v>
          </cell>
          <cell r="F187">
            <v>0</v>
          </cell>
          <cell r="G187">
            <v>17</v>
          </cell>
          <cell r="H187">
            <v>40</v>
          </cell>
          <cell r="I187">
            <v>3</v>
          </cell>
        </row>
        <row r="188">
          <cell r="A188" t="str">
            <v>邱玥</v>
          </cell>
          <cell r="B188" t="str">
            <v>智能创新部</v>
          </cell>
          <cell r="C188">
            <v>1.98981182795489</v>
          </cell>
          <cell r="D188">
            <v>1.44729963569715</v>
          </cell>
          <cell r="E188" t="b">
            <v>0</v>
          </cell>
          <cell r="F188">
            <v>14</v>
          </cell>
          <cell r="G188">
            <v>39</v>
          </cell>
          <cell r="H188">
            <v>7</v>
          </cell>
          <cell r="I188">
            <v>1</v>
          </cell>
        </row>
        <row r="189">
          <cell r="A189" t="str">
            <v>张子璐</v>
          </cell>
          <cell r="B189" t="str">
            <v>智能创新部</v>
          </cell>
          <cell r="C189">
            <v>1.98981182795489</v>
          </cell>
          <cell r="D189">
            <v>1.15042805100684</v>
          </cell>
          <cell r="E189" t="b">
            <v>0</v>
          </cell>
          <cell r="F189">
            <v>32</v>
          </cell>
          <cell r="G189">
            <v>23</v>
          </cell>
          <cell r="H189">
            <v>4</v>
          </cell>
          <cell r="I189">
            <v>2</v>
          </cell>
        </row>
        <row r="190">
          <cell r="A190" t="str">
            <v>李梦霄</v>
          </cell>
          <cell r="B190" t="str">
            <v>智能创新部</v>
          </cell>
          <cell r="C190">
            <v>1.98981182795489</v>
          </cell>
          <cell r="D190">
            <v>1.82060931899281</v>
          </cell>
          <cell r="E190" t="b">
            <v>0</v>
          </cell>
          <cell r="F190">
            <v>14</v>
          </cell>
          <cell r="G190">
            <v>22</v>
          </cell>
          <cell r="H190">
            <v>24</v>
          </cell>
          <cell r="I190">
            <v>2</v>
          </cell>
        </row>
        <row r="191">
          <cell r="A191" t="str">
            <v>陆文捷</v>
          </cell>
          <cell r="B191" t="str">
            <v>智能创新部</v>
          </cell>
          <cell r="C191">
            <v>1.98981182795489</v>
          </cell>
          <cell r="D191">
            <v>1.5502284946213</v>
          </cell>
          <cell r="E191" t="b">
            <v>0</v>
          </cell>
          <cell r="F191">
            <v>21</v>
          </cell>
          <cell r="G191">
            <v>20</v>
          </cell>
          <cell r="H191">
            <v>20</v>
          </cell>
          <cell r="I191">
            <v>1</v>
          </cell>
        </row>
        <row r="192">
          <cell r="A192" t="str">
            <v>崔建文</v>
          </cell>
          <cell r="B192" t="str">
            <v>智能创新部</v>
          </cell>
          <cell r="C192">
            <v>1.98981182795489</v>
          </cell>
          <cell r="D192">
            <v>2.06399537036778</v>
          </cell>
          <cell r="E192" t="b">
            <v>1</v>
          </cell>
          <cell r="F192">
            <v>21</v>
          </cell>
          <cell r="G192">
            <v>7</v>
          </cell>
          <cell r="H192">
            <v>26</v>
          </cell>
          <cell r="I192">
            <v>6</v>
          </cell>
        </row>
        <row r="193">
          <cell r="A193" t="str">
            <v>蒋捷</v>
          </cell>
          <cell r="B193" t="str">
            <v>智能创新部</v>
          </cell>
          <cell r="C193">
            <v>1.98981182795489</v>
          </cell>
          <cell r="D193">
            <v>1.54584677419212</v>
          </cell>
          <cell r="E193" t="b">
            <v>0</v>
          </cell>
          <cell r="F193">
            <v>25</v>
          </cell>
          <cell r="G193">
            <v>20</v>
          </cell>
          <cell r="H193">
            <v>13</v>
          </cell>
          <cell r="I193">
            <v>4</v>
          </cell>
        </row>
        <row r="194">
          <cell r="A194" t="str">
            <v>许天凝</v>
          </cell>
          <cell r="B194" t="str">
            <v>智能创新部</v>
          </cell>
          <cell r="C194">
            <v>1.98981182795489</v>
          </cell>
          <cell r="D194">
            <v>2.08027329748297</v>
          </cell>
          <cell r="E194" t="b">
            <v>1</v>
          </cell>
          <cell r="F194">
            <v>7</v>
          </cell>
          <cell r="G194">
            <v>36</v>
          </cell>
          <cell r="H194">
            <v>15</v>
          </cell>
          <cell r="I194">
            <v>4</v>
          </cell>
        </row>
        <row r="195">
          <cell r="A195" t="str">
            <v>杨沁怡</v>
          </cell>
          <cell r="B195" t="str">
            <v>智能创新部</v>
          </cell>
          <cell r="C195">
            <v>1.98981182795489</v>
          </cell>
          <cell r="D195">
            <v>1.85267025090457</v>
          </cell>
          <cell r="E195" t="b">
            <v>0</v>
          </cell>
          <cell r="F195">
            <v>13</v>
          </cell>
          <cell r="G195">
            <v>29</v>
          </cell>
          <cell r="H195">
            <v>16</v>
          </cell>
          <cell r="I195">
            <v>4</v>
          </cell>
        </row>
        <row r="196">
          <cell r="A196" t="str">
            <v>张峰</v>
          </cell>
          <cell r="B196" t="str">
            <v>智能创新部</v>
          </cell>
          <cell r="C196">
            <v>1.98981182795489</v>
          </cell>
          <cell r="D196">
            <v>0.24315972221666</v>
          </cell>
          <cell r="E196" t="b">
            <v>0</v>
          </cell>
          <cell r="F196">
            <v>56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刘晓丹</v>
          </cell>
          <cell r="B197" t="str">
            <v>智能创新部</v>
          </cell>
          <cell r="C197">
            <v>1.98981182795489</v>
          </cell>
          <cell r="D197">
            <v>1.29765065912536</v>
          </cell>
          <cell r="E197" t="b">
            <v>0</v>
          </cell>
          <cell r="F197">
            <v>22</v>
          </cell>
          <cell r="G197">
            <v>28</v>
          </cell>
          <cell r="H197">
            <v>8</v>
          </cell>
          <cell r="I197">
            <v>1</v>
          </cell>
        </row>
        <row r="198">
          <cell r="A198" t="str">
            <v>马文杰</v>
          </cell>
          <cell r="B198" t="str">
            <v>智能创新部</v>
          </cell>
          <cell r="C198">
            <v>1.98981182795489</v>
          </cell>
          <cell r="D198">
            <v>2.16954144621212</v>
          </cell>
          <cell r="E198" t="b">
            <v>1</v>
          </cell>
          <cell r="F198">
            <v>11</v>
          </cell>
          <cell r="G198">
            <v>23</v>
          </cell>
          <cell r="H198">
            <v>24</v>
          </cell>
          <cell r="I198">
            <v>5</v>
          </cell>
        </row>
        <row r="199">
          <cell r="A199" t="str">
            <v>于俊杰</v>
          </cell>
          <cell r="B199" t="str">
            <v>智能创新部</v>
          </cell>
          <cell r="C199">
            <v>1.98981182795489</v>
          </cell>
          <cell r="D199">
            <v>1.55629774304998</v>
          </cell>
          <cell r="E199" t="b">
            <v>0</v>
          </cell>
          <cell r="F199">
            <v>27</v>
          </cell>
          <cell r="G199">
            <v>21</v>
          </cell>
          <cell r="H199">
            <v>12</v>
          </cell>
          <cell r="I199">
            <v>4</v>
          </cell>
        </row>
        <row r="200">
          <cell r="A200" t="str">
            <v>赵家乐</v>
          </cell>
          <cell r="B200" t="str">
            <v>智能创新部</v>
          </cell>
          <cell r="C200">
            <v>1.98981182795489</v>
          </cell>
          <cell r="D200">
            <v>2.92653356480757</v>
          </cell>
          <cell r="E200" t="b">
            <v>1</v>
          </cell>
          <cell r="F200">
            <v>4</v>
          </cell>
          <cell r="G200">
            <v>8</v>
          </cell>
          <cell r="H200">
            <v>30</v>
          </cell>
          <cell r="I200">
            <v>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9033;&#30446;&#20449;&#24687; (7)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minRefreshableVersion="1" refreshedDate="45951.7989351852" refreshedBy="songzy1" recordCount="58">
  <cacheSource type="worksheet">
    <worksheetSource ref="A1:AW59" sheet="进行中的项目清单" r:id="rId2"/>
  </cacheSource>
  <cacheFields count="49">
    <cacheField name="需求编号" numFmtId="0">
      <sharedItems count="58">
        <s v="X20250724000029"/>
        <s v="X20250715000021"/>
        <s v="X20250711000020"/>
        <s v="X20250620000012"/>
        <s v="X20250612000039"/>
        <s v="X20250526000008"/>
        <s v="X20250521000028"/>
        <s v="X20250516000001"/>
        <s v="X20250512000034"/>
        <s v="X20250509000021"/>
        <s v="X20250410000001"/>
        <s v="X20250409000005"/>
        <s v="X20250331000031"/>
        <s v="X20250326000033"/>
        <s v="X20250325000051"/>
        <s v="X20250321000023"/>
        <s v="X20250217000005"/>
        <s v="X20250126000014"/>
        <s v="X20250116000016"/>
        <s v="X20240926000006"/>
        <s v="X20240912000007"/>
        <s v="X20240619000014"/>
        <s v="X20240618000017"/>
        <s v="X20240531000019"/>
        <s v="X20240428000013"/>
        <s v="X20240416000014"/>
        <s v="X20240401000033"/>
        <s v="X20240327000020"/>
        <s v="X20240311000014"/>
        <s v="X20240229000032"/>
        <s v="X20240202000015"/>
        <s v="X20240111000017"/>
        <s v="X20240108000011"/>
        <s v="X20240108000016"/>
        <s v="X20240108000018"/>
        <s v="X20240108000036"/>
        <s v="X20240102000016"/>
        <s v="X20231222000020"/>
        <s v="X20231204000016"/>
        <s v="X20231123000010"/>
        <s v="X20231025000002"/>
        <s v="X20230901000018"/>
        <s v="X20230809000027"/>
        <s v="X20230801000007"/>
        <s v="X20230725000013"/>
        <s v="X20230621000008"/>
        <s v="X20230614000003"/>
        <s v="X20230410000035"/>
        <s v="X20230228000024"/>
        <s v="X20230224000003"/>
        <s v="X20230217000015"/>
        <s v="X20230203000014"/>
        <s v="X20230129000006"/>
        <s v="X20221215000012"/>
        <s v="X20221109000010"/>
        <s v="X20220930000020"/>
        <s v="X20220921000003"/>
        <s v="X20210317000040"/>
      </sharedItems>
    </cacheField>
    <cacheField name="项目编号" numFmtId="0">
      <sharedItems count="58">
        <s v="PJ2025104"/>
        <s v="PJ2025102"/>
        <s v="PJ2025100"/>
        <s v="PJ2025091"/>
        <s v="PJ2025086"/>
        <s v="PJ2025079"/>
        <s v="PJ2025078"/>
        <s v="PJ2025068"/>
        <s v="PJ2025066"/>
        <s v="PJ2025065"/>
        <s v="PJ2025052"/>
        <s v="PJ2025049"/>
        <s v="PJ2025042"/>
        <s v="PJ2025035"/>
        <s v="PJ2025033"/>
        <s v="PJ2025032"/>
        <s v="PJ2025019"/>
        <s v="PJ2025011"/>
        <s v="PJ2025009"/>
        <s v="PJ2024143"/>
        <s v="PJ2024140"/>
        <s v="PJ2024107"/>
        <s v="PJ2024106"/>
        <s v="PJ2024093"/>
        <s v="PJ2024080"/>
        <s v="PJ2024072"/>
        <s v="PJ2024068"/>
        <s v="PJ2024062"/>
        <s v="PJ2024054"/>
        <s v="PJ2024049"/>
        <s v="PJ2024037"/>
        <s v="PJ2024020"/>
        <s v="PJ2024006"/>
        <s v="PJ2024008"/>
        <s v="PJ2024010"/>
        <s v="PJ2024013"/>
        <s v="PJ2024002"/>
        <s v="PJ2023231"/>
        <s v="PJ2023217"/>
        <s v="PJ2023211"/>
        <s v="PJ2023203"/>
        <s v="PJ2023179"/>
        <s v="PJ2023167"/>
        <s v="PJ2023158"/>
        <s v="PJ2023155"/>
        <s v="PJ2023137"/>
        <s v="PJ2023129"/>
        <s v="PJ2023089"/>
        <s v="PJ2023051"/>
        <s v="PJ2023043"/>
        <s v="PJ2023035"/>
        <s v="PJ2023021"/>
        <s v="PJ2023013"/>
        <s v="PJ2022276"/>
        <s v="PJ2022252"/>
        <s v="PJ2022223"/>
        <s v="PJ2022212"/>
        <s v="PJ2021057"/>
      </sharedItems>
    </cacheField>
    <cacheField name="项目名称" numFmtId="0">
      <sharedItems count="58">
        <s v="掌上行4.5建设项目 业务需求书"/>
        <s v="e慧搜技改升级项目"/>
        <s v="关于AI盘户和画像助手的需求"/>
        <s v="监管一表通三期"/>
        <s v="2025年经营指标体系建设"/>
        <s v="知识图谱在员工异常行为监测方面的运用（风险合规智能化场景项目之一）"/>
        <s v="数据试衣间平台建设项目"/>
        <s v="大数据DataOps体系建设"/>
        <s v="关于金保信升级为量子安全通道的项目需求"/>
        <s v="风险领域监管报送专项治理项目"/>
        <s v="可视化报表助手应用升级"/>
        <s v="分析圈客一体化平台建设项目"/>
        <s v="零售CRM营销数字化及AI外呼智能化赋能项目"/>
        <s v="2025年反洗钱系统模型及功能优化项目"/>
        <s v="信用卡1104和区域特色报表开发改造需求"/>
        <s v="审计综合系统优化项目"/>
        <s v="人民银行现金统计数据系统对接项目"/>
        <s v="研报分析解读功能"/>
        <s v="审计署报送2.0项目需求"/>
        <s v="2024年度经营单位数字化管理建设项目"/>
        <s v="第二代金融统计数据报送系统采购需求"/>
        <s v="数据资产盘点项目"/>
        <s v="零售长尾客户AI运营"/>
        <s v="2024年经营指标体系建设"/>
        <s v="关于反电诈管理项目的需求"/>
        <s v="掌上行4.0建设项目"/>
        <s v="外部数据治理与迁移业务需求"/>
        <s v="AIGC生成式技术综合应用之企业级知识问答体系建设"/>
        <s v="实时数据平台优化升级"/>
        <s v="2024年零售客户经营管理项目（CRM）业务需求书"/>
        <s v="慧信工程-征信管理平台建设"/>
        <s v="数据采集工具建设项目"/>
        <s v="慧信工程-企业级模型实验室建设"/>
        <s v="慧信工程-风险底线排查与监测预警系统及全面风险指标体系建设"/>
        <s v="慧信工程-监管报送集市建设"/>
        <s v="慧信工程-数据整合模型建设"/>
        <s v="反洗钱模型监测性能提升项目需求书"/>
        <s v="UDAS业务数据模型迁移"/>
        <s v="信用卡监管报送系统开发需求"/>
        <s v="监管数据赋能-隐私计算联合建模（普惠场景）项目"/>
        <s v="监管数据赋能项目"/>
        <s v="上海银行监管报送数据治理项目"/>
        <s v="UDAS平台技术优化项目"/>
        <s v="AI模型统一监控与资产管理建设项目"/>
        <s v="客户风险统计报送2.0项目"/>
        <s v="数据开发中心-作业调度升级改造"/>
        <s v="会话式人工智能服务技改"/>
        <s v="2023年零售客户经营管理项目（CRM）业务需求书"/>
        <s v="银监区域特色报送项目业务需求"/>
        <s v="建设数据安全脱敏网关"/>
        <s v="个人结算账户申报管理功能优化项目需求"/>
        <s v="关于运营风险知识图谱智能化项目的需求"/>
        <s v="零售智能图谱三期项目"/>
        <s v="对公CRM营销获客及过程管理优化项目"/>
        <s v="关于大数据分析服务版本升级的技改项目"/>
        <s v="授信风险数据治理及应用项目"/>
        <s v="数字化创新-east5.0报送数据血缘构建"/>
        <s v="数字化创新-零售板块财富产品智能营销线上化场景需求书"/>
      </sharedItems>
    </cacheField>
    <cacheField name="所属板块" numFmtId="0">
      <sharedItems count="6">
        <s v="科技和数据"/>
        <s v="零售业务板块"/>
        <s v="基础板块"/>
        <s v="风险管理板块"/>
        <s v="无板块"/>
        <s v="公司业务板块"/>
      </sharedItems>
    </cacheField>
    <cacheField name="重要程度" numFmtId="0">
      <sharedItems count="5">
        <s v="3-第三梯队"/>
        <s v="4-第四梯队"/>
        <s v="2-第二梯队"/>
        <s v="0-重点工作"/>
        <s v=""/>
      </sharedItems>
    </cacheField>
    <cacheField name="需求分类" numFmtId="0">
      <sharedItems count="10">
        <s v="内部管理"/>
        <s v="技术改造"/>
        <s v="业务功能"/>
        <s v=""/>
        <s v="业务拓展"/>
        <s v="流程重塑"/>
        <s v="基础建设"/>
        <s v="精益建设"/>
        <s v="数据应用类"/>
        <s v="科技支撑"/>
      </sharedItems>
    </cacheField>
    <cacheField name="是否提前启动" numFmtId="0">
      <sharedItems count="2">
        <s v="否"/>
        <s v="是"/>
      </sharedItems>
    </cacheField>
    <cacheField name="提前启动原因" numFmtId="0">
      <sharedItems count="13">
        <s v=""/>
        <s v="审计署要求自2025年3月起，定期报送一批数据，共69张表，需于2025年3月完成开发与报送。"/>
        <s v="因行内考核管理进度要求，申请提前启动本年KPI指标开发、掌上行页面更新优化等开发。"/>
        <s v="因行内经营管理进度要求，申请提前启动掌上行经营作战室等功能开发。"/>
        <s v="项目计划的第一批次投产不涉及商务采购，仅涉及行员自研以及部分B类厂商开发，申请提前启动，保证项目按计划交付"/>
        <s v="因2024年零售客户经营管理项目开发周期紧张，申请先启动B模式 CRM项目组的开发，望批准。"/>
        <s v="慧信工程-征信管理平台建设项目目前预算编制还未完成，但本项目本身属于行内重点工程“慧信工程”的子项目，需要保障项目的顺利推进。按照项目计划，行内外围系统需要在8.31完成开发，9月开始进入测试阶段，为方便厂商报工及项目推进，申请A、B模式提前启动开发。_x000a_"/>
        <s v="项目第一批次6月版本不涉及商务投入，纯行员自研及开发测试，申请提前开始，加快项目进度。"/>
        <s v="已有概算签报，预算方案编制中。因项目进度所需，需提前启动。"/>
        <s v="因UDAS系统Oracle数据库空间紧张，调度系统易被异常作业卡整体批量影响数据时效，需要尽快优化UDAS存储和调度，故申请提前启动开发"/>
        <s v="签报由于涉及外部采购，因此在完成签报后，还要完成采购流程。但监管要求3月底就要上线，因此申请提前开发。"/>
        <s v="涉及监管报送及人行报送，需要及时根据报送反馈的问题进行定位/溯源/治理，避免下期报送出现同样问题，目前EAST前期投入截止到8月中旬已明确需求的共167条记录，需提前开发进行治理。"/>
        <s v="由于此项目涉及行内XC国产化改造，需要在12月版完成第一批次投产，并在1月进行人行验收，其中涉及资源申请等流程，所以需要尽快提前启动，目前签报中行长已经通过。"/>
      </sharedItems>
    </cacheField>
    <cacheField name="所属项目群" numFmtId="0">
      <sharedItems count="5">
        <s v=""/>
        <s v="24年科管会重点项目"/>
        <s v="建信项目群"/>
        <s v="智能化战略工作项目群"/>
        <s v="23年科管会重点项目"/>
      </sharedItems>
    </cacheField>
    <cacheField name="是否计划内项目" numFmtId="0">
      <sharedItems count="3">
        <s v="是"/>
        <s v=""/>
        <s v="否"/>
      </sharedItems>
    </cacheField>
    <cacheField name="所属年度意向" numFmtId="0">
      <sharedItems count="48">
        <s v="掌上行5.0"/>
        <s v="e慧搜技改升级项目"/>
        <s v="零售客户AI盘户与画像助手项目"/>
        <s v="监管一表通三期项目"/>
        <s v="2025年经营指标体系建设"/>
        <s v="知识图谱在员工异常行为监测方面的运用"/>
        <s v="数据试衣间平台建设项目"/>
        <s v="大数据DataOps体系建设"/>
        <s v="关于金保信升级为量子安全通道的项目需求"/>
        <s v="风险领域监管报送专项治理"/>
        <s v="大数据FineBI升级"/>
        <s v="分析圈客一体化平台建设项目"/>
        <s v="零售CRM营销数字化及AI外呼智能化赋能项目"/>
        <s v="2025年度反洗钱客户评级及监测模型优化项目"/>
        <s v="信用卡1104和区域特色报表开发改造需求"/>
        <s v="审计系统综合优化"/>
        <s v="人行现金统计数据线上报送项目"/>
        <s v="研报分析解读功能"/>
        <s v="审计署数据定期报送"/>
        <s v="2024年度经营单位数字化管理建设项目"/>
        <s v="第二代金融统计数据报送系统采购需求"/>
        <s v="数据资产自动化更新项目"/>
        <s v="BP"/>
        <s v="2024年经营指标体系建设"/>
        <s v="关于反电诈管理项目的需求"/>
        <s v="2024年掌上行建设项目"/>
        <s v="外部数据治理与迁移"/>
        <s v="AIGC生成式技术综合应用之企业级知识问答体系建设"/>
        <s v="实时数据平台优化升级"/>
        <s v="零售CRM项目（2024年度）"/>
        <s v=""/>
        <s v="数据采集工具建设项目"/>
        <s v="反洗钱模型监测大数据性能提升"/>
        <s v="UDAS业务数据模型迁移项目"/>
        <s v="信用卡监管报表系统建设项目（待定）"/>
        <s v="上海银行监管报送数据治理项目"/>
        <s v="统一数据应用与服务技术改造项目"/>
        <s v="AI模型资产可视化星盘（已提需求）"/>
        <s v="客户风险统计报送2.0项目"/>
        <s v="数据配置化开发管理_多模态开发"/>
        <s v="会话式人工智能服务技改"/>
        <s v="零售CRM项目（2023年度）"/>
        <s v="上海银行区域特色报送建设项目"/>
        <s v="数据库安全网关"/>
        <s v="运营风险知识图谱智能化项目"/>
        <s v="零售智能图谱三期"/>
        <s v="对公CRM营销支持、团队管理功能优化"/>
        <s v="场景智能营销项目"/>
      </sharedItems>
    </cacheField>
    <cacheField name="发起部门" numFmtId="0">
      <sharedItems count="23">
        <s v="数据管理与应用部/信息统计部"/>
        <s v="数据管理与应用部/智能创新部"/>
        <s v="零售业务部/客户经营部"/>
        <s v="计划财务部/计划管理部"/>
        <s v="法律合规部/内控案防部"/>
        <s v="数据管理与应用部/数据治理部"/>
        <s v="数据管理与应用部/数据平台部"/>
        <s v="信用卡中心/开发协调部"/>
        <s v="风险管理部/系统与数据应用部"/>
        <s v="数据管理与应用部/信息管理部"/>
        <s v="法律合规部/反洗钱管理部"/>
        <s v="审计部/非现场审计部"/>
        <s v="现金中心/智能应用部"/>
        <s v="风险管理部/风险监测部"/>
        <s v="数据管理与应用部/数据分析团队"/>
        <s v="运营管理部/风险控制部"/>
        <s v="数据管理与应用部/数据开发部"/>
        <s v="数据管理与应用部/（停用）风险模型团队"/>
        <s v="零售业务部/机构发展部"/>
        <s v="运营管理部/零售与新兴业务中台部"/>
        <s v="零售业务部/风险内控部"/>
        <s v="公司业务部/数据应用管理部"/>
        <s v="零售业务部"/>
      </sharedItems>
    </cacheField>
    <cacheField name="业务负责人" numFmtId="0">
      <sharedItems count="49">
        <s v="王素雅"/>
        <s v="邱玥"/>
        <s v="赵雨赪"/>
        <s v="王书祥"/>
        <s v="王纨力"/>
        <s v="刘晓君"/>
        <s v="于璐"/>
        <s v="曹宁远"/>
        <s v="宋娇"/>
        <s v="王菲菲"/>
        <s v="李敏吉"/>
        <s v="杨陆"/>
        <s v="张晓芸"/>
        <s v="祝志辉"/>
        <s v="张博文"/>
        <s v="沈佳瑾"/>
        <s v="萧斌"/>
        <s v="钱诗慧"/>
        <s v="程亦凡"/>
        <s v="孙菡悦"/>
        <s v="周静"/>
        <s v="俞筱晨"/>
        <s v="李晓珺"/>
        <s v="郭庆睿"/>
        <s v="傅潜林"/>
        <s v="杨婧"/>
        <s v="李响"/>
        <s v="张洁"/>
        <s v="伍恒"/>
        <s v="于俊杰"/>
        <s v="储项佳"/>
        <s v="钱磊"/>
        <s v="杨青"/>
        <s v="刘召龙"/>
        <s v="梅凯磊"/>
        <s v="鲁晶"/>
        <s v="胡承萱"/>
        <s v="徐陶然"/>
        <s v="陈政"/>
        <s v="张子璐"/>
        <s v="李然"/>
        <s v="庄家宙"/>
        <s v="程园园"/>
        <s v="吴鹿其"/>
        <s v="周林心"/>
        <s v="白迪"/>
        <s v="黄大伟"/>
        <s v="刘惠"/>
        <s v="顾鑫羱"/>
      </sharedItems>
    </cacheField>
    <cacheField name="所属中心" numFmtId="0">
      <sharedItems count="1">
        <s v="数据管理部"/>
      </sharedItems>
    </cacheField>
    <cacheField name="牵头部室" numFmtId="0">
      <sharedItems count="6">
        <s v="综合管理部"/>
        <s v="智能创新部"/>
        <s v="数据开发部"/>
        <s v="数据平台部"/>
        <s v="信息管理部"/>
        <s v="信息统计部"/>
      </sharedItems>
    </cacheField>
    <cacheField name="项目经理" numFmtId="0">
      <sharedItems count="39">
        <s v="黄佳佳"/>
        <s v="邱玥"/>
        <s v="陆雨欣"/>
        <s v="刘梦颖"/>
        <s v="于中宝"/>
        <s v="王枫"/>
        <s v="刘召龙"/>
        <s v="陆凯华"/>
        <s v="康冉"/>
        <s v="李敏吉"/>
        <s v="卫彩萍"/>
        <s v="李响"/>
        <s v="吴小倩"/>
        <s v="孙菡悦"/>
        <s v="周静"/>
        <s v="曹婉茹"/>
        <s v="王晓璇"/>
        <s v="崔建文"/>
        <s v="贾世林"/>
        <s v="张放"/>
        <s v="伍恒"/>
        <s v="蒋捷"/>
        <s v="曾敏锐"/>
        <s v="钱磊"/>
        <s v="林幸"/>
        <s v="梅凯磊"/>
        <s v="景丞"/>
        <s v="胡承萱"/>
        <s v="赵超"/>
        <s v="于俊杰"/>
        <s v="曹宁远"/>
        <s v="张子璐"/>
        <s v="冯潇"/>
        <s v="龚毅磊"/>
        <s v="张镓奇"/>
        <s v="王正超"/>
        <s v="陈朗"/>
        <s v="刘惠"/>
        <s v="李梦霄"/>
      </sharedItems>
    </cacheField>
    <cacheField name="需求受理人" numFmtId="0">
      <sharedItems count="11">
        <s v="俞晶菁"/>
        <s v="卢泽辉"/>
        <s v="俞秋雨"/>
        <s v="郁海敏"/>
        <s v="丁伟男"/>
        <s v="陈曦"/>
        <s v="石毅博"/>
        <s v="陆雨欣"/>
        <s v="陈超"/>
        <s v="庄家宙"/>
        <s v=""/>
      </sharedItems>
    </cacheField>
    <cacheField name="中心架构师" numFmtId="0">
      <sharedItems count="1">
        <s v="米俊文"/>
      </sharedItems>
    </cacheField>
    <cacheField name="科室架构师" numFmtId="0">
      <sharedItems count="11">
        <s v="米俊文"/>
        <s v="李响"/>
        <s v="伍恒"/>
        <s v="李天卓"/>
        <s v="周龙"/>
        <s v="庄家宙"/>
        <s v="陆雨欣"/>
        <s v="李梦霄"/>
        <s v="罗仁杰"/>
        <s v="周纲林"/>
        <s v=""/>
      </sharedItems>
    </cacheField>
    <cacheField name="项目状态" numFmtId="0">
      <sharedItems count="1">
        <s v="进行中"/>
      </sharedItems>
    </cacheField>
    <cacheField name="立项阶段" numFmtId="0">
      <sharedItems count="5">
        <s v="立项签报"/>
        <s v="发起与会签"/>
        <s v="方案预算"/>
        <s v="前期完成"/>
        <s v="商务采购"/>
      </sharedItems>
    </cacheField>
    <cacheField name="实施阶段" numFmtId="0">
      <sharedItems count="5">
        <s v=""/>
        <s v="开发测试"/>
        <s v="启动准备"/>
        <s v="项目验收"/>
        <s v="需求分析"/>
      </sharedItems>
    </cacheField>
    <cacheField name="是否概算" numFmtId="0">
      <sharedItems count="2">
        <s v="否"/>
        <s v="是"/>
      </sharedItems>
    </cacheField>
    <cacheField name="签报号" numFmtId="0">
      <sharedItems count="47">
        <s v=""/>
        <s v="上银计签〔2025〕40号"/>
        <s v="上银数签〔2025〕12号"/>
        <s v="上银卡签〔2025〕20号,单项费用〔2025〕395号"/>
        <s v="上银数签〔2025〕10号"/>
        <s v="上银数签〔2025〕11号"/>
        <s v="上银法签〔2025〕12号"/>
        <s v="上银卡签〔2025〕16号"/>
        <s v="上银审签〔2025〕31号"/>
        <s v="上银现签〔2025〕1号"/>
        <s v="上银风签〔2025〕19号"/>
        <s v="上银审签〔2025〕4号,单项费用〔2025〕195号"/>
        <s v="上银数签〔2025〕4号"/>
        <s v="上银数签〔2025〕6号"/>
        <s v="上银数签〔2025〕15号"/>
        <s v="上银数签〔2024〕27号"/>
        <s v="上银计签〔2024〕42号"/>
        <s v="上银运签〔2025〕2号"/>
        <s v="上银数签〔2024〕16号"/>
        <s v="上银数签〔2024〕26号"/>
        <s v="上银数签〔2024〕15号"/>
        <s v="上银数签〔2024〕21号"/>
        <s v="上银风签〔2024〕23号,上银风签〔2025〕14号"/>
        <s v="上银数签〔2024〕20号"/>
        <s v="上银风签〔2024〕13号"/>
        <s v="上银风签〔2024〕17号,上银风签〔2025〕14号"/>
        <s v="上银风签〔2024〕3号-产品预算,上银风签〔2025〕21号"/>
        <s v="上银风签〔2024〕3号-产品预算,上银风签〔2025〕14号"/>
        <s v="上银数签〔2024〕8号"/>
        <s v="上银数签〔2024〕14号"/>
        <s v="上银卡签〔2024〕14号"/>
        <s v="上银数签〔2024〕7号"/>
        <s v="上银数签〔2023〕32号,单项费用〔2024〕140号"/>
        <s v="上银数签〔2023〕30号"/>
        <s v="上银数签〔2024〕17号"/>
        <s v="上银数签〔2023〕27号"/>
        <s v="上银零签〔2023〕76号"/>
        <s v="上银数签〔2023〕23号"/>
        <s v="上银数签〔2023〕17号"/>
        <s v="上银运签〔2023〕12号"/>
        <s v="上银运签〔2023〕11号"/>
        <s v="上银零签〔2023〕73号"/>
        <s v="上银公签〔2023〕90号"/>
        <s v="上银数签〔2023〕10号"/>
        <s v="上银风签〔2023〕7号"/>
        <s v="上银数签〔2023〕6号"/>
        <s v="上银零签〔2021〕51号"/>
      </sharedItems>
    </cacheField>
    <cacheField name="签报名称" numFmtId="0">
      <sharedItems count="47">
        <s v=""/>
        <s v="关于2025年经营指标体系建设立项请示"/>
        <s v="关于数据试衣间平台建设项目的立项请示"/>
        <s v="关于金保信征信升级为量子安全通道的请示,关于金保信征信升级为量子安全通道项目追加预算的请示"/>
        <s v="关于可视化报表助手应用升级项目的请示"/>
        <s v="关于启动分析圈客一体化平台建设项目的请示"/>
        <s v="关于启动2025年反洗钱系统模型及功能优化项目的请示"/>
        <s v="关于信用卡中心1104和区域特色报表改造项目立项的请示"/>
        <s v="关于审计综合管理系统优化项目立项的请示"/>
        <s v="关于人民银行现金统计数据系统对接项目的立项请示"/>
        <s v="关于基于大模型的研报分析解读项目的立项请示"/>
        <s v="关于启动审计署报送2.0项目的请示,关于审计署报送2.0项目的费用申请"/>
        <s v="关于经营单位数字化管理建设的立项请示"/>
        <s v="关于采购第二代金融统计数据报送系统的请示"/>
        <s v="关于数据资产盘点项目的立项请示"/>
        <s v="关于启动零售长尾客户AI运营项目的请示"/>
        <s v="关于2024年经营指标体系建设立项请示"/>
        <s v="关于反电诈管理项目的请示"/>
        <s v="关于掌上行4.0建设项目的立项请示"/>
        <s v="关于外部数据治理与迁移项目的立项请示"/>
        <s v="关于建设大模型知识问答相关工作的请示"/>
        <s v="关于我行实时数据平台优化升级项目的请示"/>
        <s v="关于数据驱动的全面风险管理体系实施项目（慧信工程）第五批预算启用的请示,关于数据驱动的全面风险管理体系实施项目（慧信工程）第七批预算启用的请示"/>
        <s v="关于我行数据采集工具建设项目的请示"/>
        <s v="关于数据驱动的全面风险管理体系实施项目（慧信工程）第二批预算启用的请示"/>
        <s v="关于数据驱动的全面风险管理体系实施项目（慧信工程）第三批预算启用的请示,关于数据驱动的全面风险管理体系实施项目（慧信工程）第七批预算启用的请示"/>
        <s v="关于数据驱动的全面风险管理体系实施项目建设的请示,关于数据驱动的全面风险管理体系实施项目（慧信工程）第八批预算启用的请示"/>
        <s v="关于数据驱动的全面风险管理体系实施项目建设的请示,关于数据驱动的全面风险管理体系实施项目（慧信工程）第七批预算启用的请示"/>
        <s v="关于反洗钱模型监测性能提升项目的请示"/>
        <s v="关于UDAS业务数据模型迁移的立项请示"/>
        <s v="关于申请信用卡监管报送系统建设项目立项的请示"/>
        <s v="关于监管数据赋能项目立项请示"/>
        <s v="关于启动监管报送数据治理项目的请示,关于监管报送数据治理项目预算变更的请示"/>
        <s v="关于UDAS平台技术优化项目的立项请示"/>
        <s v="关于AI模型统一监控与资产管理建设项目的立项请示"/>
        <s v="关于建设数据开发中心作业调度升级改造的请示"/>
        <s v="关于建设2023年零售客户经营管理项目的请示"/>
        <s v="关于银行业区域特色监管报送建设项目的立项请示"/>
        <s v="关于启动建设数据安全脱敏网关项目的请示"/>
        <s v="关于启动个人结算账户申报管理功能优化项目的请示"/>
        <s v="关于运营风险知识图谱智能化项目的请示"/>
        <s v="关于零售智能图谱三期的立项请示"/>
        <s v="关于对公CRM营销获客及过程管理优化项目的请示"/>
        <s v="关于大数据分析服务版本升级的技改项目的请示"/>
        <s v="关于授信风险数据治理及应用项目的立项请示"/>
        <s v="关于east5.0报送数据血缘构建项目的请示"/>
        <s v="关于启动数字化创新-零售板块智能营销线上化场景项目的请示"/>
      </sharedItems>
    </cacheField>
    <cacheField name="签报时间" numFmtId="0">
      <sharedItems count="45">
        <s v=""/>
        <s v="2025-09-16"/>
        <s v="2025-09-10"/>
        <s v="2025-06-04,2025-09-25"/>
        <s v="2025-09-01"/>
        <s v="2025-08-08"/>
        <s v="2025-07-29"/>
        <s v="2025-05-23"/>
        <s v="2025-08-18"/>
        <s v="2025-05-22"/>
        <s v="2025-09-09"/>
        <s v="2025-01-20,2025-05-16"/>
        <s v="2025-06-04"/>
        <s v="2025-07-03"/>
        <s v="2025-09-17"/>
        <s v="2024-12-31"/>
        <s v="2024-07-30"/>
        <s v="2025-01-27"/>
        <s v="2024-08-01"/>
        <s v="2024-12-19"/>
        <s v="2024-07-19"/>
        <s v="2024-10-23"/>
        <s v="2024-11-20,2025-04-27"/>
        <s v="2024-09-29"/>
        <s v="2024-07-04"/>
        <s v="2024-08-20,2025-04-27"/>
        <s v="2024-02-22,2025-09-10"/>
        <s v="2024-02-22,2025-04-27"/>
        <s v="2024-06-11"/>
        <s v="2024-04-12"/>
        <s v="2024-05-21"/>
        <s v="2023-12-12,2024-03-29"/>
        <s v="2023-11-10"/>
        <s v="2024-09-24"/>
        <s v="2023-10-19"/>
        <s v="2023-08-27"/>
        <s v="2023-09-12"/>
        <s v="2023-07-02"/>
        <s v="2023-07-05"/>
        <s v="2023-08-23"/>
        <s v="2024-02-20"/>
        <s v="2023-04-25"/>
        <s v="2023-04-21"/>
        <s v="2023-03-07"/>
        <s v="2021-07-19"/>
      </sharedItems>
    </cacheField>
    <cacheField name="预算金额" numFmtId="0">
      <sharedItems count="47">
        <s v=""/>
        <s v="1385700.00"/>
        <s v="1704800.00"/>
        <s v="288800.00,371800.00"/>
        <s v="1104900.00"/>
        <s v="5382900.00"/>
        <s v="2537800.00"/>
        <s v="701200.00"/>
        <s v="1995500.00"/>
        <s v="453900.00"/>
        <s v="1982000.00"/>
        <s v="3500000.00,2003300.00"/>
        <s v="1902200.00"/>
        <s v="200000.00"/>
        <s v="464300.00"/>
        <s v="2881900.00"/>
        <s v="1073100.00"/>
        <s v="1627600.00"/>
        <s v="4149600.00"/>
        <s v="1171700.00"/>
        <s v="14434700.00"/>
        <s v="169400.00"/>
        <s v="5473800.00,48340400.00"/>
        <s v="884300.00"/>
        <s v="21254300.00"/>
        <s v="70197500.00,48340400.00"/>
        <s v="0.00,24512600.00"/>
        <s v="0.00,48340400.00"/>
        <s v="1441100.00"/>
        <s v="2968500.00"/>
        <s v="1040800.00"/>
        <s v="3027200.00"/>
        <s v="7142400.00,7109200.00"/>
        <s v="2961200.00"/>
        <s v="808500.00"/>
        <s v="990700.00"/>
        <s v="2967500.00"/>
        <s v="2208000.00"/>
        <s v="1338000.00"/>
        <s v="684800.00"/>
        <s v="1165600.00"/>
        <s v="2070800.00"/>
        <s v="4647800.00"/>
        <s v="5558000.00"/>
        <s v="1819800.00"/>
        <s v="606500.00"/>
        <s v="3752800.00"/>
      </sharedItems>
    </cacheField>
    <cacheField name="进入平台日期" numFmtId="0">
      <sharedItems containsSemiMixedTypes="0" containsString="0" containsNonDate="0" containsDate="1" minDate="2021-03-17T00:00:00" maxDate="2025-07-24T16:17:32" count="55">
        <d v="2025-07-24T16:17:32"/>
        <d v="2025-07-15T00:00:00"/>
        <d v="2025-07-11T00:00:00"/>
        <d v="2025-06-20T00:00:00"/>
        <d v="2025-06-12T00:00:00"/>
        <d v="2025-05-26T10:02:52"/>
        <d v="2025-05-21T00:00:00"/>
        <d v="2025-05-16T00:00:00"/>
        <d v="2025-05-12T00:00:00"/>
        <d v="2025-05-09T15:23:46"/>
        <d v="2025-04-10T00:00:00"/>
        <d v="2025-04-09T00:00:00"/>
        <d v="2025-03-31T00:00:00"/>
        <d v="2025-03-26T00:00:00"/>
        <d v="2025-03-25T00:00:00"/>
        <d v="2025-03-21T00:00:00"/>
        <d v="2025-02-17T00:00:00"/>
        <d v="2025-01-26T00:00:00"/>
        <d v="2025-01-16T00:00:00"/>
        <d v="2024-09-26T00:00:00"/>
        <d v="2024-09-12T00:00:00"/>
        <d v="2024-06-19T00:00:00"/>
        <d v="2024-06-18T00:00:00"/>
        <d v="2024-05-31T00:00:00"/>
        <d v="2024-04-28T00:00:00"/>
        <d v="2024-04-16T00:00:00"/>
        <d v="2024-04-01T00:00:00"/>
        <d v="2024-03-27T00:00:00"/>
        <d v="2024-03-11T00:00:00"/>
        <d v="2024-02-29T00:00:00"/>
        <d v="2024-02-02T00:00:00"/>
        <d v="2024-01-11T00:00:00"/>
        <d v="2024-01-08T00:00:00"/>
        <d v="2024-01-02T00:00:00"/>
        <d v="2023-12-22T00:00:00"/>
        <d v="2023-12-04T00:00:00"/>
        <d v="2023-11-23T00:00:00"/>
        <d v="2023-10-25T00:00:00"/>
        <d v="2023-09-01T00:00:00"/>
        <d v="2023-08-09T00:00:00"/>
        <d v="2023-08-01T00:00:00"/>
        <d v="2023-07-25T00:00:00"/>
        <d v="2023-06-21T00:00:00"/>
        <d v="2023-06-14T00:00:00"/>
        <d v="2023-04-10T00:00:00"/>
        <d v="2023-02-28T00:00:00"/>
        <d v="2023-02-24T00:00:00"/>
        <d v="2023-02-17T00:00:00"/>
        <d v="2023-02-03T00:00:00"/>
        <d v="2023-01-29T00:00:00"/>
        <d v="2022-12-15T00:00:00"/>
        <d v="2022-11-09T00:00:00"/>
        <d v="2022-09-30T00:00:00"/>
        <d v="2022-09-21T00:00:00"/>
        <d v="2021-03-17T00:00:00"/>
      </sharedItems>
    </cacheField>
    <cacheField name="需求会签预计完成时间" numFmtId="0">
      <sharedItems containsDate="1" containsMixedTypes="1" count="42">
        <d v="2025-08-08T00:00:00"/>
        <d v="2025-09-26T00:00:00"/>
        <d v="2025-09-30T00:00:00"/>
        <d v="2025-07-31T00:00:00"/>
        <d v="2025-12-31T00:00:00"/>
        <d v="2025-06-13T00:00:00"/>
        <d v="2025-06-30T00:00:00"/>
        <d v="2025-05-30T00:00:00"/>
        <d v="2025-07-11T00:00:00"/>
        <d v="2025-04-30T00:00:00"/>
        <d v="2025-04-23T00:00:00"/>
        <d v="2025-04-15T00:00:00"/>
        <d v="2025-04-25T00:00:00"/>
        <d v="2025-04-21T00:00:00"/>
        <d v="2025-03-31T00:00:00"/>
        <d v="2025-02-18T00:00:00"/>
        <d v="2025-01-17T00:00:00"/>
        <d v="2024-10-18T00:00:00"/>
        <d v="2025-05-10T00:00:00"/>
        <d v="2024-07-31T00:00:00"/>
        <d v="2024-06-30T00:00:00"/>
        <d v="2024-06-14T00:00:00"/>
        <d v="2024-05-31T00:00:00"/>
        <d v="2024-04-30T00:00:00"/>
        <d v="2024-04-07T00:00:00"/>
        <d v="2024-03-21T00:00:00"/>
        <d v="2024-03-31T00:00:00"/>
        <d v="2024-04-05T00:00:00"/>
        <d v="2024-03-11T00:00:00"/>
        <d v="2024-01-19T00:00:00"/>
        <d v="2024-01-26T00:00:00"/>
        <d v="2024-02-29T00:00:00"/>
        <d v="2024-03-10T00:00:00"/>
        <d v="2024-01-05T00:00:00"/>
        <d v="2023-12-08T00:00:00"/>
        <d v="2023-11-30T00:00:00"/>
        <d v="2023-11-03T00:00:00"/>
        <d v="2023-09-30T00:00:00"/>
        <d v="2023-08-30T00:00:00"/>
        <d v="2023-08-11T00:00:00"/>
        <s v=""/>
        <d v="2023-08-23T00:00:00"/>
      </sharedItems>
    </cacheField>
    <cacheField name="最近投产批次" numFmtId="0">
      <sharedItems count="9">
        <s v=""/>
        <s v="1"/>
        <s v="4"/>
        <s v="6"/>
        <s v="18"/>
        <s v="7"/>
        <s v="3"/>
        <s v="5"/>
        <s v="2"/>
      </sharedItems>
    </cacheField>
    <cacheField name="最后投产日期" numFmtId="0">
      <sharedItems containsDate="1" containsMixedTypes="1" count="29">
        <s v=""/>
        <d v="2025-10-17T00:00:00"/>
        <d v="2025-06-27T00:00:00"/>
        <d v="2025-09-05T00:00:00"/>
        <d v="2025-08-29T00:00:00"/>
        <d v="2025-08-30T00:00:00"/>
        <d v="2025-05-24T00:00:00"/>
        <d v="2025-09-19T00:00:00"/>
        <d v="2025-07-25T00:00:00"/>
        <d v="2025-07-31T00:00:00"/>
        <d v="2025-04-18T00:00:00"/>
        <d v="2025-09-22T00:00:00"/>
        <d v="2025-03-28T00:00:00"/>
        <d v="2025-07-26T00:00:00"/>
        <d v="2025-07-18T00:00:00"/>
        <d v="2025-03-29T00:00:00"/>
        <d v="2025-02-21T00:00:00"/>
        <d v="2025-03-21T00:00:00"/>
        <d v="2024-06-24T00:00:00"/>
        <d v="2025-08-22T00:00:00"/>
        <d v="2025-01-10T00:00:00"/>
        <d v="2024-11-08T00:00:00"/>
        <d v="2025-01-17T00:00:00"/>
        <d v="2024-05-10T00:00:00"/>
        <d v="2024-10-25T00:00:00"/>
        <d v="2024-07-19T00:00:00"/>
        <d v="2024-01-26T00:00:00"/>
        <d v="2024-08-01T00:00:00"/>
        <d v="2023-04-19T00:00:00"/>
      </sharedItems>
    </cacheField>
    <cacheField name="已投产比例(%)" numFmtId="0">
      <sharedItems count="18">
        <s v=""/>
        <s v="5"/>
        <s v="15"/>
        <s v="40"/>
        <s v="90"/>
        <s v="30"/>
        <s v="100"/>
        <s v="99"/>
        <s v="96"/>
        <s v="80"/>
        <s v="97"/>
        <s v="91"/>
        <s v="75"/>
        <s v="50"/>
        <s v="45"/>
        <s v="60"/>
        <s v="95"/>
        <s v="61"/>
      </sharedItems>
    </cacheField>
    <cacheField name="验收完成时间" numFmtId="0">
      <sharedItems count="1">
        <s v=""/>
      </sharedItems>
    </cacheField>
    <cacheField name="关闭时间" numFmtId="0">
      <sharedItems count="1">
        <s v=""/>
      </sharedItems>
    </cacheField>
    <cacheField name="是否编制需规" numFmtId="0">
      <sharedItems count="2">
        <s v="是"/>
        <s v="否"/>
      </sharedItems>
    </cacheField>
    <cacheField name="是否需要方案评审" numFmtId="0">
      <sharedItems count="3">
        <s v="否"/>
        <s v="是"/>
        <s v=""/>
      </sharedItems>
    </cacheField>
    <cacheField name="对标状态 " numFmtId="0">
      <sharedItems count="3">
        <s v="已对标"/>
        <s v="不涉及对标"/>
        <s v="待补对标"/>
      </sharedItems>
    </cacheField>
    <cacheField name="涉及帐务调整" numFmtId="0">
      <sharedItems count="1">
        <s v="否"/>
      </sharedItems>
    </cacheField>
    <cacheField name="涉及渠道" numFmtId="0">
      <sharedItems count="11">
        <s v="办公"/>
        <s v="手机"/>
        <s v="其他"/>
        <s v="手机,短信,其他"/>
        <s v="手机,网银,柜面,办公,其他"/>
        <s v="手机,办公,其他"/>
        <s v="e桌面"/>
        <s v="手机,网银,微信,柜面,办公,其他"/>
        <s v="办公,其他"/>
        <s v="短信,其他"/>
        <s v=""/>
      </sharedItems>
    </cacheField>
    <cacheField name="涉及监管报送" numFmtId="0">
      <sharedItems count="3">
        <s v="否"/>
        <s v="是"/>
        <s v=""/>
      </sharedItems>
    </cacheField>
    <cacheField name="涉及反洗钱交易管控" numFmtId="0">
      <sharedItems count="2">
        <s v="否"/>
        <s v=""/>
      </sharedItems>
    </cacheField>
    <cacheField name="场景是否涉及AI智能化" numFmtId="0">
      <sharedItems count="3">
        <s v="是"/>
        <s v="否"/>
        <s v=""/>
      </sharedItems>
    </cacheField>
    <cacheField name="涉及内部员工使用" numFmtId="0">
      <sharedItems count="2">
        <s v="否"/>
        <s v="是"/>
      </sharedItems>
    </cacheField>
    <cacheField name="涉及产品调整" numFmtId="0">
      <sharedItems count="3">
        <s v="否"/>
        <s v="是"/>
        <s v=""/>
      </sharedItems>
    </cacheField>
    <cacheField name="业务领域" numFmtId="0">
      <sharedItems count="15">
        <s v="基础板块|经营与决策|经营管理"/>
        <s v="数据与科技|数据管理|智能创新"/>
        <s v="零售板块|客户经营|客户经营-零售"/>
        <s v="基础板块|风险管理|监管合规（含信息报送）"/>
        <s v="风险板块|风险管理|操作风险"/>
        <s v=""/>
        <s v="数据与科技|科技管理|科技管理"/>
        <s v="零售板块|贷款业务|信用卡业务-零售"/>
        <s v="风险板块|监管合规|监管合规"/>
        <s v="数据与科技|科技运营|科技运营"/>
        <s v="其他|内控安全|审计管控"/>
        <s v="风险板块|风险数据|风险数据"/>
        <s v="数据与科技|技术支撑|技术支撑"/>
        <s v="基础板块|风险管理|风险管控-基础"/>
        <s v="风险板块|风险管理|信用风险"/>
      </sharedItems>
    </cacheField>
    <cacheField name="需求分析人员" numFmtId="0">
      <sharedItems count="40">
        <s v="黄佳佳"/>
        <s v=""/>
        <s v="范荣"/>
        <s v="刘梦颖"/>
        <s v="吕恩元"/>
        <s v="王枫"/>
        <s v="曹宁远"/>
        <s v="陆凯华"/>
        <s v="李敏吉"/>
        <s v="王言哲"/>
        <s v="康冉"/>
        <s v="刘惠"/>
        <s v="万珊红"/>
        <s v="杨婧"/>
        <s v="吴小倩"/>
        <s v="孙菡悦"/>
        <s v="周静"/>
        <s v="刘召龙"/>
        <s v="曹婉茹"/>
        <s v="王晓璇"/>
        <s v="崔建文"/>
        <s v="贾世林"/>
        <s v="李响"/>
        <s v="陆雨欣"/>
        <s v="张放"/>
        <s v="伍恒"/>
        <s v="蒋捷"/>
        <s v="曾敏锐"/>
        <s v="钱磊"/>
        <s v="林幸"/>
        <s v="梅凯磊"/>
        <s v="景丞"/>
        <s v="胡承萱"/>
        <s v="赵超"/>
        <s v="于俊杰"/>
        <s v="张子璐"/>
        <s v="冯潇"/>
        <s v="龚毅磊"/>
        <s v="张镓奇"/>
        <s v="于中宝"/>
      </sharedItems>
    </cacheField>
    <cacheField name="本部架构师" numFmtId="0">
      <sharedItems count="8">
        <s v="吴群美"/>
        <s v="易辛悦"/>
        <s v="赵洁"/>
        <s v="章文斌"/>
        <s v="黄婷"/>
        <s v="李月英"/>
        <s v="鲍真"/>
        <s v="俞晶菁"/>
      </sharedItems>
    </cacheField>
    <cacheField name="分管总经理" numFmtId="0">
      <sharedItems count="4">
        <s v="卢易"/>
        <s v=""/>
        <s v="于浩瀚"/>
        <s v="宋晓迪"/>
      </sharedItems>
    </cacheField>
    <cacheField name="测试经理" numFmtId="0">
      <sharedItems count="37">
        <s v="黄佳佳"/>
        <s v=""/>
        <s v="陆雨欣"/>
        <s v="刘梦颖"/>
        <s v="陆凯华"/>
        <s v="史朋飞"/>
        <s v="康冉"/>
        <s v="卫彩萍"/>
        <s v="吴小倩"/>
        <s v="周静"/>
        <s v="王璐珊"/>
        <s v="王晓璇"/>
        <s v="聂亚敏"/>
        <s v="鞠爱宁"/>
        <s v="贾世林"/>
        <s v="李响"/>
        <s v="刘浩"/>
        <s v="张倩"/>
        <s v="王双钰"/>
        <s v="于俊杰"/>
        <s v="周浩"/>
        <s v="罗兰宇"/>
        <s v="窦博文"/>
        <s v="张杨"/>
        <s v="梅凯磊"/>
        <s v="孙悦"/>
        <s v="陈锋"/>
        <s v="王轩儒"/>
        <s v="赵文祺"/>
        <s v="闫婷"/>
        <s v="濮敏"/>
        <s v="张镓奇"/>
        <s v="彭坤"/>
        <s v="王正超"/>
        <s v="白迪"/>
        <s v="胡楚"/>
        <s v="刘惠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1" createdVersion="1" useAutoFormatting="1" compact="0" indent="0" compactData="0" gridDropZones="1" showDrill="1" multipleFieldFilters="0">
  <location ref="F1:G42" firstHeaderRow="2" firstDataRow="2" firstDataCol="1"/>
  <pivotFields count="49">
    <pivotField compact="0" outline="0" subtotalTop="0" showAll="0" includeNewItemsInFilter="1">
      <items count="59"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2"/>
        <item x="33"/>
        <item x="34"/>
        <item x="35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compact="0" outline="0" subtotalTop="0" showAll="0" includeNewItemsInFilter="1">
      <items count="59"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2"/>
        <item x="33"/>
        <item x="34"/>
        <item x="35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ubtotalTop="0" showAll="0" includeNewItemsInFilter="1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0" outline="0" subtotalTop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compact="0" outline="0" subtotalTop="0" showAll="0" includeNewItemsInFilter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outline="0" subtotalTop="0" showAll="0" includeNewItemsInFilter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outline="0" subtotalTop="0" showAll="0" includeNewItemsInFilter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7">
        <item x="0"/>
        <item x="1"/>
        <item x="2"/>
        <item x="3"/>
        <item x="4"/>
        <item x="5"/>
        <item t="default"/>
      </items>
    </pivotField>
    <pivotField axis="axisRow" compact="0" outline="0" subtotalTop="0" showAll="0" includeNewItemsInFilter="1">
      <items count="40">
        <item x="30"/>
        <item x="15"/>
        <item x="22"/>
        <item x="36"/>
        <item x="17"/>
        <item x="32"/>
        <item x="33"/>
        <item x="27"/>
        <item x="0"/>
        <item x="18"/>
        <item x="21"/>
        <item x="26"/>
        <item x="8"/>
        <item x="38"/>
        <item x="9"/>
        <item x="11"/>
        <item x="24"/>
        <item x="37"/>
        <item x="3"/>
        <item x="6"/>
        <item x="7"/>
        <item x="2"/>
        <item x="25"/>
        <item x="23"/>
        <item x="1"/>
        <item x="13"/>
        <item x="5"/>
        <item x="16"/>
        <item x="35"/>
        <item x="10"/>
        <item x="12"/>
        <item x="20"/>
        <item x="29"/>
        <item x="4"/>
        <item x="19"/>
        <item x="34"/>
        <item x="31"/>
        <item x="28"/>
        <item x="14"/>
        <item t="default"/>
      </items>
    </pivotField>
    <pivotField compact="0" outline="0" subtotalTop="0" showAll="0" includeNewItemsInFilter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outline="0" subtotalTop="0" showAll="0" includeNewItemsInFilter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outline="0" subtotalTop="0" showAll="0" includeNewItemsInFilter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outline="0" subtotalTop="0" showAll="0" includeNewItemsInFilter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outline="0" subtotalTop="0" numFmtId="180" showAll="0" includeNewItemsInFilter="1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compact="0" outline="0" subtotalTop="0" showAll="0" includeNewItemsInFilter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compact="0" outline="0" subtotalTop="0" showAll="0" includeNewItemsInFilter="1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ubtotalTop="0" showAll="0" includeNewItemsInFilter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outline="0" subtotalTop="0" showAll="0" includeNewItemsInFilter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ubtotalTop="0" showAll="0" includeNewItemsInFilter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outline="0" subtotalTop="0" showAll="0" includeNewItemsInFilter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ubtotalTop="0" showAll="0" includeNewItemsInFilter="1">
      <items count="5">
        <item x="0"/>
        <item x="1"/>
        <item x="2"/>
        <item x="3"/>
        <item t="default"/>
      </items>
    </pivotField>
    <pivotField compact="0" outline="0" subtotalTop="0" showAll="0" includeNewItemsInFilter="1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rowFields count="1">
    <field x="15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计数项:项目编号" fld="1" subtotal="count" baseField="0" baseItem="0"/>
  </dataFields>
  <pivotTableStyleInfo showRowHeaders="1" showColHeaders="1" showLastColumn="1"/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05"/>
  <sheetViews>
    <sheetView tabSelected="1" zoomScale="145" zoomScaleNormal="145" workbookViewId="0">
      <pane ySplit="2" topLeftCell="A3" activePane="bottomLeft" state="frozen"/>
      <selection/>
      <selection pane="bottomLeft" activeCell="C101" sqref="C101"/>
    </sheetView>
  </sheetViews>
  <sheetFormatPr defaultColWidth="8.72222222222222" defaultRowHeight="14.4"/>
  <cols>
    <col min="1" max="1" width="5.63888888888889" style="77" customWidth="1"/>
    <col min="2" max="2" width="7.14814814814815" style="77" customWidth="1"/>
    <col min="3" max="3" width="11.5" style="78" customWidth="1"/>
    <col min="4" max="4" width="12.1759259259259" style="78" customWidth="1"/>
    <col min="5" max="5" width="5.50925925925926" style="141" customWidth="1"/>
    <col min="6" max="7" width="5.50925925925926" style="77" customWidth="1"/>
    <col min="8" max="8" width="17.1574074074074" style="77" customWidth="1"/>
    <col min="9" max="11" width="5.50925925925926" style="1" customWidth="1"/>
    <col min="12" max="12" width="5.50925925925926" style="77" customWidth="1"/>
    <col min="13" max="19" width="5.50925925925926" style="78" customWidth="1"/>
    <col min="20" max="20" width="5.50925925925926" style="142" customWidth="1"/>
    <col min="21" max="23" width="5.50925925925926" style="78" customWidth="1"/>
    <col min="24" max="24" width="6.75925925925926" style="78" customWidth="1"/>
    <col min="25" max="31" width="7" style="78" customWidth="1"/>
    <col min="32" max="32" width="9.22222222222222" style="78" customWidth="1"/>
    <col min="33" max="37" width="7" style="78" customWidth="1"/>
    <col min="38" max="41" width="8.77777777777778" style="78" customWidth="1"/>
    <col min="42" max="42" width="6.72222222222222" style="78" customWidth="1"/>
    <col min="43" max="44" width="13.6759259259259" style="78" customWidth="1"/>
    <col min="45" max="45" width="11.1111111111111" customWidth="1"/>
    <col min="46" max="46" width="9.77777777777778" customWidth="1"/>
  </cols>
  <sheetData>
    <row r="1" s="136" customFormat="1" ht="25" customHeight="1" spans="1:46">
      <c r="A1" s="83" t="s">
        <v>0</v>
      </c>
      <c r="B1" s="84" t="s">
        <v>1</v>
      </c>
      <c r="C1" s="143" t="s">
        <v>2</v>
      </c>
      <c r="D1" s="144"/>
      <c r="E1" s="144"/>
      <c r="F1" s="144"/>
      <c r="G1" s="144"/>
      <c r="H1" s="145"/>
      <c r="I1" s="147" t="s">
        <v>3</v>
      </c>
      <c r="J1" s="148"/>
      <c r="K1" s="148"/>
      <c r="L1" s="148"/>
      <c r="M1" s="148"/>
      <c r="N1" s="149"/>
      <c r="O1" s="150" t="s">
        <v>4</v>
      </c>
      <c r="P1" s="150"/>
      <c r="Q1" s="150"/>
      <c r="R1" s="153" t="s">
        <v>5</v>
      </c>
      <c r="S1" s="154" t="s">
        <v>6</v>
      </c>
      <c r="T1" s="154"/>
      <c r="U1" s="154"/>
      <c r="V1" s="154"/>
      <c r="W1" s="154"/>
      <c r="X1" s="155" t="s">
        <v>7</v>
      </c>
      <c r="Y1" s="159"/>
      <c r="Z1" s="159"/>
      <c r="AA1" s="159"/>
      <c r="AB1" s="159"/>
      <c r="AC1" s="160"/>
      <c r="AD1" s="155" t="s">
        <v>8</v>
      </c>
      <c r="AE1" s="159"/>
      <c r="AF1" s="159"/>
      <c r="AG1" s="159"/>
      <c r="AH1" s="159"/>
      <c r="AI1" s="160"/>
      <c r="AJ1" s="160"/>
      <c r="AK1" s="160"/>
      <c r="AL1" s="161" t="s">
        <v>9</v>
      </c>
      <c r="AM1" s="161"/>
      <c r="AN1" s="161"/>
      <c r="AO1" s="161"/>
      <c r="AP1" s="161"/>
      <c r="AQ1" s="161"/>
      <c r="AR1" s="161"/>
      <c r="AS1" s="164" t="s">
        <v>10</v>
      </c>
      <c r="AT1" s="136" t="s">
        <v>11</v>
      </c>
    </row>
    <row r="2" s="137" customFormat="1" ht="70" customHeight="1" spans="1:46">
      <c r="A2" s="83"/>
      <c r="B2" s="84"/>
      <c r="C2" s="84" t="s">
        <v>12</v>
      </c>
      <c r="D2" s="83" t="s">
        <v>13</v>
      </c>
      <c r="E2" s="84" t="s">
        <v>14</v>
      </c>
      <c r="F2" s="84" t="s">
        <v>15</v>
      </c>
      <c r="G2" s="84" t="s">
        <v>16</v>
      </c>
      <c r="H2" s="84" t="s">
        <v>17</v>
      </c>
      <c r="I2" s="87" t="s">
        <v>18</v>
      </c>
      <c r="J2" s="87" t="s">
        <v>19</v>
      </c>
      <c r="K2" s="87" t="s">
        <v>20</v>
      </c>
      <c r="L2" s="151" t="s">
        <v>21</v>
      </c>
      <c r="M2" s="87" t="s">
        <v>22</v>
      </c>
      <c r="N2" s="87" t="s">
        <v>23</v>
      </c>
      <c r="O2" s="87" t="s">
        <v>24</v>
      </c>
      <c r="P2" s="87" t="s">
        <v>25</v>
      </c>
      <c r="Q2" s="87" t="s">
        <v>26</v>
      </c>
      <c r="R2" s="153"/>
      <c r="S2" s="87" t="s">
        <v>27</v>
      </c>
      <c r="T2" s="87" t="s">
        <v>28</v>
      </c>
      <c r="U2" s="87" t="s">
        <v>29</v>
      </c>
      <c r="V2" s="87" t="s">
        <v>30</v>
      </c>
      <c r="W2" s="87" t="s">
        <v>31</v>
      </c>
      <c r="X2" s="108" t="s">
        <v>32</v>
      </c>
      <c r="Y2" s="108" t="s">
        <v>33</v>
      </c>
      <c r="Z2" s="109" t="s">
        <v>34</v>
      </c>
      <c r="AA2" s="109" t="s">
        <v>35</v>
      </c>
      <c r="AB2" s="109" t="s">
        <v>36</v>
      </c>
      <c r="AC2" s="110" t="s">
        <v>37</v>
      </c>
      <c r="AD2" s="110" t="s">
        <v>38</v>
      </c>
      <c r="AE2" s="110" t="s">
        <v>39</v>
      </c>
      <c r="AF2" s="110" t="s">
        <v>40</v>
      </c>
      <c r="AG2" s="110" t="s">
        <v>41</v>
      </c>
      <c r="AH2" s="110" t="s">
        <v>42</v>
      </c>
      <c r="AI2" s="110" t="s">
        <v>43</v>
      </c>
      <c r="AJ2" s="110"/>
      <c r="AK2" s="162" t="s">
        <v>44</v>
      </c>
      <c r="AL2" s="163" t="s">
        <v>45</v>
      </c>
      <c r="AM2" s="163" t="s">
        <v>46</v>
      </c>
      <c r="AN2" s="163" t="s">
        <v>47</v>
      </c>
      <c r="AO2" s="163" t="s">
        <v>48</v>
      </c>
      <c r="AP2" s="163" t="s">
        <v>49</v>
      </c>
      <c r="AQ2" s="163" t="s">
        <v>50</v>
      </c>
      <c r="AR2" s="163" t="s">
        <v>51</v>
      </c>
      <c r="AS2" s="164"/>
      <c r="AT2" s="165" t="s">
        <v>52</v>
      </c>
    </row>
    <row r="3" s="138" customFormat="1" ht="22" customHeight="1" spans="1:46">
      <c r="A3" s="91">
        <v>1</v>
      </c>
      <c r="B3" s="93" t="s">
        <v>53</v>
      </c>
      <c r="C3" s="90" t="s">
        <v>54</v>
      </c>
      <c r="D3" s="91" t="s">
        <v>55</v>
      </c>
      <c r="E3" s="146" t="s">
        <v>56</v>
      </c>
      <c r="F3" s="93">
        <v>8</v>
      </c>
      <c r="G3" s="94" t="s">
        <v>57</v>
      </c>
      <c r="H3" s="94" t="s">
        <v>58</v>
      </c>
      <c r="I3" s="111" t="s">
        <v>59</v>
      </c>
      <c r="J3" s="111" t="s">
        <v>60</v>
      </c>
      <c r="K3" s="111">
        <v>2</v>
      </c>
      <c r="L3" s="94">
        <v>0</v>
      </c>
      <c r="M3" s="94" t="s">
        <v>61</v>
      </c>
      <c r="N3" s="94" t="s">
        <v>62</v>
      </c>
      <c r="O3" s="90"/>
      <c r="P3" s="90"/>
      <c r="Q3" s="90" t="s">
        <v>63</v>
      </c>
      <c r="R3" s="90" t="s">
        <v>64</v>
      </c>
      <c r="S3" s="156">
        <f>VLOOKUP(B3,'[2]62人'!$B:$R,17,FALSE)</f>
        <v>1</v>
      </c>
      <c r="T3" s="37">
        <v>5</v>
      </c>
      <c r="U3" s="157"/>
      <c r="V3" s="90"/>
      <c r="W3" s="90"/>
      <c r="X3" s="158">
        <f>VLOOKUP(B3,[4]考勤分析!$A:$I,4,FALSE)</f>
        <v>4.65052083333608</v>
      </c>
      <c r="Y3" s="90" t="b">
        <f>VLOOKUP(B3,[4]考勤分析!$A:$I,5,FALSE)</f>
        <v>1</v>
      </c>
      <c r="Z3" s="90">
        <f>VLOOKUP(B3,[4]考勤分析!$A:$I,6,FALSE)</f>
        <v>9</v>
      </c>
      <c r="AA3" s="90">
        <f>VLOOKUP(B3,[4]考勤分析!$A:$I,7,FALSE)</f>
        <v>2</v>
      </c>
      <c r="AB3" s="90">
        <f>VLOOKUP(B3,[4]考勤分析!$A:$I,8,FALSE)</f>
        <v>20</v>
      </c>
      <c r="AC3" s="90">
        <f>VLOOKUP(B3,[4]考勤分析!$A:$I,9,FALSE)</f>
        <v>41</v>
      </c>
      <c r="AD3" s="90">
        <v>0</v>
      </c>
      <c r="AE3" s="90">
        <v>1</v>
      </c>
      <c r="AF3" s="90">
        <v>0</v>
      </c>
      <c r="AG3" s="90">
        <v>1</v>
      </c>
      <c r="AH3" s="90">
        <v>0</v>
      </c>
      <c r="AI3" s="90">
        <v>0</v>
      </c>
      <c r="AJ3" s="90"/>
      <c r="AK3" s="90" t="str">
        <f>VLOOKUP(B3,[3]总表!$B:$W,22,FALSE)</f>
        <v>超负荷</v>
      </c>
      <c r="AL3" s="90">
        <v>3</v>
      </c>
      <c r="AM3" s="90">
        <v>3</v>
      </c>
      <c r="AN3" s="90">
        <v>2</v>
      </c>
      <c r="AO3" s="90">
        <v>2</v>
      </c>
      <c r="AP3" s="90">
        <f t="shared" ref="AP3:AP43" si="0">SUM(AL3:AO3)</f>
        <v>10</v>
      </c>
      <c r="AQ3" s="90" t="s">
        <v>65</v>
      </c>
      <c r="AR3" s="90" t="s">
        <v>66</v>
      </c>
      <c r="AS3" s="166"/>
      <c r="AT3" s="167">
        <f>COUNTA(I3,J3,K3,O3,P3,Q3,W3)</f>
        <v>4</v>
      </c>
    </row>
    <row r="4" s="138" customFormat="1" ht="36" spans="1:45">
      <c r="A4" s="91">
        <v>2</v>
      </c>
      <c r="B4" s="93" t="s">
        <v>67</v>
      </c>
      <c r="C4" s="90" t="s">
        <v>54</v>
      </c>
      <c r="D4" s="91" t="s">
        <v>55</v>
      </c>
      <c r="E4" s="92" t="s">
        <v>68</v>
      </c>
      <c r="F4" s="93">
        <v>14</v>
      </c>
      <c r="G4" s="94" t="s">
        <v>69</v>
      </c>
      <c r="H4" s="94" t="s">
        <v>58</v>
      </c>
      <c r="I4" s="111" t="s">
        <v>70</v>
      </c>
      <c r="J4" s="111" t="s">
        <v>60</v>
      </c>
      <c r="K4" s="111">
        <v>5</v>
      </c>
      <c r="L4" s="94">
        <v>0</v>
      </c>
      <c r="M4" s="94" t="s">
        <v>61</v>
      </c>
      <c r="N4" s="94" t="s">
        <v>71</v>
      </c>
      <c r="O4" s="90"/>
      <c r="P4" s="90"/>
      <c r="Q4" s="90"/>
      <c r="R4" s="90"/>
      <c r="S4" s="156">
        <f>VLOOKUP(B4,'[2]62人'!$B:$R,17,FALSE)</f>
        <v>2</v>
      </c>
      <c r="T4" s="37">
        <v>0</v>
      </c>
      <c r="U4" s="157"/>
      <c r="V4" s="90"/>
      <c r="W4" s="90">
        <v>1</v>
      </c>
      <c r="X4" s="158">
        <f>VLOOKUP(B4,[4]考勤分析!$A:$I,4,FALSE)</f>
        <v>3.04146650327055</v>
      </c>
      <c r="Y4" s="90" t="b">
        <f>VLOOKUP(B4,[4]考勤分析!$A:$I,5,FALSE)</f>
        <v>1</v>
      </c>
      <c r="Z4" s="90">
        <f>VLOOKUP(B4,[4]考勤分析!$A:$I,6,FALSE)</f>
        <v>16</v>
      </c>
      <c r="AA4" s="90">
        <f>VLOOKUP(B4,[4]考勤分析!$A:$I,7,FALSE)</f>
        <v>16</v>
      </c>
      <c r="AB4" s="90">
        <f>VLOOKUP(B4,[4]考勤分析!$A:$I,8,FALSE)</f>
        <v>24</v>
      </c>
      <c r="AC4" s="90">
        <f>VLOOKUP(B4,[4]考勤分析!$A:$I,9,FALSE)</f>
        <v>12</v>
      </c>
      <c r="AD4" s="90">
        <v>0</v>
      </c>
      <c r="AE4" s="90">
        <v>0</v>
      </c>
      <c r="AF4" s="90">
        <v>0</v>
      </c>
      <c r="AG4" s="90">
        <v>1</v>
      </c>
      <c r="AH4" s="90">
        <v>0</v>
      </c>
      <c r="AI4" s="90">
        <v>0</v>
      </c>
      <c r="AJ4" s="90"/>
      <c r="AK4" s="90" t="str">
        <f>VLOOKUP(B4,[3]总表!$B:$W,22,FALSE)</f>
        <v>适中</v>
      </c>
      <c r="AL4" s="90">
        <v>1</v>
      </c>
      <c r="AM4" s="90">
        <v>3</v>
      </c>
      <c r="AN4" s="90">
        <v>3</v>
      </c>
      <c r="AO4" s="90">
        <v>2</v>
      </c>
      <c r="AP4" s="90">
        <f t="shared" si="0"/>
        <v>9</v>
      </c>
      <c r="AQ4" s="90" t="s">
        <v>72</v>
      </c>
      <c r="AR4" s="90" t="s">
        <v>73</v>
      </c>
      <c r="AS4" s="166"/>
    </row>
    <row r="5" s="138" customFormat="1" ht="36" spans="1:45">
      <c r="A5" s="91">
        <v>3</v>
      </c>
      <c r="B5" s="93" t="s">
        <v>74</v>
      </c>
      <c r="C5" s="90" t="s">
        <v>54</v>
      </c>
      <c r="D5" s="91" t="s">
        <v>75</v>
      </c>
      <c r="E5" s="92" t="s">
        <v>56</v>
      </c>
      <c r="F5" s="93">
        <v>21</v>
      </c>
      <c r="G5" s="94" t="s">
        <v>57</v>
      </c>
      <c r="H5" s="94" t="s">
        <v>76</v>
      </c>
      <c r="I5" s="111" t="s">
        <v>59</v>
      </c>
      <c r="J5" s="111" t="s">
        <v>60</v>
      </c>
      <c r="K5" s="111">
        <v>1</v>
      </c>
      <c r="L5" s="94">
        <v>1</v>
      </c>
      <c r="M5" s="94" t="s">
        <v>61</v>
      </c>
      <c r="N5" s="94" t="s">
        <v>71</v>
      </c>
      <c r="O5" s="90"/>
      <c r="P5" s="90"/>
      <c r="Q5" s="90"/>
      <c r="R5" s="90" t="s">
        <v>77</v>
      </c>
      <c r="S5" s="156">
        <f>VLOOKUP(B5,'[2]62人'!$B:$R,17,FALSE)</f>
        <v>16</v>
      </c>
      <c r="T5" s="37">
        <v>0</v>
      </c>
      <c r="U5" s="157"/>
      <c r="V5" s="90"/>
      <c r="W5" s="90"/>
      <c r="X5" s="158">
        <f>VLOOKUP(B5,[4]考勤分析!$A:$I,4,FALSE)</f>
        <v>3.10661580596073</v>
      </c>
      <c r="Y5" s="90" t="b">
        <f>VLOOKUP(B5,[4]考勤分析!$A:$I,5,FALSE)</f>
        <v>1</v>
      </c>
      <c r="Z5" s="90">
        <f>VLOOKUP(B5,[4]考勤分析!$A:$I,6,FALSE)</f>
        <v>8</v>
      </c>
      <c r="AA5" s="90">
        <f>VLOOKUP(B5,[4]考勤分析!$A:$I,7,FALSE)</f>
        <v>19</v>
      </c>
      <c r="AB5" s="90">
        <f>VLOOKUP(B5,[4]考勤分析!$A:$I,8,FALSE)</f>
        <v>32</v>
      </c>
      <c r="AC5" s="90">
        <f>VLOOKUP(B5,[4]考勤分析!$A:$I,9,FALSE)</f>
        <v>12</v>
      </c>
      <c r="AD5" s="90">
        <v>0</v>
      </c>
      <c r="AE5" s="90">
        <v>5</v>
      </c>
      <c r="AF5" s="90">
        <v>1</v>
      </c>
      <c r="AG5" s="90">
        <v>1</v>
      </c>
      <c r="AH5" s="90">
        <v>24</v>
      </c>
      <c r="AI5" s="90">
        <v>13</v>
      </c>
      <c r="AJ5" s="90"/>
      <c r="AK5" s="90" t="str">
        <f>VLOOKUP(B5,[3]总表!$B:$W,22,FALSE)</f>
        <v>超负荷</v>
      </c>
      <c r="AL5" s="90">
        <v>1</v>
      </c>
      <c r="AM5" s="90">
        <v>2</v>
      </c>
      <c r="AN5" s="90">
        <v>1</v>
      </c>
      <c r="AO5" s="90">
        <v>2</v>
      </c>
      <c r="AP5" s="90">
        <f t="shared" si="0"/>
        <v>6</v>
      </c>
      <c r="AQ5" s="90" t="s">
        <v>78</v>
      </c>
      <c r="AR5" s="90" t="s">
        <v>79</v>
      </c>
      <c r="AS5" s="166"/>
    </row>
    <row r="6" s="138" customFormat="1" ht="36" spans="1:45">
      <c r="A6" s="91">
        <v>4</v>
      </c>
      <c r="B6" s="93" t="s">
        <v>80</v>
      </c>
      <c r="C6" s="90" t="s">
        <v>54</v>
      </c>
      <c r="D6" s="91" t="s">
        <v>75</v>
      </c>
      <c r="E6" s="92" t="s">
        <v>56</v>
      </c>
      <c r="F6" s="93">
        <v>19</v>
      </c>
      <c r="G6" s="94" t="s">
        <v>69</v>
      </c>
      <c r="H6" s="94" t="s">
        <v>81</v>
      </c>
      <c r="I6" s="111"/>
      <c r="J6" s="111"/>
      <c r="K6" s="111"/>
      <c r="L6" s="152">
        <v>1</v>
      </c>
      <c r="M6" s="94" t="s">
        <v>61</v>
      </c>
      <c r="N6" s="94" t="s">
        <v>71</v>
      </c>
      <c r="O6" s="90"/>
      <c r="P6" s="90"/>
      <c r="Q6" s="90"/>
      <c r="R6" s="90"/>
      <c r="S6" s="156">
        <f>VLOOKUP(B6,'[2]62人'!$B:$R,17,FALSE)</f>
        <v>15</v>
      </c>
      <c r="T6" s="37">
        <v>0</v>
      </c>
      <c r="U6" s="157"/>
      <c r="V6" s="90"/>
      <c r="W6" s="90"/>
      <c r="X6" s="158">
        <f>VLOOKUP(B6,[4]考勤分析!$A:$I,4,FALSE)</f>
        <v>2.12273745520337</v>
      </c>
      <c r="Y6" s="90" t="b">
        <f>VLOOKUP(B6,[4]考勤分析!$A:$I,5,FALSE)</f>
        <v>0</v>
      </c>
      <c r="Z6" s="90">
        <f>VLOOKUP(B6,[4]考勤分析!$A:$I,6,FALSE)</f>
        <v>5</v>
      </c>
      <c r="AA6" s="90">
        <f>VLOOKUP(B6,[4]考勤分析!$A:$I,7,FALSE)</f>
        <v>12</v>
      </c>
      <c r="AB6" s="90">
        <f>VLOOKUP(B6,[4]考勤分析!$A:$I,8,FALSE)</f>
        <v>45</v>
      </c>
      <c r="AC6" s="90">
        <f>VLOOKUP(B6,[4]考勤分析!$A:$I,9,FALSE)</f>
        <v>0</v>
      </c>
      <c r="AD6" s="90">
        <v>0</v>
      </c>
      <c r="AE6" s="90">
        <v>0</v>
      </c>
      <c r="AF6" s="90">
        <v>0</v>
      </c>
      <c r="AG6" s="90">
        <v>1</v>
      </c>
      <c r="AH6" s="90">
        <v>0</v>
      </c>
      <c r="AI6" s="90">
        <v>1</v>
      </c>
      <c r="AJ6" s="90"/>
      <c r="AK6" s="90" t="str">
        <f>VLOOKUP(B6,[3]总表!$B:$W,22,FALSE)</f>
        <v>不饱和</v>
      </c>
      <c r="AL6" s="90">
        <v>1</v>
      </c>
      <c r="AM6" s="90">
        <v>2</v>
      </c>
      <c r="AN6" s="90">
        <v>1</v>
      </c>
      <c r="AO6" s="90">
        <v>1</v>
      </c>
      <c r="AP6" s="90">
        <f t="shared" si="0"/>
        <v>5</v>
      </c>
      <c r="AQ6" s="90" t="s">
        <v>78</v>
      </c>
      <c r="AR6" s="90" t="s">
        <v>82</v>
      </c>
      <c r="AS6" s="166"/>
    </row>
    <row r="7" s="138" customFormat="1" ht="36" spans="1:45">
      <c r="A7" s="91">
        <v>5</v>
      </c>
      <c r="B7" s="93" t="s">
        <v>83</v>
      </c>
      <c r="C7" s="90" t="s">
        <v>54</v>
      </c>
      <c r="D7" s="91" t="s">
        <v>84</v>
      </c>
      <c r="E7" s="92" t="s">
        <v>68</v>
      </c>
      <c r="F7" s="93">
        <v>5</v>
      </c>
      <c r="G7" s="94" t="s">
        <v>69</v>
      </c>
      <c r="H7" s="94" t="s">
        <v>81</v>
      </c>
      <c r="I7" s="111" t="s">
        <v>59</v>
      </c>
      <c r="J7" s="111"/>
      <c r="K7" s="111"/>
      <c r="L7" s="94">
        <v>0</v>
      </c>
      <c r="M7" s="94" t="s">
        <v>61</v>
      </c>
      <c r="N7" s="94" t="s">
        <v>62</v>
      </c>
      <c r="O7" s="90"/>
      <c r="P7" s="90"/>
      <c r="Q7" s="90"/>
      <c r="R7" s="90"/>
      <c r="S7" s="156">
        <f>VLOOKUP(B7,'[2]62人'!$B:$R,17,FALSE)</f>
        <v>14</v>
      </c>
      <c r="T7" s="37">
        <v>2</v>
      </c>
      <c r="U7" s="157">
        <v>3</v>
      </c>
      <c r="V7" s="90"/>
      <c r="W7" s="90">
        <v>1</v>
      </c>
      <c r="X7" s="158">
        <f>VLOOKUP(B7,[4]考勤分析!$A:$I,4,FALSE)</f>
        <v>3.99402173914427</v>
      </c>
      <c r="Y7" s="90" t="b">
        <f>VLOOKUP(B7,[4]考勤分析!$A:$I,5,FALSE)</f>
        <v>1</v>
      </c>
      <c r="Z7" s="90">
        <f>VLOOKUP(B7,[4]考勤分析!$A:$I,6,FALSE)</f>
        <v>7</v>
      </c>
      <c r="AA7" s="90">
        <f>VLOOKUP(B7,[4]考勤分析!$A:$I,7,FALSE)</f>
        <v>4</v>
      </c>
      <c r="AB7" s="90">
        <f>VLOOKUP(B7,[4]考勤分析!$A:$I,8,FALSE)</f>
        <v>33</v>
      </c>
      <c r="AC7" s="90">
        <f>VLOOKUP(B7,[4]考勤分析!$A:$I,9,FALSE)</f>
        <v>25</v>
      </c>
      <c r="AD7" s="90">
        <v>0</v>
      </c>
      <c r="AE7" s="90">
        <v>2</v>
      </c>
      <c r="AF7" s="90">
        <v>0</v>
      </c>
      <c r="AG7" s="90">
        <v>1</v>
      </c>
      <c r="AH7" s="90">
        <v>8</v>
      </c>
      <c r="AI7" s="90">
        <v>7</v>
      </c>
      <c r="AJ7" s="90"/>
      <c r="AK7" s="90" t="str">
        <f>VLOOKUP(B7,[3]总表!$B:$W,22,FALSE)</f>
        <v>超负荷</v>
      </c>
      <c r="AL7" s="90">
        <v>2</v>
      </c>
      <c r="AM7" s="90">
        <v>3</v>
      </c>
      <c r="AN7" s="90">
        <v>3</v>
      </c>
      <c r="AO7" s="90">
        <v>3</v>
      </c>
      <c r="AP7" s="90">
        <f t="shared" si="0"/>
        <v>11</v>
      </c>
      <c r="AQ7" s="90" t="s">
        <v>72</v>
      </c>
      <c r="AR7" s="90" t="s">
        <v>85</v>
      </c>
      <c r="AS7" s="166"/>
    </row>
    <row r="8" s="138" customFormat="1" ht="24" spans="1:45">
      <c r="A8" s="91">
        <v>6</v>
      </c>
      <c r="B8" s="93" t="s">
        <v>86</v>
      </c>
      <c r="C8" s="90" t="s">
        <v>54</v>
      </c>
      <c r="D8" s="91" t="s">
        <v>84</v>
      </c>
      <c r="E8" s="92" t="s">
        <v>68</v>
      </c>
      <c r="F8" s="93">
        <v>12</v>
      </c>
      <c r="G8" s="94" t="s">
        <v>57</v>
      </c>
      <c r="H8" s="94" t="s">
        <v>87</v>
      </c>
      <c r="I8" s="111" t="s">
        <v>59</v>
      </c>
      <c r="J8" s="111"/>
      <c r="K8" s="111"/>
      <c r="L8" s="94">
        <v>0</v>
      </c>
      <c r="M8" s="94" t="s">
        <v>61</v>
      </c>
      <c r="N8" s="94" t="s">
        <v>71</v>
      </c>
      <c r="O8" s="90"/>
      <c r="P8" s="90"/>
      <c r="Q8" s="90"/>
      <c r="R8" s="90"/>
      <c r="S8" s="156">
        <f>VLOOKUP(B8,'[2]62人'!$B:$R,17,FALSE)</f>
        <v>6</v>
      </c>
      <c r="T8" s="37">
        <v>0</v>
      </c>
      <c r="U8" s="157"/>
      <c r="V8" s="90"/>
      <c r="W8" s="90">
        <v>1</v>
      </c>
      <c r="X8" s="158">
        <f>VLOOKUP(B8,[4]考勤分析!$A:$I,4,FALSE)</f>
        <v>3.2647606837599</v>
      </c>
      <c r="Y8" s="90" t="b">
        <f>VLOOKUP(B8,[4]考勤分析!$A:$I,5,FALSE)</f>
        <v>1</v>
      </c>
      <c r="Z8" s="90">
        <f>VLOOKUP(B8,[4]考勤分析!$A:$I,6,FALSE)</f>
        <v>13</v>
      </c>
      <c r="AA8" s="90">
        <f>VLOOKUP(B8,[4]考勤分析!$A:$I,7,FALSE)</f>
        <v>14</v>
      </c>
      <c r="AB8" s="90">
        <f>VLOOKUP(B8,[4]考勤分析!$A:$I,8,FALSE)</f>
        <v>25</v>
      </c>
      <c r="AC8" s="90">
        <f>VLOOKUP(B8,[4]考勤分析!$A:$I,9,FALSE)</f>
        <v>13</v>
      </c>
      <c r="AD8" s="90">
        <v>0</v>
      </c>
      <c r="AE8" s="90">
        <v>2</v>
      </c>
      <c r="AF8" s="90">
        <v>0</v>
      </c>
      <c r="AG8" s="90">
        <v>2</v>
      </c>
      <c r="AH8" s="90">
        <v>0</v>
      </c>
      <c r="AI8" s="90">
        <v>0</v>
      </c>
      <c r="AJ8" s="90"/>
      <c r="AK8" s="90" t="str">
        <f>VLOOKUP(B8,[3]总表!$B:$W,22,FALSE)</f>
        <v>超负荷</v>
      </c>
      <c r="AL8" s="90">
        <v>1</v>
      </c>
      <c r="AM8" s="90">
        <v>2</v>
      </c>
      <c r="AN8" s="90">
        <v>2</v>
      </c>
      <c r="AO8" s="90">
        <v>2</v>
      </c>
      <c r="AP8" s="90">
        <f t="shared" si="0"/>
        <v>7</v>
      </c>
      <c r="AQ8" s="90" t="s">
        <v>78</v>
      </c>
      <c r="AR8" s="90" t="s">
        <v>88</v>
      </c>
      <c r="AS8" s="166"/>
    </row>
    <row r="9" s="138" customFormat="1" ht="36" spans="1:45">
      <c r="A9" s="91">
        <v>7</v>
      </c>
      <c r="B9" s="93" t="s">
        <v>89</v>
      </c>
      <c r="C9" s="90" t="s">
        <v>54</v>
      </c>
      <c r="D9" s="91" t="s">
        <v>84</v>
      </c>
      <c r="E9" s="92" t="s">
        <v>56</v>
      </c>
      <c r="F9" s="93">
        <v>4</v>
      </c>
      <c r="G9" s="94" t="s">
        <v>69</v>
      </c>
      <c r="H9" s="95" t="s">
        <v>90</v>
      </c>
      <c r="I9" s="111" t="s">
        <v>59</v>
      </c>
      <c r="J9" s="111"/>
      <c r="K9" s="111"/>
      <c r="L9" s="94">
        <v>0</v>
      </c>
      <c r="M9" s="94" t="s">
        <v>61</v>
      </c>
      <c r="N9" s="94" t="s">
        <v>62</v>
      </c>
      <c r="O9" s="90"/>
      <c r="P9" s="90"/>
      <c r="Q9" s="90"/>
      <c r="R9" s="90" t="s">
        <v>91</v>
      </c>
      <c r="S9" s="156">
        <f>VLOOKUP(B9,'[2]62人'!$B:$R,17,FALSE)</f>
        <v>9</v>
      </c>
      <c r="T9" s="37">
        <v>1</v>
      </c>
      <c r="U9" s="157"/>
      <c r="V9" s="90">
        <v>1</v>
      </c>
      <c r="W9" s="90"/>
      <c r="X9" s="158">
        <f>VLOOKUP(B9,[4]考勤分析!$A:$I,4,FALSE)</f>
        <v>3.84086377474269</v>
      </c>
      <c r="Y9" s="90" t="b">
        <f>VLOOKUP(B9,[4]考勤分析!$A:$I,5,FALSE)</f>
        <v>1</v>
      </c>
      <c r="Z9" s="90">
        <f>VLOOKUP(B9,[4]考勤分析!$A:$I,6,FALSE)</f>
        <v>8</v>
      </c>
      <c r="AA9" s="90">
        <f>VLOOKUP(B9,[4]考勤分析!$A:$I,7,FALSE)</f>
        <v>4</v>
      </c>
      <c r="AB9" s="90">
        <f>VLOOKUP(B9,[4]考勤分析!$A:$I,8,FALSE)</f>
        <v>34</v>
      </c>
      <c r="AC9" s="90">
        <f>VLOOKUP(B9,[4]考勤分析!$A:$I,9,FALSE)</f>
        <v>27</v>
      </c>
      <c r="AD9" s="90">
        <v>0</v>
      </c>
      <c r="AE9" s="90">
        <v>2</v>
      </c>
      <c r="AF9" s="90">
        <v>1</v>
      </c>
      <c r="AG9" s="90">
        <v>3</v>
      </c>
      <c r="AH9" s="90">
        <v>10</v>
      </c>
      <c r="AI9" s="90">
        <v>6</v>
      </c>
      <c r="AJ9" s="90"/>
      <c r="AK9" s="90" t="str">
        <f>VLOOKUP(B9,[3]总表!$B:$W,22,FALSE)</f>
        <v>超负荷</v>
      </c>
      <c r="AL9" s="90">
        <v>2</v>
      </c>
      <c r="AM9" s="90">
        <v>3</v>
      </c>
      <c r="AN9" s="90">
        <v>3</v>
      </c>
      <c r="AO9" s="90">
        <v>2</v>
      </c>
      <c r="AP9" s="90">
        <f t="shared" si="0"/>
        <v>10</v>
      </c>
      <c r="AQ9" s="90" t="s">
        <v>72</v>
      </c>
      <c r="AR9" s="90" t="s">
        <v>85</v>
      </c>
      <c r="AS9" s="166"/>
    </row>
    <row r="10" s="138" customFormat="1" ht="36" spans="1:45">
      <c r="A10" s="91">
        <v>8</v>
      </c>
      <c r="B10" s="93" t="s">
        <v>92</v>
      </c>
      <c r="C10" s="90" t="s">
        <v>54</v>
      </c>
      <c r="D10" s="91" t="s">
        <v>93</v>
      </c>
      <c r="E10" s="92" t="s">
        <v>56</v>
      </c>
      <c r="F10" s="93">
        <v>10</v>
      </c>
      <c r="G10" s="94" t="s">
        <v>57</v>
      </c>
      <c r="H10" s="94" t="s">
        <v>94</v>
      </c>
      <c r="I10" s="111" t="s">
        <v>70</v>
      </c>
      <c r="J10" s="111" t="s">
        <v>95</v>
      </c>
      <c r="K10" s="111">
        <v>2</v>
      </c>
      <c r="L10" s="94">
        <v>1</v>
      </c>
      <c r="M10" s="94" t="s">
        <v>61</v>
      </c>
      <c r="N10" s="94" t="s">
        <v>71</v>
      </c>
      <c r="O10" s="90"/>
      <c r="P10" s="90"/>
      <c r="Q10" s="90"/>
      <c r="R10" s="90"/>
      <c r="S10" s="156">
        <f>VLOOKUP(B10,'[2]62人'!$B:$R,17,FALSE)</f>
        <v>7</v>
      </c>
      <c r="T10" s="37">
        <v>0</v>
      </c>
      <c r="U10" s="157"/>
      <c r="V10" s="90"/>
      <c r="W10" s="90">
        <v>1</v>
      </c>
      <c r="X10" s="158">
        <f>VLOOKUP(B10,[4]考勤分析!$A:$I,4,FALSE)</f>
        <v>2.89792100694376</v>
      </c>
      <c r="Y10" s="90" t="b">
        <f>VLOOKUP(B10,[4]考勤分析!$A:$I,5,FALSE)</f>
        <v>1</v>
      </c>
      <c r="Z10" s="90">
        <f>VLOOKUP(B10,[4]考勤分析!$A:$I,6,FALSE)</f>
        <v>12</v>
      </c>
      <c r="AA10" s="90">
        <f>VLOOKUP(B10,[4]考勤分析!$A:$I,7,FALSE)</f>
        <v>12</v>
      </c>
      <c r="AB10" s="90">
        <f>VLOOKUP(B10,[4]考勤分析!$A:$I,8,FALSE)</f>
        <v>32</v>
      </c>
      <c r="AC10" s="90">
        <f>VLOOKUP(B10,[4]考勤分析!$A:$I,9,FALSE)</f>
        <v>8</v>
      </c>
      <c r="AD10" s="90">
        <v>0</v>
      </c>
      <c r="AE10" s="90">
        <v>3</v>
      </c>
      <c r="AF10" s="90">
        <v>1</v>
      </c>
      <c r="AG10" s="90">
        <v>0</v>
      </c>
      <c r="AH10" s="90">
        <v>0</v>
      </c>
      <c r="AI10" s="90">
        <v>0</v>
      </c>
      <c r="AJ10" s="90"/>
      <c r="AK10" s="90" t="str">
        <f>VLOOKUP(B10,[3]总表!$B:$W,22,FALSE)</f>
        <v>超负荷</v>
      </c>
      <c r="AL10" s="90">
        <v>2</v>
      </c>
      <c r="AM10" s="90">
        <v>3</v>
      </c>
      <c r="AN10" s="90">
        <v>2</v>
      </c>
      <c r="AO10" s="90">
        <v>2</v>
      </c>
      <c r="AP10" s="90">
        <f t="shared" si="0"/>
        <v>9</v>
      </c>
      <c r="AQ10" s="90" t="s">
        <v>72</v>
      </c>
      <c r="AR10" s="90" t="s">
        <v>96</v>
      </c>
      <c r="AS10" s="166"/>
    </row>
    <row r="11" s="138" customFormat="1" ht="36" spans="1:45">
      <c r="A11" s="91">
        <v>9</v>
      </c>
      <c r="B11" s="93" t="s">
        <v>97</v>
      </c>
      <c r="C11" s="90" t="s">
        <v>98</v>
      </c>
      <c r="D11" s="91" t="s">
        <v>99</v>
      </c>
      <c r="E11" s="92" t="s">
        <v>56</v>
      </c>
      <c r="F11" s="93">
        <v>13</v>
      </c>
      <c r="G11" s="94" t="s">
        <v>57</v>
      </c>
      <c r="H11" s="94" t="s">
        <v>100</v>
      </c>
      <c r="I11" s="111" t="s">
        <v>59</v>
      </c>
      <c r="J11" s="111" t="s">
        <v>60</v>
      </c>
      <c r="K11" s="111">
        <v>3</v>
      </c>
      <c r="L11" s="94">
        <v>0</v>
      </c>
      <c r="M11" s="94" t="s">
        <v>61</v>
      </c>
      <c r="N11" s="94" t="s">
        <v>71</v>
      </c>
      <c r="O11" s="90"/>
      <c r="P11" s="90"/>
      <c r="Q11" s="90"/>
      <c r="R11" s="90"/>
      <c r="S11" s="156">
        <f>VLOOKUP(B11,'[2]62人'!$B:$R,17,FALSE)</f>
        <v>2</v>
      </c>
      <c r="T11" s="37">
        <v>0</v>
      </c>
      <c r="U11" s="157"/>
      <c r="V11" s="90"/>
      <c r="W11" s="90"/>
      <c r="X11" s="158">
        <f>VLOOKUP(B11,[4]考勤分析!$A:$I,4,FALSE)</f>
        <v>2.63784288195438</v>
      </c>
      <c r="Y11" s="90" t="b">
        <f>VLOOKUP(B11,[4]考勤分析!$A:$I,5,FALSE)</f>
        <v>1</v>
      </c>
      <c r="Z11" s="90">
        <f>VLOOKUP(B11,[4]考勤分析!$A:$I,6,FALSE)</f>
        <v>11</v>
      </c>
      <c r="AA11" s="90">
        <f>VLOOKUP(B11,[4]考勤分析!$A:$I,7,FALSE)</f>
        <v>4</v>
      </c>
      <c r="AB11" s="90">
        <f>VLOOKUP(B11,[4]考勤分析!$A:$I,8,FALSE)</f>
        <v>45</v>
      </c>
      <c r="AC11" s="90">
        <f>VLOOKUP(B11,[4]考勤分析!$A:$I,9,FALSE)</f>
        <v>4</v>
      </c>
      <c r="AD11" s="90">
        <v>0</v>
      </c>
      <c r="AE11" s="90">
        <v>0</v>
      </c>
      <c r="AF11" s="90">
        <v>1</v>
      </c>
      <c r="AG11" s="90">
        <v>5</v>
      </c>
      <c r="AH11" s="90">
        <v>2</v>
      </c>
      <c r="AI11" s="90">
        <v>2</v>
      </c>
      <c r="AJ11" s="90"/>
      <c r="AK11" s="90" t="str">
        <f>VLOOKUP(B11,[3]总表!$B:$W,22,FALSE)</f>
        <v>超负荷</v>
      </c>
      <c r="AL11" s="90">
        <v>2</v>
      </c>
      <c r="AM11" s="90">
        <v>3</v>
      </c>
      <c r="AN11" s="90">
        <v>3</v>
      </c>
      <c r="AO11" s="90">
        <v>2</v>
      </c>
      <c r="AP11" s="90">
        <f t="shared" si="0"/>
        <v>10</v>
      </c>
      <c r="AQ11" s="90" t="s">
        <v>72</v>
      </c>
      <c r="AR11" s="90" t="s">
        <v>101</v>
      </c>
      <c r="AS11" s="166"/>
    </row>
    <row r="12" s="138" customFormat="1" ht="48" spans="1:45">
      <c r="A12" s="91">
        <v>10</v>
      </c>
      <c r="B12" s="93" t="s">
        <v>102</v>
      </c>
      <c r="C12" s="90" t="s">
        <v>98</v>
      </c>
      <c r="D12" s="91" t="s">
        <v>99</v>
      </c>
      <c r="E12" s="92" t="s">
        <v>56</v>
      </c>
      <c r="F12" s="93">
        <v>6</v>
      </c>
      <c r="G12" s="94" t="s">
        <v>69</v>
      </c>
      <c r="H12" s="94" t="s">
        <v>103</v>
      </c>
      <c r="I12" s="111" t="s">
        <v>70</v>
      </c>
      <c r="J12" s="111" t="s">
        <v>60</v>
      </c>
      <c r="K12" s="111">
        <v>2</v>
      </c>
      <c r="L12" s="94">
        <v>0</v>
      </c>
      <c r="M12" s="94" t="s">
        <v>61</v>
      </c>
      <c r="N12" s="94" t="s">
        <v>62</v>
      </c>
      <c r="O12" s="90"/>
      <c r="P12" s="90"/>
      <c r="Q12" s="90"/>
      <c r="R12" s="90" t="s">
        <v>104</v>
      </c>
      <c r="S12" s="156">
        <f>VLOOKUP(B12,'[2]62人'!$B:$R,17,FALSE)</f>
        <v>12</v>
      </c>
      <c r="T12" s="37">
        <v>0</v>
      </c>
      <c r="U12" s="157"/>
      <c r="V12" s="90"/>
      <c r="W12" s="90"/>
      <c r="X12" s="158">
        <f>VLOOKUP(B12,[4]考勤分析!$A:$I,4,FALSE)</f>
        <v>2.30130070547429</v>
      </c>
      <c r="Y12" s="90" t="b">
        <f>VLOOKUP(B12,[4]考勤分析!$A:$I,5,FALSE)</f>
        <v>1</v>
      </c>
      <c r="Z12" s="90">
        <f>VLOOKUP(B12,[4]考勤分析!$A:$I,6,FALSE)</f>
        <v>9</v>
      </c>
      <c r="AA12" s="90">
        <f>VLOOKUP(B12,[4]考勤分析!$A:$I,7,FALSE)</f>
        <v>30</v>
      </c>
      <c r="AB12" s="90">
        <f>VLOOKUP(B12,[4]考勤分析!$A:$I,8,FALSE)</f>
        <v>17</v>
      </c>
      <c r="AC12" s="90">
        <f>VLOOKUP(B12,[4]考勤分析!$A:$I,9,FALSE)</f>
        <v>7</v>
      </c>
      <c r="AD12" s="90">
        <v>0</v>
      </c>
      <c r="AE12" s="90">
        <v>0</v>
      </c>
      <c r="AF12" s="90">
        <v>2</v>
      </c>
      <c r="AG12" s="90">
        <v>1</v>
      </c>
      <c r="AH12" s="90">
        <v>0</v>
      </c>
      <c r="AI12" s="90">
        <v>1</v>
      </c>
      <c r="AJ12" s="90"/>
      <c r="AK12" s="90" t="str">
        <f>VLOOKUP(B12,[3]总表!$B:$W,22,FALSE)</f>
        <v>超负荷</v>
      </c>
      <c r="AL12" s="90">
        <v>1</v>
      </c>
      <c r="AM12" s="90">
        <v>2</v>
      </c>
      <c r="AN12" s="90">
        <v>2</v>
      </c>
      <c r="AO12" s="90">
        <v>2</v>
      </c>
      <c r="AP12" s="90">
        <f t="shared" si="0"/>
        <v>7</v>
      </c>
      <c r="AQ12" s="90" t="s">
        <v>78</v>
      </c>
      <c r="AR12" s="90" t="s">
        <v>105</v>
      </c>
      <c r="AS12" s="166"/>
    </row>
    <row r="13" s="138" customFormat="1" ht="48" spans="1:45">
      <c r="A13" s="91">
        <v>11</v>
      </c>
      <c r="B13" s="93" t="s">
        <v>106</v>
      </c>
      <c r="C13" s="90" t="s">
        <v>98</v>
      </c>
      <c r="D13" s="91" t="s">
        <v>107</v>
      </c>
      <c r="E13" s="92" t="s">
        <v>56</v>
      </c>
      <c r="F13" s="93">
        <v>6</v>
      </c>
      <c r="G13" s="94" t="s">
        <v>69</v>
      </c>
      <c r="H13" s="94" t="s">
        <v>108</v>
      </c>
      <c r="I13" s="111" t="s">
        <v>59</v>
      </c>
      <c r="J13" s="111" t="s">
        <v>60</v>
      </c>
      <c r="K13" s="111">
        <v>6</v>
      </c>
      <c r="L13" s="94">
        <v>0</v>
      </c>
      <c r="M13" s="94" t="s">
        <v>61</v>
      </c>
      <c r="N13" s="94" t="s">
        <v>62</v>
      </c>
      <c r="O13" s="90"/>
      <c r="P13" s="90"/>
      <c r="Q13" s="90"/>
      <c r="R13" s="90"/>
      <c r="S13" s="156">
        <f>VLOOKUP(B13,'[2]62人'!$B:$R,17,FALSE)</f>
        <v>8</v>
      </c>
      <c r="T13" s="37">
        <v>0</v>
      </c>
      <c r="U13" s="157">
        <v>1</v>
      </c>
      <c r="V13" s="90">
        <v>1</v>
      </c>
      <c r="W13" s="90">
        <v>1</v>
      </c>
      <c r="X13" s="158">
        <f>VLOOKUP(B13,[4]考勤分析!$A:$I,4,FALSE)</f>
        <v>1.41623655913563</v>
      </c>
      <c r="Y13" s="90" t="b">
        <f>VLOOKUP(B13,[4]考勤分析!$A:$I,5,FALSE)</f>
        <v>0</v>
      </c>
      <c r="Z13" s="90">
        <f>VLOOKUP(B13,[4]考勤分析!$A:$I,6,FALSE)</f>
        <v>21</v>
      </c>
      <c r="AA13" s="90">
        <f>VLOOKUP(B13,[4]考勤分析!$A:$I,7,FALSE)</f>
        <v>24</v>
      </c>
      <c r="AB13" s="90">
        <f>VLOOKUP(B13,[4]考勤分析!$A:$I,8,FALSE)</f>
        <v>15</v>
      </c>
      <c r="AC13" s="90">
        <f>VLOOKUP(B13,[4]考勤分析!$A:$I,9,FALSE)</f>
        <v>2</v>
      </c>
      <c r="AD13" s="90">
        <v>1</v>
      </c>
      <c r="AE13" s="90">
        <v>0</v>
      </c>
      <c r="AF13" s="90">
        <v>1</v>
      </c>
      <c r="AG13" s="90">
        <v>5</v>
      </c>
      <c r="AH13" s="90">
        <v>0</v>
      </c>
      <c r="AI13" s="90">
        <v>0</v>
      </c>
      <c r="AJ13" s="90"/>
      <c r="AK13" s="90" t="str">
        <f>VLOOKUP(B13,[3]总表!$B:$W,22,FALSE)</f>
        <v>适中</v>
      </c>
      <c r="AL13" s="90">
        <v>1</v>
      </c>
      <c r="AM13" s="90">
        <v>3</v>
      </c>
      <c r="AN13" s="90">
        <v>2</v>
      </c>
      <c r="AO13" s="90">
        <v>2</v>
      </c>
      <c r="AP13" s="90">
        <f t="shared" si="0"/>
        <v>8</v>
      </c>
      <c r="AQ13" s="90" t="s">
        <v>109</v>
      </c>
      <c r="AR13" s="90" t="s">
        <v>110</v>
      </c>
      <c r="AS13" s="166"/>
    </row>
    <row r="14" s="138" customFormat="1" ht="48" spans="1:45">
      <c r="A14" s="91">
        <v>12</v>
      </c>
      <c r="B14" s="93" t="s">
        <v>111</v>
      </c>
      <c r="C14" s="90" t="s">
        <v>98</v>
      </c>
      <c r="D14" s="91" t="s">
        <v>107</v>
      </c>
      <c r="E14" s="92" t="s">
        <v>56</v>
      </c>
      <c r="F14" s="93">
        <v>8</v>
      </c>
      <c r="G14" s="94" t="s">
        <v>69</v>
      </c>
      <c r="H14" s="94" t="s">
        <v>112</v>
      </c>
      <c r="I14" s="111" t="s">
        <v>70</v>
      </c>
      <c r="J14" s="111"/>
      <c r="K14" s="111"/>
      <c r="L14" s="94">
        <v>0</v>
      </c>
      <c r="M14" s="94" t="s">
        <v>61</v>
      </c>
      <c r="N14" s="94" t="s">
        <v>62</v>
      </c>
      <c r="O14" s="90"/>
      <c r="P14" s="90"/>
      <c r="Q14" s="90"/>
      <c r="R14" s="90" t="s">
        <v>113</v>
      </c>
      <c r="S14" s="156">
        <f>VLOOKUP(B14,'[2]62人'!$B:$R,17,FALSE)</f>
        <v>6</v>
      </c>
      <c r="T14" s="37">
        <v>0</v>
      </c>
      <c r="U14" s="157"/>
      <c r="V14" s="90"/>
      <c r="W14" s="90"/>
      <c r="X14" s="158">
        <f>VLOOKUP(B14,[4]考勤分析!$A:$I,4,FALSE)</f>
        <v>2.38396892655578</v>
      </c>
      <c r="Y14" s="90" t="b">
        <f>VLOOKUP(B14,[4]考勤分析!$A:$I,5,FALSE)</f>
        <v>1</v>
      </c>
      <c r="Z14" s="90">
        <f>VLOOKUP(B14,[4]考勤分析!$A:$I,6,FALSE)</f>
        <v>12</v>
      </c>
      <c r="AA14" s="90">
        <f>VLOOKUP(B14,[4]考勤分析!$A:$I,7,FALSE)</f>
        <v>32</v>
      </c>
      <c r="AB14" s="90">
        <f>VLOOKUP(B14,[4]考勤分析!$A:$I,8,FALSE)</f>
        <v>5</v>
      </c>
      <c r="AC14" s="90">
        <f>VLOOKUP(B14,[4]考勤分析!$A:$I,9,FALSE)</f>
        <v>10</v>
      </c>
      <c r="AD14" s="90">
        <v>1</v>
      </c>
      <c r="AE14" s="90">
        <v>1</v>
      </c>
      <c r="AF14" s="90">
        <v>2</v>
      </c>
      <c r="AG14" s="90">
        <v>2</v>
      </c>
      <c r="AH14" s="90">
        <v>11</v>
      </c>
      <c r="AI14" s="90">
        <v>38</v>
      </c>
      <c r="AJ14" s="90"/>
      <c r="AK14" s="90" t="str">
        <f>VLOOKUP(B14,[3]总表!$B:$W,22,FALSE)</f>
        <v>超负荷</v>
      </c>
      <c r="AL14" s="90">
        <v>1</v>
      </c>
      <c r="AM14" s="90">
        <v>3</v>
      </c>
      <c r="AN14" s="90">
        <v>2</v>
      </c>
      <c r="AO14" s="90">
        <v>2</v>
      </c>
      <c r="AP14" s="90">
        <f t="shared" si="0"/>
        <v>8</v>
      </c>
      <c r="AQ14" s="90" t="s">
        <v>109</v>
      </c>
      <c r="AR14" s="90" t="s">
        <v>110</v>
      </c>
      <c r="AS14" s="166"/>
    </row>
    <row r="15" s="138" customFormat="1" ht="20" customHeight="1" spans="1:45">
      <c r="A15" s="91">
        <v>13</v>
      </c>
      <c r="B15" s="93" t="s">
        <v>114</v>
      </c>
      <c r="C15" s="90" t="s">
        <v>98</v>
      </c>
      <c r="D15" s="91" t="s">
        <v>93</v>
      </c>
      <c r="E15" s="92" t="s">
        <v>56</v>
      </c>
      <c r="F15" s="93">
        <v>6</v>
      </c>
      <c r="G15" s="94" t="s">
        <v>69</v>
      </c>
      <c r="H15" s="94" t="s">
        <v>115</v>
      </c>
      <c r="I15" s="111" t="s">
        <v>70</v>
      </c>
      <c r="J15" s="111"/>
      <c r="K15" s="111"/>
      <c r="L15" s="94">
        <v>1</v>
      </c>
      <c r="M15" s="94" t="s">
        <v>61</v>
      </c>
      <c r="N15" s="94" t="s">
        <v>62</v>
      </c>
      <c r="O15" s="90"/>
      <c r="P15" s="90"/>
      <c r="Q15" s="90"/>
      <c r="R15" s="90"/>
      <c r="S15" s="156">
        <f>VLOOKUP(B15,'[2]62人'!$B:$R,17,FALSE)</f>
        <v>9</v>
      </c>
      <c r="T15" s="37">
        <v>18</v>
      </c>
      <c r="U15" s="157">
        <v>2</v>
      </c>
      <c r="V15" s="90"/>
      <c r="W15" s="90">
        <v>1</v>
      </c>
      <c r="X15" s="158">
        <f>VLOOKUP(B15,[4]考勤分析!$A:$I,4,FALSE)</f>
        <v>3.19607692307148</v>
      </c>
      <c r="Y15" s="90" t="b">
        <f>VLOOKUP(B15,[4]考勤分析!$A:$I,5,FALSE)</f>
        <v>1</v>
      </c>
      <c r="Z15" s="90">
        <f>VLOOKUP(B15,[4]考勤分析!$A:$I,6,FALSE)</f>
        <v>7</v>
      </c>
      <c r="AA15" s="90">
        <f>VLOOKUP(B15,[4]考勤分析!$A:$I,7,FALSE)</f>
        <v>13</v>
      </c>
      <c r="AB15" s="90">
        <f>VLOOKUP(B15,[4]考勤分析!$A:$I,8,FALSE)</f>
        <v>30</v>
      </c>
      <c r="AC15" s="90">
        <f>VLOOKUP(B15,[4]考勤分析!$A:$I,9,FALSE)</f>
        <v>15</v>
      </c>
      <c r="AD15" s="90">
        <v>1</v>
      </c>
      <c r="AE15" s="90">
        <v>14</v>
      </c>
      <c r="AF15" s="90">
        <v>1</v>
      </c>
      <c r="AG15" s="90">
        <v>3</v>
      </c>
      <c r="AH15" s="90">
        <v>14</v>
      </c>
      <c r="AI15" s="90">
        <v>16</v>
      </c>
      <c r="AJ15" s="90"/>
      <c r="AK15" s="90" t="str">
        <f>VLOOKUP(B15,[3]总表!$B:$W,22,FALSE)</f>
        <v>超负荷</v>
      </c>
      <c r="AL15" s="90">
        <v>2</v>
      </c>
      <c r="AM15" s="90">
        <v>3</v>
      </c>
      <c r="AN15" s="90">
        <v>3</v>
      </c>
      <c r="AO15" s="90">
        <v>2</v>
      </c>
      <c r="AP15" s="90">
        <f t="shared" si="0"/>
        <v>10</v>
      </c>
      <c r="AQ15" s="90" t="s">
        <v>72</v>
      </c>
      <c r="AR15" s="90" t="s">
        <v>116</v>
      </c>
      <c r="AS15" s="166"/>
    </row>
    <row r="16" s="138" customFormat="1" ht="24" spans="1:45">
      <c r="A16" s="91">
        <v>14</v>
      </c>
      <c r="B16" s="93" t="s">
        <v>117</v>
      </c>
      <c r="C16" s="90" t="s">
        <v>98</v>
      </c>
      <c r="D16" s="91" t="s">
        <v>93</v>
      </c>
      <c r="E16" s="92" t="s">
        <v>68</v>
      </c>
      <c r="F16" s="93">
        <v>11</v>
      </c>
      <c r="G16" s="94" t="s">
        <v>57</v>
      </c>
      <c r="H16" s="94" t="s">
        <v>118</v>
      </c>
      <c r="I16" s="111" t="s">
        <v>70</v>
      </c>
      <c r="J16" s="111"/>
      <c r="K16" s="111"/>
      <c r="L16" s="94">
        <v>1</v>
      </c>
      <c r="M16" s="94" t="s">
        <v>61</v>
      </c>
      <c r="N16" s="94" t="s">
        <v>71</v>
      </c>
      <c r="O16" s="90"/>
      <c r="P16" s="90"/>
      <c r="Q16" s="90"/>
      <c r="R16" s="90"/>
      <c r="S16" s="156">
        <f>VLOOKUP(B16,'[2]62人'!$B:$R,17,FALSE)</f>
        <v>23</v>
      </c>
      <c r="T16" s="37">
        <v>0</v>
      </c>
      <c r="U16" s="157"/>
      <c r="V16" s="90"/>
      <c r="W16" s="90">
        <v>1</v>
      </c>
      <c r="X16" s="158">
        <f>VLOOKUP(B16,[4]考勤分析!$A:$I,4,FALSE)</f>
        <v>1.91983870967318</v>
      </c>
      <c r="Y16" s="90" t="b">
        <f>VLOOKUP(B16,[4]考勤分析!$A:$I,5,FALSE)</f>
        <v>0</v>
      </c>
      <c r="Z16" s="90">
        <f>VLOOKUP(B16,[4]考勤分析!$A:$I,6,FALSE)</f>
        <v>32</v>
      </c>
      <c r="AA16" s="90">
        <f>VLOOKUP(B16,[4]考勤分析!$A:$I,7,FALSE)</f>
        <v>21</v>
      </c>
      <c r="AB16" s="90">
        <f>VLOOKUP(B16,[4]考勤分析!$A:$I,8,FALSE)</f>
        <v>2</v>
      </c>
      <c r="AC16" s="90">
        <f>VLOOKUP(B16,[4]考勤分析!$A:$I,9,FALSE)</f>
        <v>7</v>
      </c>
      <c r="AD16" s="90">
        <v>0</v>
      </c>
      <c r="AE16" s="90">
        <v>5</v>
      </c>
      <c r="AF16" s="90">
        <v>3</v>
      </c>
      <c r="AG16" s="90">
        <v>2</v>
      </c>
      <c r="AH16" s="90">
        <v>5</v>
      </c>
      <c r="AI16" s="90">
        <v>9</v>
      </c>
      <c r="AJ16" s="90"/>
      <c r="AK16" s="90" t="str">
        <f>VLOOKUP(B16,[3]总表!$B:$W,22,FALSE)</f>
        <v>适中</v>
      </c>
      <c r="AL16" s="90">
        <v>1</v>
      </c>
      <c r="AM16" s="90">
        <v>2</v>
      </c>
      <c r="AN16" s="90">
        <v>2</v>
      </c>
      <c r="AO16" s="90">
        <v>2</v>
      </c>
      <c r="AP16" s="90">
        <f t="shared" si="0"/>
        <v>7</v>
      </c>
      <c r="AQ16" s="90" t="s">
        <v>78</v>
      </c>
      <c r="AR16" s="90" t="s">
        <v>119</v>
      </c>
      <c r="AS16" s="166"/>
    </row>
    <row r="17" s="138" customFormat="1" ht="20" customHeight="1" spans="1:45">
      <c r="A17" s="91">
        <v>15</v>
      </c>
      <c r="B17" s="93" t="s">
        <v>120</v>
      </c>
      <c r="C17" s="90" t="s">
        <v>98</v>
      </c>
      <c r="D17" s="91" t="s">
        <v>121</v>
      </c>
      <c r="E17" s="92" t="s">
        <v>56</v>
      </c>
      <c r="F17" s="93">
        <v>8</v>
      </c>
      <c r="G17" s="94" t="s">
        <v>69</v>
      </c>
      <c r="H17" s="94" t="s">
        <v>122</v>
      </c>
      <c r="I17" s="111" t="s">
        <v>59</v>
      </c>
      <c r="J17" s="111" t="s">
        <v>60</v>
      </c>
      <c r="K17" s="111">
        <v>8</v>
      </c>
      <c r="L17" s="94">
        <v>1</v>
      </c>
      <c r="M17" s="94" t="s">
        <v>61</v>
      </c>
      <c r="N17" s="94" t="s">
        <v>62</v>
      </c>
      <c r="O17" s="90"/>
      <c r="P17" s="90"/>
      <c r="Q17" s="90"/>
      <c r="R17" s="90" t="s">
        <v>123</v>
      </c>
      <c r="S17" s="156">
        <f>VLOOKUP(B17,'[2]62人'!$B:$R,17,FALSE)</f>
        <v>5</v>
      </c>
      <c r="T17" s="37">
        <v>24</v>
      </c>
      <c r="U17" s="157">
        <v>1</v>
      </c>
      <c r="V17" s="90"/>
      <c r="W17" s="90"/>
      <c r="X17" s="158">
        <f>VLOOKUP(B17,[4]考勤分析!$A:$I,4,FALSE)</f>
        <v>3.05393589742912</v>
      </c>
      <c r="Y17" s="90" t="b">
        <f>VLOOKUP(B17,[4]考勤分析!$A:$I,5,FALSE)</f>
        <v>1</v>
      </c>
      <c r="Z17" s="90">
        <f>VLOOKUP(B17,[4]考勤分析!$A:$I,6,FALSE)</f>
        <v>4</v>
      </c>
      <c r="AA17" s="90">
        <f>VLOOKUP(B17,[4]考勤分析!$A:$I,7,FALSE)</f>
        <v>8</v>
      </c>
      <c r="AB17" s="90">
        <f>VLOOKUP(B17,[4]考勤分析!$A:$I,8,FALSE)</f>
        <v>37</v>
      </c>
      <c r="AC17" s="90">
        <f>VLOOKUP(B17,[4]考勤分析!$A:$I,9,FALSE)</f>
        <v>16</v>
      </c>
      <c r="AD17" s="90">
        <v>0</v>
      </c>
      <c r="AE17" s="90">
        <v>1</v>
      </c>
      <c r="AF17" s="90">
        <v>1</v>
      </c>
      <c r="AG17" s="90">
        <v>2</v>
      </c>
      <c r="AH17" s="90">
        <v>10</v>
      </c>
      <c r="AI17" s="90">
        <v>11</v>
      </c>
      <c r="AJ17" s="90"/>
      <c r="AK17" s="90" t="str">
        <f>VLOOKUP(B17,[3]总表!$B:$W,22,FALSE)</f>
        <v>超负荷</v>
      </c>
      <c r="AL17" s="90">
        <v>2</v>
      </c>
      <c r="AM17" s="90">
        <v>3</v>
      </c>
      <c r="AN17" s="90">
        <v>2</v>
      </c>
      <c r="AO17" s="90">
        <v>2</v>
      </c>
      <c r="AP17" s="90">
        <f t="shared" si="0"/>
        <v>9</v>
      </c>
      <c r="AQ17" s="90" t="s">
        <v>72</v>
      </c>
      <c r="AR17" s="90" t="s">
        <v>124</v>
      </c>
      <c r="AS17" s="166"/>
    </row>
    <row r="18" s="138" customFormat="1" ht="96" spans="1:45">
      <c r="A18" s="91">
        <v>16</v>
      </c>
      <c r="B18" s="93" t="s">
        <v>125</v>
      </c>
      <c r="C18" s="90" t="s">
        <v>98</v>
      </c>
      <c r="D18" s="91" t="s">
        <v>121</v>
      </c>
      <c r="E18" s="92" t="s">
        <v>56</v>
      </c>
      <c r="F18" s="93">
        <v>12</v>
      </c>
      <c r="G18" s="94" t="s">
        <v>57</v>
      </c>
      <c r="H18" s="94" t="s">
        <v>126</v>
      </c>
      <c r="I18" s="111" t="s">
        <v>59</v>
      </c>
      <c r="J18" s="111" t="s">
        <v>60</v>
      </c>
      <c r="K18" s="111">
        <v>12</v>
      </c>
      <c r="L18" s="94">
        <v>1</v>
      </c>
      <c r="M18" s="94" t="s">
        <v>61</v>
      </c>
      <c r="N18" s="94" t="s">
        <v>71</v>
      </c>
      <c r="O18" s="90"/>
      <c r="P18" s="90"/>
      <c r="Q18" s="90"/>
      <c r="R18" s="90"/>
      <c r="S18" s="156">
        <f>VLOOKUP(B18,'[2]62人'!$B:$R,17,FALSE)</f>
        <v>11</v>
      </c>
      <c r="T18" s="37">
        <v>0</v>
      </c>
      <c r="U18" s="157"/>
      <c r="V18" s="90"/>
      <c r="W18" s="90"/>
      <c r="X18" s="158">
        <f>VLOOKUP(B18,[4]考勤分析!$A:$I,4,FALSE)</f>
        <v>1.60906944443899</v>
      </c>
      <c r="Y18" s="90" t="b">
        <f>VLOOKUP(B18,[4]考勤分析!$A:$I,5,FALSE)</f>
        <v>0</v>
      </c>
      <c r="Z18" s="90">
        <f>VLOOKUP(B18,[4]考勤分析!$A:$I,6,FALSE)</f>
        <v>30</v>
      </c>
      <c r="AA18" s="90">
        <f>VLOOKUP(B18,[4]考勤分析!$A:$I,7,FALSE)</f>
        <v>18</v>
      </c>
      <c r="AB18" s="90">
        <f>VLOOKUP(B18,[4]考勤分析!$A:$I,8,FALSE)</f>
        <v>5</v>
      </c>
      <c r="AC18" s="90">
        <f>VLOOKUP(B18,[4]考勤分析!$A:$I,9,FALSE)</f>
        <v>7</v>
      </c>
      <c r="AD18" s="90">
        <v>0</v>
      </c>
      <c r="AE18" s="90">
        <v>1</v>
      </c>
      <c r="AF18" s="90">
        <v>0</v>
      </c>
      <c r="AG18" s="90">
        <v>2</v>
      </c>
      <c r="AH18" s="90">
        <v>0</v>
      </c>
      <c r="AI18" s="90">
        <v>0</v>
      </c>
      <c r="AJ18" s="90"/>
      <c r="AK18" s="90" t="str">
        <f>VLOOKUP(B18,[3]总表!$B:$W,22,FALSE)</f>
        <v>超负荷</v>
      </c>
      <c r="AL18" s="90">
        <v>2</v>
      </c>
      <c r="AM18" s="90">
        <v>4</v>
      </c>
      <c r="AN18" s="90">
        <v>3</v>
      </c>
      <c r="AO18" s="90">
        <v>2</v>
      </c>
      <c r="AP18" s="90">
        <f t="shared" si="0"/>
        <v>11</v>
      </c>
      <c r="AQ18" s="90" t="s">
        <v>65</v>
      </c>
      <c r="AR18" s="90" t="s">
        <v>127</v>
      </c>
      <c r="AS18" s="166"/>
    </row>
    <row r="19" s="138" customFormat="1" ht="84" spans="1:45">
      <c r="A19" s="91">
        <v>17</v>
      </c>
      <c r="B19" s="93" t="s">
        <v>128</v>
      </c>
      <c r="C19" s="90" t="s">
        <v>129</v>
      </c>
      <c r="D19" s="91" t="s">
        <v>130</v>
      </c>
      <c r="E19" s="92" t="s">
        <v>68</v>
      </c>
      <c r="F19" s="93">
        <v>10</v>
      </c>
      <c r="G19" s="94" t="s">
        <v>69</v>
      </c>
      <c r="H19" s="94" t="s">
        <v>131</v>
      </c>
      <c r="I19" s="111" t="s">
        <v>59</v>
      </c>
      <c r="J19" s="111"/>
      <c r="K19" s="111"/>
      <c r="L19" s="94">
        <v>0</v>
      </c>
      <c r="M19" s="94" t="s">
        <v>132</v>
      </c>
      <c r="N19" s="94" t="s">
        <v>71</v>
      </c>
      <c r="O19" s="90"/>
      <c r="P19" s="90"/>
      <c r="Q19" s="90"/>
      <c r="R19" s="90" t="s">
        <v>133</v>
      </c>
      <c r="S19" s="156">
        <f>VLOOKUP(B19,'[2]62人'!$B:$R,17,FALSE)</f>
        <v>12</v>
      </c>
      <c r="T19" s="37">
        <v>0</v>
      </c>
      <c r="U19" s="157">
        <v>1</v>
      </c>
      <c r="V19" s="90"/>
      <c r="W19" s="90"/>
      <c r="X19" s="158">
        <f>VLOOKUP(B19,[4]考勤分析!$A:$I,4,FALSE)</f>
        <v>0.740728597451559</v>
      </c>
      <c r="Y19" s="90" t="b">
        <f>VLOOKUP(B19,[4]考勤分析!$A:$I,5,FALSE)</f>
        <v>0</v>
      </c>
      <c r="Z19" s="90">
        <f>VLOOKUP(B19,[4]考勤分析!$A:$I,6,FALSE)</f>
        <v>52</v>
      </c>
      <c r="AA19" s="90">
        <f>VLOOKUP(B19,[4]考勤分析!$A:$I,7,FALSE)</f>
        <v>5</v>
      </c>
      <c r="AB19" s="90">
        <f>VLOOKUP(B19,[4]考勤分析!$A:$I,8,FALSE)</f>
        <v>3</v>
      </c>
      <c r="AC19" s="90">
        <f>VLOOKUP(B19,[4]考勤分析!$A:$I,9,FALSE)</f>
        <v>1</v>
      </c>
      <c r="AD19" s="90">
        <v>0</v>
      </c>
      <c r="AE19" s="90">
        <v>0</v>
      </c>
      <c r="AF19" s="90">
        <v>0</v>
      </c>
      <c r="AG19" s="90">
        <v>0</v>
      </c>
      <c r="AH19" s="90">
        <v>0</v>
      </c>
      <c r="AI19" s="90">
        <v>0</v>
      </c>
      <c r="AJ19" s="90"/>
      <c r="AK19" s="90" t="e">
        <f>VLOOKUP(B19,[3]总表!$B:$W,22,FALSE)</f>
        <v>#N/A</v>
      </c>
      <c r="AL19" s="90">
        <v>2</v>
      </c>
      <c r="AM19" s="90">
        <v>2</v>
      </c>
      <c r="AN19" s="90">
        <v>2</v>
      </c>
      <c r="AO19" s="90">
        <v>2</v>
      </c>
      <c r="AP19" s="90">
        <f t="shared" si="0"/>
        <v>8</v>
      </c>
      <c r="AQ19" s="90" t="s">
        <v>134</v>
      </c>
      <c r="AR19" s="90" t="s">
        <v>135</v>
      </c>
      <c r="AS19" s="166"/>
    </row>
    <row r="20" s="138" customFormat="1" ht="120" spans="1:45">
      <c r="A20" s="91">
        <v>18</v>
      </c>
      <c r="B20" s="93" t="s">
        <v>136</v>
      </c>
      <c r="C20" s="90" t="s">
        <v>129</v>
      </c>
      <c r="D20" s="91" t="s">
        <v>130</v>
      </c>
      <c r="E20" s="92" t="s">
        <v>68</v>
      </c>
      <c r="F20" s="93">
        <v>8</v>
      </c>
      <c r="G20" s="94" t="s">
        <v>57</v>
      </c>
      <c r="H20" s="94" t="s">
        <v>137</v>
      </c>
      <c r="I20" s="111" t="s">
        <v>70</v>
      </c>
      <c r="J20" s="111" t="s">
        <v>95</v>
      </c>
      <c r="K20" s="111">
        <v>4</v>
      </c>
      <c r="L20" s="94">
        <v>1</v>
      </c>
      <c r="M20" s="94" t="s">
        <v>132</v>
      </c>
      <c r="N20" s="94" t="s">
        <v>62</v>
      </c>
      <c r="O20" s="90"/>
      <c r="P20" s="90"/>
      <c r="Q20" s="90"/>
      <c r="R20" s="90" t="s">
        <v>138</v>
      </c>
      <c r="S20" s="156">
        <f>VLOOKUP(B20,'[2]62人'!$B:$R,17,FALSE)</f>
        <v>11</v>
      </c>
      <c r="T20" s="37">
        <v>2</v>
      </c>
      <c r="U20" s="157">
        <v>2</v>
      </c>
      <c r="V20" s="90"/>
      <c r="W20" s="90">
        <v>1</v>
      </c>
      <c r="X20" s="158">
        <f>VLOOKUP(B20,[4]考勤分析!$A:$I,4,FALSE)</f>
        <v>0.816366120224407</v>
      </c>
      <c r="Y20" s="90" t="b">
        <f>VLOOKUP(B20,[4]考勤分析!$A:$I,5,FALSE)</f>
        <v>0</v>
      </c>
      <c r="Z20" s="90">
        <f>VLOOKUP(B20,[4]考勤分析!$A:$I,6,FALSE)</f>
        <v>42</v>
      </c>
      <c r="AA20" s="90">
        <f>VLOOKUP(B20,[4]考勤分析!$A:$I,7,FALSE)</f>
        <v>18</v>
      </c>
      <c r="AB20" s="90">
        <f>VLOOKUP(B20,[4]考勤分析!$A:$I,8,FALSE)</f>
        <v>1</v>
      </c>
      <c r="AC20" s="90">
        <f>VLOOKUP(B20,[4]考勤分析!$A:$I,9,FALSE)</f>
        <v>0</v>
      </c>
      <c r="AD20" s="90">
        <v>0</v>
      </c>
      <c r="AE20" s="90">
        <v>1</v>
      </c>
      <c r="AF20" s="90">
        <v>0</v>
      </c>
      <c r="AG20" s="90">
        <v>0</v>
      </c>
      <c r="AH20" s="90">
        <v>0</v>
      </c>
      <c r="AI20" s="90">
        <v>0</v>
      </c>
      <c r="AJ20" s="90"/>
      <c r="AK20" s="90" t="e">
        <f>VLOOKUP(B20,[3]总表!$B:$W,22,FALSE)</f>
        <v>#N/A</v>
      </c>
      <c r="AL20" s="90">
        <v>1</v>
      </c>
      <c r="AM20" s="90">
        <v>2</v>
      </c>
      <c r="AN20" s="90">
        <v>2</v>
      </c>
      <c r="AO20" s="90">
        <v>2</v>
      </c>
      <c r="AP20" s="90">
        <f t="shared" si="0"/>
        <v>7</v>
      </c>
      <c r="AQ20" s="90" t="s">
        <v>78</v>
      </c>
      <c r="AR20" s="90" t="s">
        <v>119</v>
      </c>
      <c r="AS20" s="166"/>
    </row>
    <row r="21" s="138" customFormat="1" ht="48" spans="1:45">
      <c r="A21" s="91">
        <v>19</v>
      </c>
      <c r="B21" s="93" t="s">
        <v>139</v>
      </c>
      <c r="C21" s="90" t="s">
        <v>129</v>
      </c>
      <c r="D21" s="91" t="s">
        <v>140</v>
      </c>
      <c r="E21" s="92" t="s">
        <v>56</v>
      </c>
      <c r="F21" s="93">
        <v>16</v>
      </c>
      <c r="G21" s="94" t="s">
        <v>69</v>
      </c>
      <c r="H21" s="94" t="s">
        <v>141</v>
      </c>
      <c r="I21" s="111" t="s">
        <v>70</v>
      </c>
      <c r="J21" s="111"/>
      <c r="K21" s="111"/>
      <c r="L21" s="94">
        <v>0</v>
      </c>
      <c r="M21" s="94" t="s">
        <v>142</v>
      </c>
      <c r="N21" s="94" t="s">
        <v>71</v>
      </c>
      <c r="O21" s="90"/>
      <c r="P21" s="90"/>
      <c r="Q21" s="90"/>
      <c r="R21" s="90"/>
      <c r="S21" s="156">
        <f>VLOOKUP(B21,'[2]62人'!$B:$R,17,FALSE)</f>
        <v>7</v>
      </c>
      <c r="T21" s="37">
        <v>1</v>
      </c>
      <c r="U21" s="157"/>
      <c r="V21" s="90">
        <v>1</v>
      </c>
      <c r="W21" s="90"/>
      <c r="X21" s="158">
        <f>VLOOKUP(B21,[4]考勤分析!$A:$I,4,FALSE)</f>
        <v>1.88590395479992</v>
      </c>
      <c r="Y21" s="90" t="b">
        <f>VLOOKUP(B21,[4]考勤分析!$A:$I,5,FALSE)</f>
        <v>1</v>
      </c>
      <c r="Z21" s="90">
        <f>VLOOKUP(B21,[4]考勤分析!$A:$I,6,FALSE)</f>
        <v>6</v>
      </c>
      <c r="AA21" s="90">
        <f>VLOOKUP(B21,[4]考勤分析!$A:$I,7,FALSE)</f>
        <v>32</v>
      </c>
      <c r="AB21" s="90">
        <f>VLOOKUP(B21,[4]考勤分析!$A:$I,8,FALSE)</f>
        <v>20</v>
      </c>
      <c r="AC21" s="90">
        <f>VLOOKUP(B21,[4]考勤分析!$A:$I,9,FALSE)</f>
        <v>1</v>
      </c>
      <c r="AD21" s="90">
        <v>0</v>
      </c>
      <c r="AE21" s="90">
        <v>0</v>
      </c>
      <c r="AF21" s="90">
        <v>0</v>
      </c>
      <c r="AG21" s="90">
        <v>0</v>
      </c>
      <c r="AH21" s="90">
        <v>0</v>
      </c>
      <c r="AI21" s="90">
        <v>0</v>
      </c>
      <c r="AJ21" s="90"/>
      <c r="AK21" s="90" t="e">
        <f>VLOOKUP(B21,[3]总表!$B:$W,22,FALSE)</f>
        <v>#N/A</v>
      </c>
      <c r="AL21" s="90">
        <v>1</v>
      </c>
      <c r="AM21" s="90">
        <v>3</v>
      </c>
      <c r="AN21" s="90">
        <v>2</v>
      </c>
      <c r="AO21" s="90">
        <v>2</v>
      </c>
      <c r="AP21" s="90">
        <f t="shared" si="0"/>
        <v>8</v>
      </c>
      <c r="AQ21" s="90" t="s">
        <v>109</v>
      </c>
      <c r="AR21" s="90" t="s">
        <v>143</v>
      </c>
      <c r="AS21" s="166"/>
    </row>
    <row r="22" s="138" customFormat="1" ht="24" spans="1:45">
      <c r="A22" s="91">
        <v>20</v>
      </c>
      <c r="B22" s="93" t="s">
        <v>144</v>
      </c>
      <c r="C22" s="90" t="s">
        <v>129</v>
      </c>
      <c r="D22" s="91" t="s">
        <v>140</v>
      </c>
      <c r="E22" s="92" t="s">
        <v>56</v>
      </c>
      <c r="F22" s="93">
        <v>17</v>
      </c>
      <c r="G22" s="94" t="s">
        <v>57</v>
      </c>
      <c r="H22" s="94" t="s">
        <v>81</v>
      </c>
      <c r="I22" s="111" t="s">
        <v>59</v>
      </c>
      <c r="J22" s="111" t="s">
        <v>95</v>
      </c>
      <c r="K22" s="111">
        <v>2</v>
      </c>
      <c r="L22" s="94">
        <v>0</v>
      </c>
      <c r="M22" s="94" t="s">
        <v>145</v>
      </c>
      <c r="N22" s="94" t="s">
        <v>71</v>
      </c>
      <c r="O22" s="90"/>
      <c r="P22" s="90"/>
      <c r="Q22" s="90"/>
      <c r="R22" s="90"/>
      <c r="S22" s="156">
        <f>VLOOKUP(B22,'[2]62人'!$B:$R,17,FALSE)</f>
        <v>7</v>
      </c>
      <c r="T22" s="37">
        <v>3</v>
      </c>
      <c r="U22" s="157"/>
      <c r="V22" s="90"/>
      <c r="W22" s="90"/>
      <c r="X22" s="158">
        <f>VLOOKUP(B22,[4]考勤分析!$A:$I,4,FALSE)</f>
        <v>1.32756272401762</v>
      </c>
      <c r="Y22" s="90" t="b">
        <f>VLOOKUP(B22,[4]考勤分析!$A:$I,5,FALSE)</f>
        <v>1</v>
      </c>
      <c r="Z22" s="90">
        <f>VLOOKUP(B22,[4]考勤分析!$A:$I,6,FALSE)</f>
        <v>3</v>
      </c>
      <c r="AA22" s="90">
        <f>VLOOKUP(B22,[4]考勤分析!$A:$I,7,FALSE)</f>
        <v>59</v>
      </c>
      <c r="AB22" s="90">
        <f>VLOOKUP(B22,[4]考勤分析!$A:$I,8,FALSE)</f>
        <v>0</v>
      </c>
      <c r="AC22" s="90">
        <f>VLOOKUP(B22,[4]考勤分析!$A:$I,9,FALSE)</f>
        <v>0</v>
      </c>
      <c r="AD22" s="90">
        <v>0</v>
      </c>
      <c r="AE22" s="90">
        <v>0</v>
      </c>
      <c r="AF22" s="90">
        <v>0</v>
      </c>
      <c r="AG22" s="90">
        <v>0</v>
      </c>
      <c r="AH22" s="90">
        <v>0</v>
      </c>
      <c r="AI22" s="90">
        <v>0</v>
      </c>
      <c r="AJ22" s="90"/>
      <c r="AK22" s="90" t="e">
        <f>VLOOKUP(B22,[3]总表!$B:$W,22,FALSE)</f>
        <v>#N/A</v>
      </c>
      <c r="AL22" s="90">
        <v>2</v>
      </c>
      <c r="AM22" s="90">
        <v>2</v>
      </c>
      <c r="AN22" s="90">
        <v>2</v>
      </c>
      <c r="AO22" s="90">
        <v>2</v>
      </c>
      <c r="AP22" s="90">
        <f t="shared" si="0"/>
        <v>8</v>
      </c>
      <c r="AQ22" s="90" t="s">
        <v>78</v>
      </c>
      <c r="AR22" s="90" t="s">
        <v>146</v>
      </c>
      <c r="AS22" s="166"/>
    </row>
    <row r="23" s="138" customFormat="1" ht="19" customHeight="1" spans="1:45">
      <c r="A23" s="91">
        <v>21</v>
      </c>
      <c r="B23" s="93" t="s">
        <v>147</v>
      </c>
      <c r="C23" s="90" t="s">
        <v>148</v>
      </c>
      <c r="D23" s="91" t="s">
        <v>149</v>
      </c>
      <c r="E23" s="92" t="s">
        <v>56</v>
      </c>
      <c r="F23" s="93">
        <v>4</v>
      </c>
      <c r="G23" s="94" t="s">
        <v>69</v>
      </c>
      <c r="H23" s="94" t="s">
        <v>150</v>
      </c>
      <c r="I23" s="111" t="s">
        <v>59</v>
      </c>
      <c r="J23" s="111"/>
      <c r="K23" s="111"/>
      <c r="L23" s="94">
        <v>0</v>
      </c>
      <c r="M23" s="94" t="s">
        <v>151</v>
      </c>
      <c r="N23" s="94" t="s">
        <v>71</v>
      </c>
      <c r="O23" s="90"/>
      <c r="P23" s="90"/>
      <c r="Q23" s="90"/>
      <c r="R23" s="90"/>
      <c r="S23" s="156">
        <f>VLOOKUP(B23,'[2]62人'!$B:$R,17,FALSE)</f>
        <v>1</v>
      </c>
      <c r="T23" s="37">
        <v>0</v>
      </c>
      <c r="U23" s="157"/>
      <c r="V23" s="90"/>
      <c r="W23" s="90"/>
      <c r="X23" s="158">
        <f>VLOOKUP(B23,[4]考勤分析!$A:$I,4,FALSE)</f>
        <v>0.439226851853891</v>
      </c>
      <c r="Y23" s="90" t="b">
        <f>VLOOKUP(B23,[4]考勤分析!$A:$I,5,FALSE)</f>
        <v>0</v>
      </c>
      <c r="Z23" s="90">
        <f>VLOOKUP(B23,[4]考勤分析!$A:$I,6,FALSE)</f>
        <v>49</v>
      </c>
      <c r="AA23" s="90">
        <f>VLOOKUP(B23,[4]考勤分析!$A:$I,7,FALSE)</f>
        <v>9</v>
      </c>
      <c r="AB23" s="90">
        <f>VLOOKUP(B23,[4]考勤分析!$A:$I,8,FALSE)</f>
        <v>2</v>
      </c>
      <c r="AC23" s="90">
        <f>VLOOKUP(B23,[4]考勤分析!$A:$I,9,FALSE)</f>
        <v>0</v>
      </c>
      <c r="AD23" s="90">
        <v>0</v>
      </c>
      <c r="AE23" s="90">
        <v>0</v>
      </c>
      <c r="AF23" s="90">
        <v>0</v>
      </c>
      <c r="AG23" s="90">
        <v>0</v>
      </c>
      <c r="AH23" s="90">
        <v>0</v>
      </c>
      <c r="AI23" s="90">
        <v>0</v>
      </c>
      <c r="AJ23" s="90"/>
      <c r="AK23" s="90" t="e">
        <f>VLOOKUP(B23,[3]总表!$B:$W,22,FALSE)</f>
        <v>#N/A</v>
      </c>
      <c r="AL23" s="90">
        <v>2</v>
      </c>
      <c r="AM23" s="90">
        <v>1</v>
      </c>
      <c r="AN23" s="90">
        <v>1</v>
      </c>
      <c r="AO23" s="90">
        <v>2</v>
      </c>
      <c r="AP23" s="90">
        <f t="shared" si="0"/>
        <v>6</v>
      </c>
      <c r="AQ23" s="90"/>
      <c r="AR23" s="90" t="s">
        <v>152</v>
      </c>
      <c r="AS23" s="166"/>
    </row>
    <row r="24" s="138" customFormat="1" ht="24" spans="1:45">
      <c r="A24" s="91">
        <v>22</v>
      </c>
      <c r="B24" s="93" t="s">
        <v>153</v>
      </c>
      <c r="C24" s="90" t="s">
        <v>148</v>
      </c>
      <c r="D24" s="91" t="s">
        <v>149</v>
      </c>
      <c r="E24" s="92" t="s">
        <v>68</v>
      </c>
      <c r="F24" s="93">
        <v>3</v>
      </c>
      <c r="G24" s="94" t="s">
        <v>69</v>
      </c>
      <c r="H24" s="94" t="s">
        <v>154</v>
      </c>
      <c r="I24" s="111"/>
      <c r="J24" s="111"/>
      <c r="K24" s="111"/>
      <c r="L24" s="94">
        <v>0</v>
      </c>
      <c r="M24" s="94" t="s">
        <v>151</v>
      </c>
      <c r="N24" s="94" t="s">
        <v>62</v>
      </c>
      <c r="O24" s="90"/>
      <c r="P24" s="90"/>
      <c r="Q24" s="90"/>
      <c r="R24" s="90"/>
      <c r="S24" s="156">
        <f>VLOOKUP(B24,'[2]62人'!$B:$R,17,FALSE)</f>
        <v>14</v>
      </c>
      <c r="T24" s="37">
        <v>0</v>
      </c>
      <c r="U24" s="157"/>
      <c r="V24" s="90"/>
      <c r="W24" s="90">
        <v>2</v>
      </c>
      <c r="X24" s="158">
        <f>VLOOKUP(B24,[4]考勤分析!$A:$I,4,FALSE)</f>
        <v>0.343551912582594</v>
      </c>
      <c r="Y24" s="90" t="b">
        <f>VLOOKUP(B24,[4]考勤分析!$A:$I,5,FALSE)</f>
        <v>0</v>
      </c>
      <c r="Z24" s="90">
        <f>VLOOKUP(B24,[4]考勤分析!$A:$I,6,FALSE)</f>
        <v>59</v>
      </c>
      <c r="AA24" s="90">
        <f>VLOOKUP(B24,[4]考勤分析!$A:$I,7,FALSE)</f>
        <v>0</v>
      </c>
      <c r="AB24" s="90">
        <f>VLOOKUP(B24,[4]考勤分析!$A:$I,8,FALSE)</f>
        <v>0</v>
      </c>
      <c r="AC24" s="90">
        <f>VLOOKUP(B24,[4]考勤分析!$A:$I,9,FALSE)</f>
        <v>2</v>
      </c>
      <c r="AD24" s="90">
        <v>0</v>
      </c>
      <c r="AE24" s="90">
        <v>0</v>
      </c>
      <c r="AF24" s="90">
        <v>0</v>
      </c>
      <c r="AG24" s="90">
        <v>0</v>
      </c>
      <c r="AH24" s="90">
        <v>0</v>
      </c>
      <c r="AI24" s="90">
        <v>0</v>
      </c>
      <c r="AJ24" s="90"/>
      <c r="AK24" s="90" t="e">
        <f>VLOOKUP(B24,[3]总表!$B:$W,22,FALSE)</f>
        <v>#N/A</v>
      </c>
      <c r="AL24" s="90">
        <v>1</v>
      </c>
      <c r="AM24" s="90">
        <v>2</v>
      </c>
      <c r="AN24" s="90">
        <v>2</v>
      </c>
      <c r="AO24" s="90">
        <v>2</v>
      </c>
      <c r="AP24" s="90">
        <f t="shared" si="0"/>
        <v>7</v>
      </c>
      <c r="AQ24" s="90" t="s">
        <v>78</v>
      </c>
      <c r="AR24" s="90" t="s">
        <v>119</v>
      </c>
      <c r="AS24" s="166"/>
    </row>
    <row r="25" s="138" customFormat="1" ht="36" spans="1:45">
      <c r="A25" s="91">
        <v>23</v>
      </c>
      <c r="B25" s="93" t="s">
        <v>155</v>
      </c>
      <c r="C25" s="90" t="s">
        <v>148</v>
      </c>
      <c r="D25" s="91" t="s">
        <v>156</v>
      </c>
      <c r="E25" s="92" t="s">
        <v>68</v>
      </c>
      <c r="F25" s="93">
        <v>4</v>
      </c>
      <c r="G25" s="94" t="s">
        <v>69</v>
      </c>
      <c r="H25" s="94" t="s">
        <v>157</v>
      </c>
      <c r="I25" s="111" t="s">
        <v>59</v>
      </c>
      <c r="J25" s="111"/>
      <c r="K25" s="111"/>
      <c r="L25" s="94">
        <v>0</v>
      </c>
      <c r="M25" s="94" t="s">
        <v>151</v>
      </c>
      <c r="N25" s="94" t="s">
        <v>62</v>
      </c>
      <c r="O25" s="90"/>
      <c r="P25" s="90"/>
      <c r="Q25" s="90"/>
      <c r="R25" s="90"/>
      <c r="S25" s="156">
        <f>VLOOKUP(B25,'[2]62人'!$B:$R,17,FALSE)</f>
        <v>15</v>
      </c>
      <c r="T25" s="37">
        <v>6</v>
      </c>
      <c r="U25" s="157"/>
      <c r="V25" s="90"/>
      <c r="W25" s="90">
        <v>1</v>
      </c>
      <c r="X25" s="158">
        <f>VLOOKUP(B25,[4]考勤分析!$A:$I,4,FALSE)</f>
        <v>2.72961469536136</v>
      </c>
      <c r="Y25" s="90" t="b">
        <f>VLOOKUP(B25,[4]考勤分析!$A:$I,5,FALSE)</f>
        <v>1</v>
      </c>
      <c r="Z25" s="90">
        <f>VLOOKUP(B25,[4]考勤分析!$A:$I,6,FALSE)</f>
        <v>7</v>
      </c>
      <c r="AA25" s="90">
        <f>VLOOKUP(B25,[4]考勤分析!$A:$I,7,FALSE)</f>
        <v>0</v>
      </c>
      <c r="AB25" s="90">
        <f>VLOOKUP(B25,[4]考勤分析!$A:$I,8,FALSE)</f>
        <v>54</v>
      </c>
      <c r="AC25" s="90">
        <f>VLOOKUP(B25,[4]考勤分析!$A:$I,9,FALSE)</f>
        <v>1</v>
      </c>
      <c r="AD25" s="90">
        <v>2</v>
      </c>
      <c r="AE25" s="90">
        <v>0</v>
      </c>
      <c r="AF25" s="90">
        <v>0</v>
      </c>
      <c r="AG25" s="90">
        <v>0</v>
      </c>
      <c r="AH25" s="90">
        <v>0</v>
      </c>
      <c r="AI25" s="90">
        <v>0</v>
      </c>
      <c r="AJ25" s="90"/>
      <c r="AK25" s="90" t="e">
        <f>VLOOKUP(B25,[3]总表!$B:$W,22,FALSE)</f>
        <v>#N/A</v>
      </c>
      <c r="AL25" s="90">
        <v>2</v>
      </c>
      <c r="AM25" s="90">
        <v>3</v>
      </c>
      <c r="AN25" s="90">
        <v>3</v>
      </c>
      <c r="AO25" s="90">
        <v>3</v>
      </c>
      <c r="AP25" s="90">
        <f t="shared" si="0"/>
        <v>11</v>
      </c>
      <c r="AQ25" s="90" t="s">
        <v>72</v>
      </c>
      <c r="AR25" s="90" t="s">
        <v>158</v>
      </c>
      <c r="AS25" s="166"/>
    </row>
    <row r="26" s="138" customFormat="1" ht="24" spans="1:45">
      <c r="A26" s="91">
        <v>24</v>
      </c>
      <c r="B26" s="93" t="s">
        <v>159</v>
      </c>
      <c r="C26" s="90" t="s">
        <v>148</v>
      </c>
      <c r="D26" s="91" t="s">
        <v>156</v>
      </c>
      <c r="E26" s="92" t="s">
        <v>56</v>
      </c>
      <c r="F26" s="93">
        <v>6</v>
      </c>
      <c r="G26" s="94" t="s">
        <v>69</v>
      </c>
      <c r="H26" s="94" t="s">
        <v>122</v>
      </c>
      <c r="I26" s="111" t="s">
        <v>70</v>
      </c>
      <c r="J26" s="111"/>
      <c r="K26" s="111"/>
      <c r="L26" s="94">
        <v>0</v>
      </c>
      <c r="M26" s="94" t="s">
        <v>151</v>
      </c>
      <c r="N26" s="94" t="s">
        <v>62</v>
      </c>
      <c r="O26" s="90"/>
      <c r="P26" s="90"/>
      <c r="Q26" s="90"/>
      <c r="R26" s="90"/>
      <c r="S26" s="156">
        <f>VLOOKUP(B26,'[2]62人'!$B:$R,17,FALSE)</f>
        <v>10</v>
      </c>
      <c r="T26" s="37">
        <v>0</v>
      </c>
      <c r="U26" s="157"/>
      <c r="V26" s="90"/>
      <c r="W26" s="90"/>
      <c r="X26" s="158" t="e">
        <f>VLOOKUP(B26,[4]考勤分析!$A:$I,4,FALSE)</f>
        <v>#N/A</v>
      </c>
      <c r="Y26" s="90" t="e">
        <f>VLOOKUP(B26,[4]考勤分析!$A:$I,5,FALSE)</f>
        <v>#N/A</v>
      </c>
      <c r="Z26" s="90" t="e">
        <f>VLOOKUP(B26,[4]考勤分析!$A:$I,6,FALSE)</f>
        <v>#N/A</v>
      </c>
      <c r="AA26" s="90" t="e">
        <f>VLOOKUP(B26,[4]考勤分析!$A:$I,7,FALSE)</f>
        <v>#N/A</v>
      </c>
      <c r="AB26" s="90" t="e">
        <f>VLOOKUP(B26,[4]考勤分析!$A:$I,8,FALSE)</f>
        <v>#N/A</v>
      </c>
      <c r="AC26" s="90" t="e">
        <f>VLOOKUP(B26,[4]考勤分析!$A:$I,9,FALSE)</f>
        <v>#N/A</v>
      </c>
      <c r="AD26" s="90">
        <v>0</v>
      </c>
      <c r="AE26" s="90">
        <v>0</v>
      </c>
      <c r="AF26" s="90">
        <v>0</v>
      </c>
      <c r="AG26" s="90">
        <v>0</v>
      </c>
      <c r="AH26" s="90">
        <v>0</v>
      </c>
      <c r="AI26" s="90">
        <v>0</v>
      </c>
      <c r="AJ26" s="90"/>
      <c r="AK26" s="90" t="e">
        <f>VLOOKUP(B26,[3]总表!$B:$W,22,FALSE)</f>
        <v>#N/A</v>
      </c>
      <c r="AL26" s="90">
        <v>1</v>
      </c>
      <c r="AM26" s="90">
        <v>2</v>
      </c>
      <c r="AN26" s="90">
        <v>2</v>
      </c>
      <c r="AO26" s="90">
        <v>2</v>
      </c>
      <c r="AP26" s="90">
        <f t="shared" si="0"/>
        <v>7</v>
      </c>
      <c r="AQ26" s="90" t="s">
        <v>78</v>
      </c>
      <c r="AR26" s="90" t="s">
        <v>160</v>
      </c>
      <c r="AS26" s="166"/>
    </row>
    <row r="27" s="138" customFormat="1" ht="60" spans="1:45">
      <c r="A27" s="91">
        <v>25</v>
      </c>
      <c r="B27" s="93" t="s">
        <v>161</v>
      </c>
      <c r="C27" s="90" t="s">
        <v>148</v>
      </c>
      <c r="D27" s="91" t="s">
        <v>162</v>
      </c>
      <c r="E27" s="92" t="s">
        <v>68</v>
      </c>
      <c r="F27" s="93">
        <v>6</v>
      </c>
      <c r="G27" s="94" t="s">
        <v>69</v>
      </c>
      <c r="H27" s="94" t="s">
        <v>163</v>
      </c>
      <c r="I27" s="111" t="s">
        <v>59</v>
      </c>
      <c r="J27" s="111"/>
      <c r="K27" s="111"/>
      <c r="L27" s="94">
        <v>0</v>
      </c>
      <c r="M27" s="94" t="s">
        <v>151</v>
      </c>
      <c r="N27" s="94" t="s">
        <v>62</v>
      </c>
      <c r="O27" s="90" t="s">
        <v>164</v>
      </c>
      <c r="P27" s="90"/>
      <c r="Q27" s="90"/>
      <c r="R27" s="90"/>
      <c r="S27" s="156">
        <f>VLOOKUP(B27,'[2]62人'!$B:$R,17,FALSE)</f>
        <v>8</v>
      </c>
      <c r="T27" s="37">
        <v>0</v>
      </c>
      <c r="U27" s="157"/>
      <c r="V27" s="90"/>
      <c r="W27" s="90"/>
      <c r="X27" s="158">
        <f>VLOOKUP(B27,[4]考勤分析!$A:$I,4,FALSE)</f>
        <v>1.22392531876361</v>
      </c>
      <c r="Y27" s="90" t="b">
        <f>VLOOKUP(B27,[4]考勤分析!$A:$I,5,FALSE)</f>
        <v>0</v>
      </c>
      <c r="Z27" s="90">
        <f>VLOOKUP(B27,[4]考勤分析!$A:$I,6,FALSE)</f>
        <v>30</v>
      </c>
      <c r="AA27" s="90">
        <f>VLOOKUP(B27,[4]考勤分析!$A:$I,7,FALSE)</f>
        <v>17</v>
      </c>
      <c r="AB27" s="90">
        <f>VLOOKUP(B27,[4]考勤分析!$A:$I,8,FALSE)</f>
        <v>12</v>
      </c>
      <c r="AC27" s="90">
        <f>VLOOKUP(B27,[4]考勤分析!$A:$I,9,FALSE)</f>
        <v>2</v>
      </c>
      <c r="AD27" s="90">
        <v>1</v>
      </c>
      <c r="AE27" s="90">
        <v>7</v>
      </c>
      <c r="AF27" s="90">
        <v>0</v>
      </c>
      <c r="AG27" s="90">
        <v>0</v>
      </c>
      <c r="AH27" s="90">
        <v>0</v>
      </c>
      <c r="AI27" s="90">
        <v>0</v>
      </c>
      <c r="AJ27" s="90"/>
      <c r="AK27" s="90" t="e">
        <f>VLOOKUP(B27,[3]总表!$B:$W,22,FALSE)</f>
        <v>#N/A</v>
      </c>
      <c r="AL27" s="90">
        <v>2</v>
      </c>
      <c r="AM27" s="90">
        <v>2</v>
      </c>
      <c r="AN27" s="90">
        <v>2</v>
      </c>
      <c r="AO27" s="90">
        <v>2</v>
      </c>
      <c r="AP27" s="90">
        <f t="shared" si="0"/>
        <v>8</v>
      </c>
      <c r="AQ27" s="90" t="s">
        <v>134</v>
      </c>
      <c r="AR27" s="90" t="s">
        <v>165</v>
      </c>
      <c r="AS27" s="166"/>
    </row>
    <row r="28" s="138" customFormat="1" ht="36" spans="1:45">
      <c r="A28" s="91">
        <v>26</v>
      </c>
      <c r="B28" s="93" t="s">
        <v>166</v>
      </c>
      <c r="C28" s="90" t="s">
        <v>148</v>
      </c>
      <c r="D28" s="91" t="s">
        <v>162</v>
      </c>
      <c r="E28" s="92" t="s">
        <v>68</v>
      </c>
      <c r="F28" s="93">
        <v>4</v>
      </c>
      <c r="G28" s="94" t="s">
        <v>69</v>
      </c>
      <c r="H28" s="94" t="s">
        <v>167</v>
      </c>
      <c r="I28" s="111" t="s">
        <v>70</v>
      </c>
      <c r="J28" s="111" t="s">
        <v>95</v>
      </c>
      <c r="K28" s="111">
        <v>2</v>
      </c>
      <c r="L28" s="94">
        <v>0</v>
      </c>
      <c r="M28" s="94" t="s">
        <v>151</v>
      </c>
      <c r="N28" s="94" t="s">
        <v>62</v>
      </c>
      <c r="O28" s="90"/>
      <c r="P28" s="90" t="s">
        <v>168</v>
      </c>
      <c r="Q28" s="90"/>
      <c r="R28" s="90"/>
      <c r="S28" s="156">
        <f>VLOOKUP(B28,'[2]62人'!$B:$R,17,FALSE)</f>
        <v>6</v>
      </c>
      <c r="T28" s="37">
        <v>0</v>
      </c>
      <c r="U28" s="157"/>
      <c r="V28" s="90"/>
      <c r="W28" s="90"/>
      <c r="X28" s="158">
        <f>VLOOKUP(B28,[4]考勤分析!$A:$I,4,FALSE)</f>
        <v>0.922810185184547</v>
      </c>
      <c r="Y28" s="90" t="b">
        <f>VLOOKUP(B28,[4]考勤分析!$A:$I,5,FALSE)</f>
        <v>0</v>
      </c>
      <c r="Z28" s="90">
        <f>VLOOKUP(B28,[4]考勤分析!$A:$I,6,FALSE)</f>
        <v>41</v>
      </c>
      <c r="AA28" s="90">
        <f>VLOOKUP(B28,[4]考勤分析!$A:$I,7,FALSE)</f>
        <v>15</v>
      </c>
      <c r="AB28" s="90">
        <f>VLOOKUP(B28,[4]考勤分析!$A:$I,8,FALSE)</f>
        <v>3</v>
      </c>
      <c r="AC28" s="90">
        <f>VLOOKUP(B28,[4]考勤分析!$A:$I,9,FALSE)</f>
        <v>1</v>
      </c>
      <c r="AD28" s="90">
        <v>0</v>
      </c>
      <c r="AE28" s="90">
        <v>0</v>
      </c>
      <c r="AF28" s="90">
        <v>0</v>
      </c>
      <c r="AG28" s="90">
        <v>0</v>
      </c>
      <c r="AH28" s="90">
        <v>0</v>
      </c>
      <c r="AI28" s="90">
        <v>0</v>
      </c>
      <c r="AJ28" s="90"/>
      <c r="AK28" s="90" t="e">
        <f>VLOOKUP(B28,[3]总表!$B:$W,22,FALSE)</f>
        <v>#N/A</v>
      </c>
      <c r="AL28" s="90">
        <v>2</v>
      </c>
      <c r="AM28" s="90">
        <v>2</v>
      </c>
      <c r="AN28" s="90">
        <v>2</v>
      </c>
      <c r="AO28" s="90">
        <v>2</v>
      </c>
      <c r="AP28" s="90">
        <f t="shared" si="0"/>
        <v>8</v>
      </c>
      <c r="AQ28" s="90" t="s">
        <v>134</v>
      </c>
      <c r="AR28" s="90" t="s">
        <v>169</v>
      </c>
      <c r="AS28" s="166"/>
    </row>
    <row r="29" s="138" customFormat="1" ht="36" spans="1:45">
      <c r="A29" s="91">
        <v>27</v>
      </c>
      <c r="B29" s="93" t="s">
        <v>170</v>
      </c>
      <c r="C29" s="90" t="s">
        <v>171</v>
      </c>
      <c r="D29" s="91" t="s">
        <v>172</v>
      </c>
      <c r="E29" s="92" t="s">
        <v>56</v>
      </c>
      <c r="F29" s="93">
        <v>8</v>
      </c>
      <c r="G29" s="94" t="s">
        <v>69</v>
      </c>
      <c r="H29" s="94" t="s">
        <v>131</v>
      </c>
      <c r="I29" s="111" t="s">
        <v>59</v>
      </c>
      <c r="J29" s="111"/>
      <c r="K29" s="111"/>
      <c r="L29" s="94">
        <v>2</v>
      </c>
      <c r="M29" s="94" t="s">
        <v>151</v>
      </c>
      <c r="N29" s="94" t="s">
        <v>62</v>
      </c>
      <c r="O29" s="90"/>
      <c r="P29" s="90"/>
      <c r="Q29" s="90"/>
      <c r="R29" s="90"/>
      <c r="S29" s="156">
        <f>VLOOKUP(B29,'[2]62人'!$B:$R,17,FALSE)</f>
        <v>8</v>
      </c>
      <c r="T29" s="37">
        <v>3</v>
      </c>
      <c r="U29" s="157"/>
      <c r="V29" s="90"/>
      <c r="W29" s="90"/>
      <c r="X29" s="158">
        <f>VLOOKUP(B29,[4]考勤分析!$A:$I,4,FALSE)</f>
        <v>3.02769531249578</v>
      </c>
      <c r="Y29" s="90" t="b">
        <f>VLOOKUP(B29,[4]考勤分析!$A:$I,5,FALSE)</f>
        <v>1</v>
      </c>
      <c r="Z29" s="90">
        <f>VLOOKUP(B29,[4]考勤分析!$A:$I,6,FALSE)</f>
        <v>9</v>
      </c>
      <c r="AA29" s="90">
        <f>VLOOKUP(B29,[4]考勤分析!$A:$I,7,FALSE)</f>
        <v>3</v>
      </c>
      <c r="AB29" s="90">
        <f>VLOOKUP(B29,[4]考勤分析!$A:$I,8,FALSE)</f>
        <v>36</v>
      </c>
      <c r="AC29" s="90">
        <f>VLOOKUP(B29,[4]考勤分析!$A:$I,9,FALSE)</f>
        <v>16</v>
      </c>
      <c r="AD29" s="90">
        <v>0</v>
      </c>
      <c r="AE29" s="90">
        <v>0</v>
      </c>
      <c r="AF29" s="90">
        <v>0</v>
      </c>
      <c r="AG29" s="90">
        <v>0</v>
      </c>
      <c r="AH29" s="90">
        <v>0</v>
      </c>
      <c r="AI29" s="90">
        <v>0</v>
      </c>
      <c r="AJ29" s="90"/>
      <c r="AK29" s="90" t="e">
        <f>VLOOKUP(B29,[3]总表!$B:$W,22,FALSE)</f>
        <v>#N/A</v>
      </c>
      <c r="AL29" s="90">
        <v>2</v>
      </c>
      <c r="AM29" s="90">
        <v>3</v>
      </c>
      <c r="AN29" s="90">
        <v>3</v>
      </c>
      <c r="AO29" s="90">
        <v>3</v>
      </c>
      <c r="AP29" s="90">
        <f t="shared" si="0"/>
        <v>11</v>
      </c>
      <c r="AQ29" s="90" t="s">
        <v>72</v>
      </c>
      <c r="AR29" s="90" t="s">
        <v>173</v>
      </c>
      <c r="AS29" s="166"/>
    </row>
    <row r="30" s="138" customFormat="1" ht="24" spans="1:45">
      <c r="A30" s="91">
        <v>28</v>
      </c>
      <c r="B30" s="93" t="s">
        <v>174</v>
      </c>
      <c r="C30" s="90" t="s">
        <v>171</v>
      </c>
      <c r="D30" s="91" t="s">
        <v>172</v>
      </c>
      <c r="E30" s="92" t="s">
        <v>68</v>
      </c>
      <c r="F30" s="93">
        <v>6</v>
      </c>
      <c r="G30" s="94" t="s">
        <v>69</v>
      </c>
      <c r="H30" s="94" t="s">
        <v>175</v>
      </c>
      <c r="I30" s="111" t="s">
        <v>70</v>
      </c>
      <c r="J30" s="111" t="s">
        <v>95</v>
      </c>
      <c r="K30" s="111">
        <v>4</v>
      </c>
      <c r="L30" s="94">
        <v>1</v>
      </c>
      <c r="M30" s="94" t="s">
        <v>151</v>
      </c>
      <c r="N30" s="94" t="s">
        <v>62</v>
      </c>
      <c r="O30" s="90"/>
      <c r="P30" s="90"/>
      <c r="Q30" s="90"/>
      <c r="R30" s="90"/>
      <c r="S30" s="156">
        <f>VLOOKUP(B30,'[2]62人'!$B:$R,17,FALSE)</f>
        <v>10</v>
      </c>
      <c r="T30" s="37">
        <v>0</v>
      </c>
      <c r="U30" s="157"/>
      <c r="V30" s="90"/>
      <c r="W30" s="90">
        <v>1</v>
      </c>
      <c r="X30" s="158">
        <f>VLOOKUP(B30,[4]考勤分析!$A:$I,4,FALSE)</f>
        <v>1.90072132616432</v>
      </c>
      <c r="Y30" s="90" t="b">
        <f>VLOOKUP(B30,[4]考勤分析!$A:$I,5,FALSE)</f>
        <v>1</v>
      </c>
      <c r="Z30" s="90">
        <f>VLOOKUP(B30,[4]考勤分析!$A:$I,6,FALSE)</f>
        <v>19</v>
      </c>
      <c r="AA30" s="90">
        <f>VLOOKUP(B30,[4]考勤分析!$A:$I,7,FALSE)</f>
        <v>17</v>
      </c>
      <c r="AB30" s="90">
        <f>VLOOKUP(B30,[4]考勤分析!$A:$I,8,FALSE)</f>
        <v>21</v>
      </c>
      <c r="AC30" s="90">
        <f>VLOOKUP(B30,[4]考勤分析!$A:$I,9,FALSE)</f>
        <v>5</v>
      </c>
      <c r="AD30" s="90">
        <v>0</v>
      </c>
      <c r="AE30" s="90">
        <v>1</v>
      </c>
      <c r="AF30" s="90">
        <v>0</v>
      </c>
      <c r="AG30" s="90">
        <v>0</v>
      </c>
      <c r="AH30" s="90">
        <v>0</v>
      </c>
      <c r="AI30" s="90">
        <v>0</v>
      </c>
      <c r="AJ30" s="90"/>
      <c r="AK30" s="90" t="e">
        <f>VLOOKUP(B30,[3]总表!$B:$W,22,FALSE)</f>
        <v>#N/A</v>
      </c>
      <c r="AL30" s="90">
        <v>1</v>
      </c>
      <c r="AM30" s="90">
        <v>2</v>
      </c>
      <c r="AN30" s="90">
        <v>2</v>
      </c>
      <c r="AO30" s="90">
        <v>3</v>
      </c>
      <c r="AP30" s="90">
        <f t="shared" si="0"/>
        <v>8</v>
      </c>
      <c r="AQ30" s="90" t="s">
        <v>78</v>
      </c>
      <c r="AR30" s="90" t="s">
        <v>176</v>
      </c>
      <c r="AS30" s="166"/>
    </row>
    <row r="31" s="138" customFormat="1" ht="36" spans="1:45">
      <c r="A31" s="91">
        <v>29</v>
      </c>
      <c r="B31" s="93" t="s">
        <v>177</v>
      </c>
      <c r="C31" s="90" t="s">
        <v>171</v>
      </c>
      <c r="D31" s="91" t="s">
        <v>178</v>
      </c>
      <c r="E31" s="92" t="s">
        <v>56</v>
      </c>
      <c r="F31" s="93">
        <v>7</v>
      </c>
      <c r="G31" s="94" t="s">
        <v>69</v>
      </c>
      <c r="H31" s="94" t="s">
        <v>179</v>
      </c>
      <c r="I31" s="111" t="s">
        <v>59</v>
      </c>
      <c r="J31" s="111" t="s">
        <v>95</v>
      </c>
      <c r="K31" s="111">
        <v>2</v>
      </c>
      <c r="L31" s="94">
        <v>1</v>
      </c>
      <c r="M31" s="94" t="s">
        <v>180</v>
      </c>
      <c r="N31" s="94" t="s">
        <v>62</v>
      </c>
      <c r="O31" s="90"/>
      <c r="P31" s="90"/>
      <c r="Q31" s="90"/>
      <c r="R31" s="90"/>
      <c r="S31" s="156">
        <f>VLOOKUP(B31,'[2]62人'!$B:$R,17,FALSE)</f>
        <v>11</v>
      </c>
      <c r="T31" s="37">
        <v>4</v>
      </c>
      <c r="U31" s="157"/>
      <c r="V31" s="90"/>
      <c r="W31" s="90"/>
      <c r="X31" s="158">
        <f>VLOOKUP(B31,[4]考勤分析!$A:$I,4,FALSE)</f>
        <v>3.34787795992977</v>
      </c>
      <c r="Y31" s="90" t="b">
        <f>VLOOKUP(B31,[4]考勤分析!$A:$I,5,FALSE)</f>
        <v>1</v>
      </c>
      <c r="Z31" s="90">
        <f>VLOOKUP(B31,[4]考勤分析!$A:$I,6,FALSE)</f>
        <v>5</v>
      </c>
      <c r="AA31" s="90">
        <f>VLOOKUP(B31,[4]考勤分析!$A:$I,7,FALSE)</f>
        <v>3</v>
      </c>
      <c r="AB31" s="90">
        <f>VLOOKUP(B31,[4]考勤分析!$A:$I,8,FALSE)</f>
        <v>35</v>
      </c>
      <c r="AC31" s="90">
        <f>VLOOKUP(B31,[4]考勤分析!$A:$I,9,FALSE)</f>
        <v>18</v>
      </c>
      <c r="AD31" s="90">
        <v>0</v>
      </c>
      <c r="AE31" s="90">
        <v>0</v>
      </c>
      <c r="AF31" s="90">
        <v>0</v>
      </c>
      <c r="AG31" s="90">
        <v>0</v>
      </c>
      <c r="AH31" s="90">
        <v>0</v>
      </c>
      <c r="AI31" s="90">
        <v>0</v>
      </c>
      <c r="AJ31" s="90"/>
      <c r="AK31" s="90" t="e">
        <f>VLOOKUP(B31,[3]总表!$B:$W,22,FALSE)</f>
        <v>#N/A</v>
      </c>
      <c r="AL31" s="90">
        <v>2</v>
      </c>
      <c r="AM31" s="90">
        <v>3</v>
      </c>
      <c r="AN31" s="90">
        <v>3</v>
      </c>
      <c r="AO31" s="90">
        <v>2</v>
      </c>
      <c r="AP31" s="90">
        <f t="shared" si="0"/>
        <v>10</v>
      </c>
      <c r="AQ31" s="90" t="s">
        <v>72</v>
      </c>
      <c r="AR31" s="90" t="s">
        <v>181</v>
      </c>
      <c r="AS31" s="166"/>
    </row>
    <row r="32" s="138" customFormat="1" ht="24" spans="1:45">
      <c r="A32" s="91">
        <v>30</v>
      </c>
      <c r="B32" s="93" t="s">
        <v>182</v>
      </c>
      <c r="C32" s="90" t="s">
        <v>171</v>
      </c>
      <c r="D32" s="91" t="s">
        <v>178</v>
      </c>
      <c r="E32" s="92" t="s">
        <v>56</v>
      </c>
      <c r="F32" s="93">
        <v>11</v>
      </c>
      <c r="G32" s="94" t="s">
        <v>57</v>
      </c>
      <c r="H32" s="94" t="s">
        <v>183</v>
      </c>
      <c r="I32" s="111" t="s">
        <v>70</v>
      </c>
      <c r="J32" s="111" t="s">
        <v>95</v>
      </c>
      <c r="K32" s="111">
        <v>1</v>
      </c>
      <c r="L32" s="94">
        <v>0</v>
      </c>
      <c r="M32" s="94" t="s">
        <v>180</v>
      </c>
      <c r="N32" s="94" t="s">
        <v>71</v>
      </c>
      <c r="O32" s="90"/>
      <c r="P32" s="90"/>
      <c r="Q32" s="90"/>
      <c r="R32" s="90"/>
      <c r="S32" s="156">
        <f>VLOOKUP(B32,'[2]62人'!$B:$R,17,FALSE)</f>
        <v>10</v>
      </c>
      <c r="T32" s="37">
        <v>0</v>
      </c>
      <c r="U32" s="157"/>
      <c r="V32" s="90"/>
      <c r="W32" s="90"/>
      <c r="X32" s="158">
        <f>VLOOKUP(B32,[4]考勤分析!$A:$I,4,FALSE)</f>
        <v>1.88317129629916</v>
      </c>
      <c r="Y32" s="90" t="b">
        <f>VLOOKUP(B32,[4]考勤分析!$A:$I,5,FALSE)</f>
        <v>1</v>
      </c>
      <c r="Z32" s="90">
        <f>VLOOKUP(B32,[4]考勤分析!$A:$I,6,FALSE)</f>
        <v>13</v>
      </c>
      <c r="AA32" s="90">
        <f>VLOOKUP(B32,[4]考勤分析!$A:$I,7,FALSE)</f>
        <v>15</v>
      </c>
      <c r="AB32" s="90">
        <f>VLOOKUP(B32,[4]考勤分析!$A:$I,8,FALSE)</f>
        <v>31</v>
      </c>
      <c r="AC32" s="90">
        <f>VLOOKUP(B32,[4]考勤分析!$A:$I,9,FALSE)</f>
        <v>1</v>
      </c>
      <c r="AD32" s="90">
        <v>0</v>
      </c>
      <c r="AE32" s="90">
        <v>0</v>
      </c>
      <c r="AF32" s="90">
        <v>0</v>
      </c>
      <c r="AG32" s="90">
        <v>0</v>
      </c>
      <c r="AH32" s="90">
        <v>0</v>
      </c>
      <c r="AI32" s="90">
        <v>0</v>
      </c>
      <c r="AJ32" s="90"/>
      <c r="AK32" s="90" t="e">
        <f>VLOOKUP(B32,[3]总表!$B:$W,22,FALSE)</f>
        <v>#N/A</v>
      </c>
      <c r="AL32" s="90">
        <v>1</v>
      </c>
      <c r="AM32" s="90">
        <v>2</v>
      </c>
      <c r="AN32" s="90">
        <v>2</v>
      </c>
      <c r="AO32" s="90">
        <v>2</v>
      </c>
      <c r="AP32" s="90">
        <f t="shared" si="0"/>
        <v>7</v>
      </c>
      <c r="AQ32" s="90" t="s">
        <v>78</v>
      </c>
      <c r="AR32" s="90" t="s">
        <v>119</v>
      </c>
      <c r="AS32" s="166"/>
    </row>
    <row r="33" s="138" customFormat="1" ht="20" customHeight="1" spans="1:45">
      <c r="A33" s="91">
        <v>31</v>
      </c>
      <c r="B33" s="93" t="s">
        <v>184</v>
      </c>
      <c r="C33" s="90" t="s">
        <v>171</v>
      </c>
      <c r="D33" s="91" t="s">
        <v>185</v>
      </c>
      <c r="E33" s="92" t="s">
        <v>56</v>
      </c>
      <c r="F33" s="93">
        <v>9</v>
      </c>
      <c r="G33" s="94" t="s">
        <v>57</v>
      </c>
      <c r="H33" s="94" t="s">
        <v>186</v>
      </c>
      <c r="I33" s="111" t="s">
        <v>59</v>
      </c>
      <c r="J33" s="111" t="s">
        <v>95</v>
      </c>
      <c r="K33" s="111">
        <v>2</v>
      </c>
      <c r="L33" s="94">
        <v>0</v>
      </c>
      <c r="M33" s="94" t="s">
        <v>151</v>
      </c>
      <c r="N33" s="94" t="s">
        <v>71</v>
      </c>
      <c r="O33" s="90"/>
      <c r="P33" s="90"/>
      <c r="Q33" s="90"/>
      <c r="R33" s="90"/>
      <c r="S33" s="156">
        <f>VLOOKUP(B33,'[2]62人'!$B:$R,17,FALSE)</f>
        <v>14</v>
      </c>
      <c r="T33" s="37">
        <v>19</v>
      </c>
      <c r="U33" s="157"/>
      <c r="V33" s="90"/>
      <c r="W33" s="90"/>
      <c r="X33" s="158">
        <f>VLOOKUP(B33,[4]考勤分析!$A:$I,4,FALSE)</f>
        <v>1.60844086021591</v>
      </c>
      <c r="Y33" s="90" t="b">
        <f>VLOOKUP(B33,[4]考勤分析!$A:$I,5,FALSE)</f>
        <v>0</v>
      </c>
      <c r="Z33" s="90">
        <f>VLOOKUP(B33,[4]考勤分析!$A:$I,6,FALSE)</f>
        <v>23</v>
      </c>
      <c r="AA33" s="90">
        <f>VLOOKUP(B33,[4]考勤分析!$A:$I,7,FALSE)</f>
        <v>23</v>
      </c>
      <c r="AB33" s="90">
        <f>VLOOKUP(B33,[4]考勤分析!$A:$I,8,FALSE)</f>
        <v>8</v>
      </c>
      <c r="AC33" s="90">
        <f>VLOOKUP(B33,[4]考勤分析!$A:$I,9,FALSE)</f>
        <v>8</v>
      </c>
      <c r="AD33" s="90">
        <v>0</v>
      </c>
      <c r="AE33" s="90">
        <v>0</v>
      </c>
      <c r="AF33" s="90">
        <v>0</v>
      </c>
      <c r="AG33" s="90">
        <v>0</v>
      </c>
      <c r="AH33" s="90">
        <v>0</v>
      </c>
      <c r="AI33" s="90">
        <v>0</v>
      </c>
      <c r="AJ33" s="90"/>
      <c r="AK33" s="90" t="e">
        <f>VLOOKUP(B33,[3]总表!$B:$W,22,FALSE)</f>
        <v>#N/A</v>
      </c>
      <c r="AL33" s="90">
        <v>1</v>
      </c>
      <c r="AM33" s="90">
        <v>3</v>
      </c>
      <c r="AN33" s="90">
        <v>2</v>
      </c>
      <c r="AO33" s="90">
        <v>2</v>
      </c>
      <c r="AP33" s="90">
        <f t="shared" si="0"/>
        <v>8</v>
      </c>
      <c r="AQ33" s="90" t="s">
        <v>72</v>
      </c>
      <c r="AR33" s="90" t="s">
        <v>187</v>
      </c>
      <c r="AS33" s="166"/>
    </row>
    <row r="34" s="138" customFormat="1" ht="120" spans="1:45">
      <c r="A34" s="91">
        <v>32</v>
      </c>
      <c r="B34" s="93" t="s">
        <v>188</v>
      </c>
      <c r="C34" s="90" t="s">
        <v>189</v>
      </c>
      <c r="D34" s="91" t="s">
        <v>190</v>
      </c>
      <c r="E34" s="92" t="s">
        <v>68</v>
      </c>
      <c r="F34" s="93">
        <v>5</v>
      </c>
      <c r="G34" s="94" t="s">
        <v>69</v>
      </c>
      <c r="H34" s="94" t="s">
        <v>118</v>
      </c>
      <c r="I34" s="111" t="s">
        <v>59</v>
      </c>
      <c r="J34" s="111" t="s">
        <v>95</v>
      </c>
      <c r="K34" s="111">
        <v>1</v>
      </c>
      <c r="L34" s="94">
        <v>0</v>
      </c>
      <c r="M34" s="94" t="s">
        <v>61</v>
      </c>
      <c r="N34" s="94" t="s">
        <v>62</v>
      </c>
      <c r="O34" s="90"/>
      <c r="P34" s="90"/>
      <c r="Q34" s="90"/>
      <c r="R34" s="90" t="s">
        <v>191</v>
      </c>
      <c r="S34" s="156">
        <f>VLOOKUP(B34,'[2]62人'!$B:$R,17,FALSE)</f>
        <v>14</v>
      </c>
      <c r="T34" s="37">
        <v>0</v>
      </c>
      <c r="U34" s="157"/>
      <c r="V34" s="90"/>
      <c r="W34" s="90">
        <v>3</v>
      </c>
      <c r="X34" s="158">
        <f>VLOOKUP(B34,[4]考勤分析!$A:$I,4,FALSE)</f>
        <v>2.76546448087568</v>
      </c>
      <c r="Y34" s="90" t="b">
        <f>VLOOKUP(B34,[4]考勤分析!$A:$I,5,FALSE)</f>
        <v>1</v>
      </c>
      <c r="Z34" s="90">
        <f>VLOOKUP(B34,[4]考勤分析!$A:$I,6,FALSE)</f>
        <v>9</v>
      </c>
      <c r="AA34" s="90">
        <f>VLOOKUP(B34,[4]考勤分析!$A:$I,7,FALSE)</f>
        <v>14</v>
      </c>
      <c r="AB34" s="90">
        <f>VLOOKUP(B34,[4]考勤分析!$A:$I,8,FALSE)</f>
        <v>20</v>
      </c>
      <c r="AC34" s="90">
        <f>VLOOKUP(B34,[4]考勤分析!$A:$I,9,FALSE)</f>
        <v>18</v>
      </c>
      <c r="AD34" s="90">
        <v>0</v>
      </c>
      <c r="AE34" s="90">
        <v>1</v>
      </c>
      <c r="AF34" s="90">
        <v>1</v>
      </c>
      <c r="AG34" s="90">
        <v>2</v>
      </c>
      <c r="AH34" s="90">
        <v>0</v>
      </c>
      <c r="AI34" s="90">
        <v>0</v>
      </c>
      <c r="AJ34" s="90"/>
      <c r="AK34" s="90" t="str">
        <f>VLOOKUP(B34,[3]总表!$B:$W,22,FALSE)</f>
        <v>超负荷</v>
      </c>
      <c r="AL34" s="90">
        <v>1</v>
      </c>
      <c r="AM34" s="90">
        <v>3</v>
      </c>
      <c r="AN34" s="90">
        <v>3</v>
      </c>
      <c r="AO34" s="90">
        <v>2</v>
      </c>
      <c r="AP34" s="90">
        <f t="shared" si="0"/>
        <v>9</v>
      </c>
      <c r="AQ34" s="90" t="s">
        <v>72</v>
      </c>
      <c r="AR34" s="90" t="s">
        <v>192</v>
      </c>
      <c r="AS34" s="166"/>
    </row>
    <row r="35" s="138" customFormat="1" ht="24" spans="1:45">
      <c r="A35" s="91">
        <v>33</v>
      </c>
      <c r="B35" s="93" t="s">
        <v>193</v>
      </c>
      <c r="C35" s="90" t="s">
        <v>189</v>
      </c>
      <c r="D35" s="91" t="s">
        <v>190</v>
      </c>
      <c r="E35" s="92" t="s">
        <v>68</v>
      </c>
      <c r="F35" s="93">
        <v>3</v>
      </c>
      <c r="G35" s="94" t="s">
        <v>69</v>
      </c>
      <c r="H35" s="94" t="s">
        <v>194</v>
      </c>
      <c r="I35" s="111" t="s">
        <v>70</v>
      </c>
      <c r="J35" s="111"/>
      <c r="K35" s="111"/>
      <c r="L35" s="94">
        <v>0</v>
      </c>
      <c r="M35" s="94" t="s">
        <v>61</v>
      </c>
      <c r="N35" s="94" t="s">
        <v>62</v>
      </c>
      <c r="O35" s="90"/>
      <c r="P35" s="90"/>
      <c r="Q35" s="90"/>
      <c r="R35" s="90"/>
      <c r="S35" s="156">
        <f>VLOOKUP(B35,'[2]62人'!$B:$R,17,FALSE)</f>
        <v>16</v>
      </c>
      <c r="T35" s="37">
        <v>0</v>
      </c>
      <c r="U35" s="157"/>
      <c r="V35" s="90"/>
      <c r="W35" s="90">
        <v>1</v>
      </c>
      <c r="X35" s="158">
        <f>VLOOKUP(B35,[4]考勤分析!$A:$I,4,FALSE)</f>
        <v>1.44729963569715</v>
      </c>
      <c r="Y35" s="90" t="b">
        <f>VLOOKUP(B35,[4]考勤分析!$A:$I,5,FALSE)</f>
        <v>0</v>
      </c>
      <c r="Z35" s="90">
        <f>VLOOKUP(B35,[4]考勤分析!$A:$I,6,FALSE)</f>
        <v>14</v>
      </c>
      <c r="AA35" s="90">
        <f>VLOOKUP(B35,[4]考勤分析!$A:$I,7,FALSE)</f>
        <v>39</v>
      </c>
      <c r="AB35" s="90">
        <f>VLOOKUP(B35,[4]考勤分析!$A:$I,8,FALSE)</f>
        <v>7</v>
      </c>
      <c r="AC35" s="90">
        <f>VLOOKUP(B35,[4]考勤分析!$A:$I,9,FALSE)</f>
        <v>1</v>
      </c>
      <c r="AD35" s="90">
        <v>1</v>
      </c>
      <c r="AE35" s="90">
        <v>1</v>
      </c>
      <c r="AF35" s="90">
        <v>1</v>
      </c>
      <c r="AG35" s="90">
        <v>2</v>
      </c>
      <c r="AH35" s="90">
        <v>2</v>
      </c>
      <c r="AI35" s="90">
        <v>4</v>
      </c>
      <c r="AJ35" s="90"/>
      <c r="AK35" s="90" t="str">
        <f>VLOOKUP(B35,[3]总表!$B:$W,22,FALSE)</f>
        <v>适中</v>
      </c>
      <c r="AL35" s="90">
        <v>1</v>
      </c>
      <c r="AM35" s="90">
        <v>2</v>
      </c>
      <c r="AN35" s="90">
        <v>2</v>
      </c>
      <c r="AO35" s="90">
        <v>2</v>
      </c>
      <c r="AP35" s="90">
        <f t="shared" si="0"/>
        <v>7</v>
      </c>
      <c r="AQ35" s="90" t="s">
        <v>78</v>
      </c>
      <c r="AR35" s="90" t="s">
        <v>195</v>
      </c>
      <c r="AS35" s="166"/>
    </row>
    <row r="36" s="138" customFormat="1" ht="36" spans="1:45">
      <c r="A36" s="91">
        <v>3</v>
      </c>
      <c r="B36" s="93" t="s">
        <v>196</v>
      </c>
      <c r="C36" s="90" t="s">
        <v>189</v>
      </c>
      <c r="D36" s="91" t="s">
        <v>197</v>
      </c>
      <c r="E36" s="92" t="s">
        <v>56</v>
      </c>
      <c r="F36" s="93">
        <v>13</v>
      </c>
      <c r="G36" s="94" t="s">
        <v>57</v>
      </c>
      <c r="H36" s="94" t="s">
        <v>198</v>
      </c>
      <c r="I36" s="111" t="s">
        <v>59</v>
      </c>
      <c r="J36" s="111" t="s">
        <v>60</v>
      </c>
      <c r="K36" s="111">
        <v>5</v>
      </c>
      <c r="L36" s="94">
        <v>1</v>
      </c>
      <c r="M36" s="94" t="s">
        <v>61</v>
      </c>
      <c r="N36" s="94" t="s">
        <v>71</v>
      </c>
      <c r="O36" s="90"/>
      <c r="P36" s="90"/>
      <c r="Q36" s="90"/>
      <c r="R36" s="90"/>
      <c r="S36" s="156">
        <f>VLOOKUP(B36,'[2]62人'!$B:$R,17,FALSE)</f>
        <v>7</v>
      </c>
      <c r="T36" s="37">
        <v>1</v>
      </c>
      <c r="U36" s="157">
        <v>1</v>
      </c>
      <c r="V36" s="90"/>
      <c r="W36" s="90">
        <v>2</v>
      </c>
      <c r="X36" s="158">
        <f>VLOOKUP(B36,[4]考勤分析!$A:$I,4,FALSE)</f>
        <v>1.29716101695065</v>
      </c>
      <c r="Y36" s="90" t="b">
        <f>VLOOKUP(B36,[4]考勤分析!$A:$I,5,FALSE)</f>
        <v>0</v>
      </c>
      <c r="Z36" s="90">
        <f>VLOOKUP(B36,[4]考勤分析!$A:$I,6,FALSE)</f>
        <v>35</v>
      </c>
      <c r="AA36" s="90">
        <f>VLOOKUP(B36,[4]考勤分析!$A:$I,7,FALSE)</f>
        <v>16</v>
      </c>
      <c r="AB36" s="90">
        <f>VLOOKUP(B36,[4]考勤分析!$A:$I,8,FALSE)</f>
        <v>5</v>
      </c>
      <c r="AC36" s="90">
        <f>VLOOKUP(B36,[4]考勤分析!$A:$I,9,FALSE)</f>
        <v>3</v>
      </c>
      <c r="AD36" s="90">
        <v>2</v>
      </c>
      <c r="AE36" s="90">
        <v>0</v>
      </c>
      <c r="AF36" s="90">
        <v>2</v>
      </c>
      <c r="AG36" s="90">
        <v>5</v>
      </c>
      <c r="AH36" s="90">
        <v>16</v>
      </c>
      <c r="AI36" s="90">
        <v>13</v>
      </c>
      <c r="AJ36" s="90"/>
      <c r="AK36" s="90" t="str">
        <f>VLOOKUP(B36,[3]总表!$B:$W,22,FALSE)</f>
        <v>超负荷</v>
      </c>
      <c r="AL36" s="90">
        <v>1</v>
      </c>
      <c r="AM36" s="90">
        <v>4</v>
      </c>
      <c r="AN36" s="90">
        <v>2</v>
      </c>
      <c r="AO36" s="90">
        <v>2</v>
      </c>
      <c r="AP36" s="90">
        <f t="shared" si="0"/>
        <v>9</v>
      </c>
      <c r="AQ36" s="90" t="s">
        <v>72</v>
      </c>
      <c r="AR36" s="90" t="s">
        <v>199</v>
      </c>
      <c r="AS36" s="166"/>
    </row>
    <row r="37" s="138" customFormat="1" ht="108" spans="1:45">
      <c r="A37" s="91">
        <v>35</v>
      </c>
      <c r="B37" s="93" t="s">
        <v>200</v>
      </c>
      <c r="C37" s="90" t="s">
        <v>189</v>
      </c>
      <c r="D37" s="91" t="s">
        <v>197</v>
      </c>
      <c r="E37" s="92" t="s">
        <v>56</v>
      </c>
      <c r="F37" s="93">
        <v>6</v>
      </c>
      <c r="G37" s="94" t="s">
        <v>69</v>
      </c>
      <c r="H37" s="94" t="s">
        <v>201</v>
      </c>
      <c r="I37" s="111" t="s">
        <v>70</v>
      </c>
      <c r="J37" s="111" t="s">
        <v>60</v>
      </c>
      <c r="K37" s="111">
        <v>6</v>
      </c>
      <c r="L37" s="94">
        <v>0</v>
      </c>
      <c r="M37" s="94" t="s">
        <v>61</v>
      </c>
      <c r="N37" s="94" t="s">
        <v>62</v>
      </c>
      <c r="O37" s="90"/>
      <c r="P37" s="90"/>
      <c r="Q37" s="90"/>
      <c r="R37" s="90" t="s">
        <v>202</v>
      </c>
      <c r="S37" s="156">
        <f>VLOOKUP(B37,'[2]62人'!$B:$R,17,FALSE)</f>
        <v>12</v>
      </c>
      <c r="T37" s="37">
        <v>4</v>
      </c>
      <c r="U37" s="157"/>
      <c r="V37" s="90"/>
      <c r="W37" s="90">
        <v>2</v>
      </c>
      <c r="X37" s="158">
        <f>VLOOKUP(B37,[4]考勤分析!$A:$I,4,FALSE)</f>
        <v>1.98538082435768</v>
      </c>
      <c r="Y37" s="90" t="b">
        <f>VLOOKUP(B37,[4]考勤分析!$A:$I,5,FALSE)</f>
        <v>0</v>
      </c>
      <c r="Z37" s="90">
        <f>VLOOKUP(B37,[4]考勤分析!$A:$I,6,FALSE)</f>
        <v>9</v>
      </c>
      <c r="AA37" s="90">
        <f>VLOOKUP(B37,[4]考勤分析!$A:$I,7,FALSE)</f>
        <v>34</v>
      </c>
      <c r="AB37" s="90">
        <f>VLOOKUP(B37,[4]考勤分析!$A:$I,8,FALSE)</f>
        <v>12</v>
      </c>
      <c r="AC37" s="90">
        <f>VLOOKUP(B37,[4]考勤分析!$A:$I,9,FALSE)</f>
        <v>7</v>
      </c>
      <c r="AD37" s="90">
        <v>2</v>
      </c>
      <c r="AE37" s="90">
        <v>2</v>
      </c>
      <c r="AF37" s="90">
        <v>1</v>
      </c>
      <c r="AG37" s="90">
        <v>3</v>
      </c>
      <c r="AH37" s="90">
        <v>9</v>
      </c>
      <c r="AI37" s="90">
        <v>5</v>
      </c>
      <c r="AJ37" s="90"/>
      <c r="AK37" s="90" t="str">
        <f>VLOOKUP(B37,[3]总表!$B:$W,22,FALSE)</f>
        <v>超负荷</v>
      </c>
      <c r="AL37" s="90">
        <v>2</v>
      </c>
      <c r="AM37" s="90">
        <v>2</v>
      </c>
      <c r="AN37" s="90">
        <v>2</v>
      </c>
      <c r="AO37" s="90">
        <v>3</v>
      </c>
      <c r="AP37" s="90">
        <f t="shared" si="0"/>
        <v>9</v>
      </c>
      <c r="AQ37" s="90" t="s">
        <v>134</v>
      </c>
      <c r="AR37" s="90" t="s">
        <v>203</v>
      </c>
      <c r="AS37" s="166"/>
    </row>
    <row r="38" s="138" customFormat="1" ht="24" spans="1:45">
      <c r="A38" s="91">
        <v>36</v>
      </c>
      <c r="B38" s="93" t="s">
        <v>204</v>
      </c>
      <c r="C38" s="90" t="s">
        <v>205</v>
      </c>
      <c r="D38" s="91" t="s">
        <v>206</v>
      </c>
      <c r="E38" s="92" t="s">
        <v>68</v>
      </c>
      <c r="F38" s="93">
        <v>11</v>
      </c>
      <c r="G38" s="94" t="s">
        <v>69</v>
      </c>
      <c r="H38" s="94" t="s">
        <v>122</v>
      </c>
      <c r="I38" s="111" t="s">
        <v>59</v>
      </c>
      <c r="J38" s="111"/>
      <c r="K38" s="111"/>
      <c r="L38" s="94">
        <v>1</v>
      </c>
      <c r="M38" s="94" t="s">
        <v>207</v>
      </c>
      <c r="N38" s="94" t="s">
        <v>71</v>
      </c>
      <c r="O38" s="90"/>
      <c r="P38" s="90"/>
      <c r="Q38" s="90"/>
      <c r="R38" s="90"/>
      <c r="S38" s="156">
        <f>VLOOKUP(B38,'[2]62人'!$B:$R,17,FALSE)</f>
        <v>11</v>
      </c>
      <c r="T38" s="37">
        <v>0</v>
      </c>
      <c r="U38" s="157"/>
      <c r="V38" s="90"/>
      <c r="W38" s="90"/>
      <c r="X38" s="158">
        <f>VLOOKUP(B38,[4]考勤分析!$A:$I,4,FALSE)</f>
        <v>3.1222595356582</v>
      </c>
      <c r="Y38" s="90" t="b">
        <f>VLOOKUP(B38,[4]考勤分析!$A:$I,5,FALSE)</f>
        <v>1</v>
      </c>
      <c r="Z38" s="90">
        <f>VLOOKUP(B38,[4]考勤分析!$A:$I,6,FALSE)</f>
        <v>5</v>
      </c>
      <c r="AA38" s="90">
        <f>VLOOKUP(B38,[4]考勤分析!$A:$I,7,FALSE)</f>
        <v>13</v>
      </c>
      <c r="AB38" s="90">
        <f>VLOOKUP(B38,[4]考勤分析!$A:$I,8,FALSE)</f>
        <v>31</v>
      </c>
      <c r="AC38" s="90">
        <f>VLOOKUP(B38,[4]考勤分析!$A:$I,9,FALSE)</f>
        <v>18</v>
      </c>
      <c r="AD38" s="90">
        <v>0</v>
      </c>
      <c r="AE38" s="90">
        <v>0</v>
      </c>
      <c r="AF38" s="90">
        <v>0</v>
      </c>
      <c r="AG38" s="90">
        <v>0</v>
      </c>
      <c r="AH38" s="90">
        <v>0</v>
      </c>
      <c r="AI38" s="90">
        <v>0</v>
      </c>
      <c r="AJ38" s="90"/>
      <c r="AK38" s="90" t="e">
        <f>VLOOKUP(B38,[3]总表!$B:$W,22,FALSE)</f>
        <v>#N/A</v>
      </c>
      <c r="AL38" s="90">
        <v>3</v>
      </c>
      <c r="AM38" s="90">
        <v>4</v>
      </c>
      <c r="AN38" s="90">
        <v>3</v>
      </c>
      <c r="AO38" s="90">
        <v>3</v>
      </c>
      <c r="AP38" s="90">
        <f t="shared" si="0"/>
        <v>13</v>
      </c>
      <c r="AQ38" s="90" t="s">
        <v>65</v>
      </c>
      <c r="AR38" s="90" t="s">
        <v>208</v>
      </c>
      <c r="AS38" s="166"/>
    </row>
    <row r="39" s="138" customFormat="1" ht="20" customHeight="1" spans="1:45">
      <c r="A39" s="91">
        <v>37</v>
      </c>
      <c r="B39" s="93" t="s">
        <v>209</v>
      </c>
      <c r="C39" s="90" t="s">
        <v>205</v>
      </c>
      <c r="D39" s="91" t="s">
        <v>206</v>
      </c>
      <c r="E39" s="92" t="s">
        <v>68</v>
      </c>
      <c r="F39" s="93">
        <v>3</v>
      </c>
      <c r="G39" s="94" t="s">
        <v>69</v>
      </c>
      <c r="H39" s="94" t="s">
        <v>210</v>
      </c>
      <c r="I39" s="111"/>
      <c r="J39" s="111"/>
      <c r="K39" s="111"/>
      <c r="L39" s="94">
        <v>0</v>
      </c>
      <c r="M39" s="94" t="s">
        <v>207</v>
      </c>
      <c r="N39" s="94" t="s">
        <v>62</v>
      </c>
      <c r="O39" s="90"/>
      <c r="P39" s="90"/>
      <c r="Q39" s="90"/>
      <c r="R39" s="90" t="s">
        <v>211</v>
      </c>
      <c r="S39" s="156">
        <f>VLOOKUP(B39,'[2]62人'!$B:$R,17,FALSE)</f>
        <v>13</v>
      </c>
      <c r="T39" s="37">
        <v>11</v>
      </c>
      <c r="U39" s="157"/>
      <c r="V39" s="90"/>
      <c r="W39" s="90"/>
      <c r="X39" s="158">
        <f>VLOOKUP(B39,[4]考勤分析!$A:$I,4,FALSE)</f>
        <v>1.41259408603054</v>
      </c>
      <c r="Y39" s="90" t="b">
        <f>VLOOKUP(B39,[4]考勤分析!$A:$I,5,FALSE)</f>
        <v>0</v>
      </c>
      <c r="Z39" s="90">
        <f>VLOOKUP(B39,[4]考勤分析!$A:$I,6,FALSE)</f>
        <v>26</v>
      </c>
      <c r="AA39" s="90">
        <f>VLOOKUP(B39,[4]考勤分析!$A:$I,7,FALSE)</f>
        <v>22</v>
      </c>
      <c r="AB39" s="90">
        <f>VLOOKUP(B39,[4]考勤分析!$A:$I,8,FALSE)</f>
        <v>13</v>
      </c>
      <c r="AC39" s="90">
        <f>VLOOKUP(B39,[4]考勤分析!$A:$I,9,FALSE)</f>
        <v>1</v>
      </c>
      <c r="AD39" s="90">
        <v>0</v>
      </c>
      <c r="AE39" s="90">
        <v>0</v>
      </c>
      <c r="AF39" s="90">
        <v>0</v>
      </c>
      <c r="AG39" s="90">
        <v>0</v>
      </c>
      <c r="AH39" s="90">
        <v>0</v>
      </c>
      <c r="AI39" s="90">
        <v>0</v>
      </c>
      <c r="AJ39" s="90"/>
      <c r="AK39" s="90" t="e">
        <f>VLOOKUP(B39,[3]总表!$B:$W,22,FALSE)</f>
        <v>#N/A</v>
      </c>
      <c r="AL39" s="90">
        <v>2</v>
      </c>
      <c r="AM39" s="90">
        <v>2</v>
      </c>
      <c r="AN39" s="90">
        <v>3</v>
      </c>
      <c r="AO39" s="90">
        <v>3</v>
      </c>
      <c r="AP39" s="90">
        <f t="shared" si="0"/>
        <v>10</v>
      </c>
      <c r="AQ39" s="90" t="s">
        <v>65</v>
      </c>
      <c r="AR39" s="90" t="s">
        <v>212</v>
      </c>
      <c r="AS39" s="166"/>
    </row>
    <row r="40" s="138" customFormat="1" ht="60" spans="1:45">
      <c r="A40" s="91">
        <v>38</v>
      </c>
      <c r="B40" s="93" t="s">
        <v>213</v>
      </c>
      <c r="C40" s="90" t="s">
        <v>205</v>
      </c>
      <c r="D40" s="91" t="s">
        <v>214</v>
      </c>
      <c r="E40" s="92" t="s">
        <v>56</v>
      </c>
      <c r="F40" s="93">
        <v>7</v>
      </c>
      <c r="G40" s="94" t="s">
        <v>69</v>
      </c>
      <c r="H40" s="94" t="s">
        <v>194</v>
      </c>
      <c r="I40" s="111" t="s">
        <v>70</v>
      </c>
      <c r="J40" s="111"/>
      <c r="K40" s="111"/>
      <c r="L40" s="94">
        <v>1</v>
      </c>
      <c r="M40" s="94" t="s">
        <v>215</v>
      </c>
      <c r="N40" s="94" t="s">
        <v>62</v>
      </c>
      <c r="O40" s="90" t="s">
        <v>216</v>
      </c>
      <c r="P40" s="90"/>
      <c r="Q40" s="90"/>
      <c r="R40" s="90"/>
      <c r="S40" s="156">
        <f>VLOOKUP(B40,'[2]62人'!$B:$R,17,FALSE)</f>
        <v>15</v>
      </c>
      <c r="T40" s="37">
        <v>5</v>
      </c>
      <c r="U40" s="157"/>
      <c r="V40" s="90"/>
      <c r="W40" s="90"/>
      <c r="X40" s="158">
        <f>VLOOKUP(B40,[4]考勤分析!$A:$I,4,FALSE)</f>
        <v>3.07502314814095</v>
      </c>
      <c r="Y40" s="90" t="b">
        <f>VLOOKUP(B40,[4]考勤分析!$A:$I,5,FALSE)</f>
        <v>1</v>
      </c>
      <c r="Z40" s="90">
        <f>VLOOKUP(B40,[4]考勤分析!$A:$I,6,FALSE)</f>
        <v>4</v>
      </c>
      <c r="AA40" s="90">
        <f>VLOOKUP(B40,[4]考勤分析!$A:$I,7,FALSE)</f>
        <v>11</v>
      </c>
      <c r="AB40" s="90">
        <f>VLOOKUP(B40,[4]考勤分析!$A:$I,8,FALSE)</f>
        <v>29</v>
      </c>
      <c r="AC40" s="90">
        <f>VLOOKUP(B40,[4]考勤分析!$A:$I,9,FALSE)</f>
        <v>16</v>
      </c>
      <c r="AD40" s="90">
        <v>3</v>
      </c>
      <c r="AE40" s="90">
        <v>0</v>
      </c>
      <c r="AF40" s="90">
        <v>0</v>
      </c>
      <c r="AG40" s="90">
        <v>0</v>
      </c>
      <c r="AH40" s="90">
        <v>0</v>
      </c>
      <c r="AI40" s="90">
        <v>0</v>
      </c>
      <c r="AJ40" s="90"/>
      <c r="AK40" s="90" t="e">
        <f>VLOOKUP(B40,[3]总表!$B:$W,22,FALSE)</f>
        <v>#N/A</v>
      </c>
      <c r="AL40" s="90">
        <v>2</v>
      </c>
      <c r="AM40" s="90">
        <v>2</v>
      </c>
      <c r="AN40" s="90">
        <v>2</v>
      </c>
      <c r="AO40" s="90">
        <v>2</v>
      </c>
      <c r="AP40" s="90">
        <f t="shared" si="0"/>
        <v>8</v>
      </c>
      <c r="AQ40" s="90" t="s">
        <v>78</v>
      </c>
      <c r="AR40" s="90" t="s">
        <v>217</v>
      </c>
      <c r="AS40" s="166"/>
    </row>
    <row r="41" s="138" customFormat="1" ht="48" spans="1:45">
      <c r="A41" s="91">
        <v>39</v>
      </c>
      <c r="B41" s="93" t="s">
        <v>218</v>
      </c>
      <c r="C41" s="90" t="s">
        <v>205</v>
      </c>
      <c r="D41" s="91" t="s">
        <v>214</v>
      </c>
      <c r="E41" s="92" t="s">
        <v>68</v>
      </c>
      <c r="F41" s="93">
        <v>14</v>
      </c>
      <c r="G41" s="94" t="s">
        <v>57</v>
      </c>
      <c r="H41" s="94" t="s">
        <v>219</v>
      </c>
      <c r="I41" s="111" t="s">
        <v>59</v>
      </c>
      <c r="J41" s="111"/>
      <c r="K41" s="111"/>
      <c r="L41" s="94">
        <v>1</v>
      </c>
      <c r="M41" s="94" t="s">
        <v>215</v>
      </c>
      <c r="N41" s="94" t="s">
        <v>71</v>
      </c>
      <c r="O41" s="90"/>
      <c r="P41" s="90"/>
      <c r="Q41" s="90"/>
      <c r="R41" s="90" t="s">
        <v>220</v>
      </c>
      <c r="S41" s="156">
        <f>VLOOKUP(B41,'[2]62人'!$B:$R,17,FALSE)</f>
        <v>5</v>
      </c>
      <c r="T41" s="37">
        <v>0</v>
      </c>
      <c r="U41" s="157">
        <v>1</v>
      </c>
      <c r="V41" s="90"/>
      <c r="W41" s="90"/>
      <c r="X41" s="158">
        <f>VLOOKUP(B41,[4]考勤分析!$A:$I,4,FALSE)</f>
        <v>2.80708576997501</v>
      </c>
      <c r="Y41" s="90" t="b">
        <f>VLOOKUP(B41,[4]考勤分析!$A:$I,5,FALSE)</f>
        <v>1</v>
      </c>
      <c r="Z41" s="90">
        <f>VLOOKUP(B41,[4]考勤分析!$A:$I,6,FALSE)</f>
        <v>7</v>
      </c>
      <c r="AA41" s="90">
        <f>VLOOKUP(B41,[4]考勤分析!$A:$I,7,FALSE)</f>
        <v>10</v>
      </c>
      <c r="AB41" s="90">
        <f>VLOOKUP(B41,[4]考勤分析!$A:$I,8,FALSE)</f>
        <v>26</v>
      </c>
      <c r="AC41" s="90">
        <f>VLOOKUP(B41,[4]考勤分析!$A:$I,9,FALSE)</f>
        <v>14</v>
      </c>
      <c r="AD41" s="90">
        <v>1</v>
      </c>
      <c r="AE41" s="90">
        <v>0</v>
      </c>
      <c r="AF41" s="90">
        <v>0</v>
      </c>
      <c r="AG41" s="90">
        <v>0</v>
      </c>
      <c r="AH41" s="90">
        <v>0</v>
      </c>
      <c r="AI41" s="90">
        <v>0</v>
      </c>
      <c r="AJ41" s="90"/>
      <c r="AK41" s="90" t="e">
        <f>VLOOKUP(B41,[3]总表!$B:$W,22,FALSE)</f>
        <v>#N/A</v>
      </c>
      <c r="AL41" s="90">
        <v>1</v>
      </c>
      <c r="AM41" s="90">
        <v>3</v>
      </c>
      <c r="AN41" s="90">
        <v>3</v>
      </c>
      <c r="AO41" s="90">
        <v>2</v>
      </c>
      <c r="AP41" s="90">
        <f t="shared" si="0"/>
        <v>9</v>
      </c>
      <c r="AQ41" s="90" t="s">
        <v>78</v>
      </c>
      <c r="AR41" s="90"/>
      <c r="AS41" s="166"/>
    </row>
    <row r="42" s="138" customFormat="1" ht="20" customHeight="1" spans="1:45">
      <c r="A42" s="91">
        <v>40</v>
      </c>
      <c r="B42" s="93" t="s">
        <v>221</v>
      </c>
      <c r="C42" s="90" t="s">
        <v>189</v>
      </c>
      <c r="D42" s="91" t="s">
        <v>222</v>
      </c>
      <c r="E42" s="92" t="s">
        <v>68</v>
      </c>
      <c r="F42" s="93">
        <v>6</v>
      </c>
      <c r="G42" s="94" t="s">
        <v>69</v>
      </c>
      <c r="H42" s="94" t="s">
        <v>201</v>
      </c>
      <c r="I42" s="111" t="s">
        <v>59</v>
      </c>
      <c r="J42" s="111"/>
      <c r="K42" s="111"/>
      <c r="L42" s="94">
        <v>0</v>
      </c>
      <c r="M42" s="94" t="s">
        <v>61</v>
      </c>
      <c r="N42" s="94" t="s">
        <v>62</v>
      </c>
      <c r="O42" s="90" t="s">
        <v>223</v>
      </c>
      <c r="P42" s="90"/>
      <c r="Q42" s="90"/>
      <c r="R42" s="90" t="s">
        <v>224</v>
      </c>
      <c r="S42" s="156">
        <f>VLOOKUP(B42,'[2]62人'!$B:$R,17,FALSE)</f>
        <v>17</v>
      </c>
      <c r="T42" s="37">
        <v>27</v>
      </c>
      <c r="U42" s="157"/>
      <c r="V42" s="90"/>
      <c r="W42" s="90">
        <v>1</v>
      </c>
      <c r="X42" s="158">
        <f>VLOOKUP(B42,[4]考勤分析!$A:$I,4,FALSE)</f>
        <v>1.82060931899281</v>
      </c>
      <c r="Y42" s="90" t="b">
        <f>VLOOKUP(B42,[4]考勤分析!$A:$I,5,FALSE)</f>
        <v>0</v>
      </c>
      <c r="Z42" s="90">
        <f>VLOOKUP(B42,[4]考勤分析!$A:$I,6,FALSE)</f>
        <v>14</v>
      </c>
      <c r="AA42" s="90">
        <f>VLOOKUP(B42,[4]考勤分析!$A:$I,7,FALSE)</f>
        <v>22</v>
      </c>
      <c r="AB42" s="90">
        <f>VLOOKUP(B42,[4]考勤分析!$A:$I,8,FALSE)</f>
        <v>24</v>
      </c>
      <c r="AC42" s="90">
        <f>VLOOKUP(B42,[4]考勤分析!$A:$I,9,FALSE)</f>
        <v>2</v>
      </c>
      <c r="AD42" s="90">
        <v>1</v>
      </c>
      <c r="AE42" s="90">
        <v>0</v>
      </c>
      <c r="AF42" s="90">
        <v>0</v>
      </c>
      <c r="AG42" s="90">
        <v>2</v>
      </c>
      <c r="AH42" s="90">
        <v>0</v>
      </c>
      <c r="AI42" s="90">
        <v>0</v>
      </c>
      <c r="AJ42" s="90"/>
      <c r="AK42" s="90" t="str">
        <f>VLOOKUP(B42,[3]总表!$B:$W,22,FALSE)</f>
        <v>适中</v>
      </c>
      <c r="AL42" s="90">
        <v>2</v>
      </c>
      <c r="AM42" s="90">
        <v>3</v>
      </c>
      <c r="AN42" s="90">
        <v>3</v>
      </c>
      <c r="AO42" s="90">
        <v>3</v>
      </c>
      <c r="AP42" s="90">
        <f t="shared" si="0"/>
        <v>11</v>
      </c>
      <c r="AQ42" s="90" t="s">
        <v>72</v>
      </c>
      <c r="AR42" s="90" t="s">
        <v>225</v>
      </c>
      <c r="AS42" s="166"/>
    </row>
    <row r="43" s="138" customFormat="1" ht="24" spans="1:45">
      <c r="A43" s="91">
        <v>41</v>
      </c>
      <c r="B43" s="93" t="s">
        <v>226</v>
      </c>
      <c r="C43" s="90" t="s">
        <v>189</v>
      </c>
      <c r="D43" s="91" t="s">
        <v>222</v>
      </c>
      <c r="E43" s="92" t="s">
        <v>56</v>
      </c>
      <c r="F43" s="93">
        <v>3</v>
      </c>
      <c r="G43" s="94" t="s">
        <v>69</v>
      </c>
      <c r="H43" s="94" t="s">
        <v>201</v>
      </c>
      <c r="I43" s="111"/>
      <c r="J43" s="111"/>
      <c r="K43" s="111"/>
      <c r="L43" s="94">
        <v>0</v>
      </c>
      <c r="M43" s="94" t="s">
        <v>61</v>
      </c>
      <c r="N43" s="94" t="s">
        <v>62</v>
      </c>
      <c r="O43" s="90"/>
      <c r="P43" s="90"/>
      <c r="Q43" s="90"/>
      <c r="R43" s="90"/>
      <c r="S43" s="156">
        <f>VLOOKUP(B43,'[2]62人'!$B:$R,17,FALSE)</f>
        <v>19</v>
      </c>
      <c r="T43" s="37">
        <v>6</v>
      </c>
      <c r="U43" s="157"/>
      <c r="V43" s="90"/>
      <c r="W43" s="90"/>
      <c r="X43" s="158">
        <f>VLOOKUP(B43,[4]考勤分析!$A:$I,4,FALSE)</f>
        <v>1.55629774304998</v>
      </c>
      <c r="Y43" s="90" t="b">
        <f>VLOOKUP(B43,[4]考勤分析!$A:$I,5,FALSE)</f>
        <v>0</v>
      </c>
      <c r="Z43" s="90">
        <f>VLOOKUP(B43,[4]考勤分析!$A:$I,6,FALSE)</f>
        <v>27</v>
      </c>
      <c r="AA43" s="90">
        <f>VLOOKUP(B43,[4]考勤分析!$A:$I,7,FALSE)</f>
        <v>21</v>
      </c>
      <c r="AB43" s="90">
        <f>VLOOKUP(B43,[4]考勤分析!$A:$I,8,FALSE)</f>
        <v>12</v>
      </c>
      <c r="AC43" s="90">
        <f>VLOOKUP(B43,[4]考勤分析!$A:$I,9,FALSE)</f>
        <v>4</v>
      </c>
      <c r="AD43" s="90">
        <v>1</v>
      </c>
      <c r="AE43" s="90">
        <v>0</v>
      </c>
      <c r="AF43" s="90">
        <v>1</v>
      </c>
      <c r="AG43" s="90">
        <v>1</v>
      </c>
      <c r="AH43" s="90">
        <v>0</v>
      </c>
      <c r="AI43" s="90">
        <v>9</v>
      </c>
      <c r="AJ43" s="90"/>
      <c r="AK43" s="90" t="str">
        <f>VLOOKUP(B43,[3]总表!$B:$W,22,FALSE)</f>
        <v>适中</v>
      </c>
      <c r="AL43" s="90">
        <v>1</v>
      </c>
      <c r="AM43" s="90">
        <v>2</v>
      </c>
      <c r="AN43" s="90">
        <v>2</v>
      </c>
      <c r="AO43" s="90">
        <v>2</v>
      </c>
      <c r="AP43" s="90">
        <f t="shared" si="0"/>
        <v>7</v>
      </c>
      <c r="AQ43" s="90" t="s">
        <v>78</v>
      </c>
      <c r="AR43" s="90" t="s">
        <v>119</v>
      </c>
      <c r="AS43" s="166"/>
    </row>
    <row r="44" s="138" customFormat="1" ht="20" customHeight="1" spans="1:45">
      <c r="A44" s="91">
        <v>42</v>
      </c>
      <c r="B44" s="93" t="s">
        <v>227</v>
      </c>
      <c r="C44" s="90" t="s">
        <v>54</v>
      </c>
      <c r="D44" s="90" t="s">
        <v>228</v>
      </c>
      <c r="E44" s="92" t="s">
        <v>68</v>
      </c>
      <c r="F44" s="93">
        <v>7</v>
      </c>
      <c r="G44" s="94" t="s">
        <v>69</v>
      </c>
      <c r="H44" s="94" t="s">
        <v>229</v>
      </c>
      <c r="I44" s="111" t="s">
        <v>70</v>
      </c>
      <c r="J44" s="111"/>
      <c r="K44" s="111"/>
      <c r="L44" s="94">
        <v>0</v>
      </c>
      <c r="M44" s="94" t="s">
        <v>61</v>
      </c>
      <c r="N44" s="94" t="s">
        <v>62</v>
      </c>
      <c r="O44" s="90"/>
      <c r="P44" s="90"/>
      <c r="Q44" s="90"/>
      <c r="R44" s="90"/>
      <c r="S44" s="156">
        <f>VLOOKUP(B44,'[2]62人'!$B:$R,17,FALSE)</f>
        <v>9</v>
      </c>
      <c r="T44" s="37">
        <v>12</v>
      </c>
      <c r="U44" s="157">
        <v>1</v>
      </c>
      <c r="V44" s="90"/>
      <c r="W44" s="90">
        <v>2</v>
      </c>
      <c r="X44" s="158">
        <f>VLOOKUP(B44,[4]考勤分析!$A:$I,4,FALSE)</f>
        <v>3.16831723027407</v>
      </c>
      <c r="Y44" s="90" t="b">
        <f>VLOOKUP(B44,[4]考勤分析!$A:$I,5,FALSE)</f>
        <v>1</v>
      </c>
      <c r="Z44" s="90">
        <f>VLOOKUP(B44,[4]考勤分析!$A:$I,6,FALSE)</f>
        <v>9</v>
      </c>
      <c r="AA44" s="90">
        <f>VLOOKUP(B44,[4]考勤分析!$A:$I,7,FALSE)</f>
        <v>19</v>
      </c>
      <c r="AB44" s="90">
        <f>VLOOKUP(B44,[4]考勤分析!$A:$I,8,FALSE)</f>
        <v>28</v>
      </c>
      <c r="AC44" s="90">
        <f>VLOOKUP(B44,[4]考勤分析!$A:$I,9,FALSE)</f>
        <v>13</v>
      </c>
      <c r="AD44" s="90">
        <v>0</v>
      </c>
      <c r="AE44" s="90">
        <v>3</v>
      </c>
      <c r="AF44" s="90">
        <v>0</v>
      </c>
      <c r="AG44" s="90">
        <v>1</v>
      </c>
      <c r="AH44" s="90">
        <v>0</v>
      </c>
      <c r="AI44" s="90">
        <v>0</v>
      </c>
      <c r="AJ44" s="90"/>
      <c r="AK44" s="90" t="str">
        <f>VLOOKUP(B44,[3]总表!$B:$W,22,FALSE)</f>
        <v>超负荷</v>
      </c>
      <c r="AL44" s="90">
        <v>1</v>
      </c>
      <c r="AM44" s="90">
        <v>3</v>
      </c>
      <c r="AN44" s="90">
        <v>3</v>
      </c>
      <c r="AO44" s="90">
        <v>3</v>
      </c>
      <c r="AP44" s="90">
        <f t="shared" ref="AP44:AP64" si="1">SUM(AL44:AO44)</f>
        <v>10</v>
      </c>
      <c r="AQ44" s="90" t="s">
        <v>72</v>
      </c>
      <c r="AR44" s="90"/>
      <c r="AS44" s="166"/>
    </row>
    <row r="45" s="138" customFormat="1" ht="20" customHeight="1" spans="1:45">
      <c r="A45" s="91">
        <v>43</v>
      </c>
      <c r="B45" s="93" t="s">
        <v>230</v>
      </c>
      <c r="C45" s="90" t="s">
        <v>205</v>
      </c>
      <c r="D45" s="90" t="s">
        <v>214</v>
      </c>
      <c r="E45" s="92" t="s">
        <v>68</v>
      </c>
      <c r="F45" s="93">
        <v>6</v>
      </c>
      <c r="G45" s="94" t="s">
        <v>69</v>
      </c>
      <c r="H45" s="94" t="s">
        <v>167</v>
      </c>
      <c r="I45" s="111" t="s">
        <v>70</v>
      </c>
      <c r="J45" s="111"/>
      <c r="K45" s="111"/>
      <c r="L45" s="94">
        <v>2</v>
      </c>
      <c r="M45" s="94" t="s">
        <v>61</v>
      </c>
      <c r="N45" s="94" t="s">
        <v>62</v>
      </c>
      <c r="O45" s="90" t="s">
        <v>231</v>
      </c>
      <c r="P45" s="90"/>
      <c r="Q45" s="90" t="s">
        <v>232</v>
      </c>
      <c r="R45" s="90"/>
      <c r="S45" s="156">
        <f>VLOOKUP(B45,'[2]62人'!$B:$R,17,FALSE)</f>
        <v>12</v>
      </c>
      <c r="T45" s="37">
        <v>0</v>
      </c>
      <c r="U45" s="157"/>
      <c r="V45" s="90"/>
      <c r="W45" s="90">
        <v>1</v>
      </c>
      <c r="X45" s="158">
        <f>VLOOKUP(B45,[4]考勤分析!$A:$I,4,FALSE)</f>
        <v>1.81934210526647</v>
      </c>
      <c r="Y45" s="90" t="b">
        <f>VLOOKUP(B45,[4]考勤分析!$A:$I,5,FALSE)</f>
        <v>0</v>
      </c>
      <c r="Z45" s="90">
        <f>VLOOKUP(B45,[4]考勤分析!$A:$I,6,FALSE)</f>
        <v>21</v>
      </c>
      <c r="AA45" s="90">
        <f>VLOOKUP(B45,[4]考勤分析!$A:$I,7,FALSE)</f>
        <v>13</v>
      </c>
      <c r="AB45" s="90">
        <f>VLOOKUP(B45,[4]考勤分析!$A:$I,8,FALSE)</f>
        <v>19</v>
      </c>
      <c r="AC45" s="90">
        <f>VLOOKUP(B45,[4]考勤分析!$A:$I,9,FALSE)</f>
        <v>4</v>
      </c>
      <c r="AD45" s="90">
        <v>3</v>
      </c>
      <c r="AE45" s="90">
        <v>15</v>
      </c>
      <c r="AF45" s="90">
        <v>1</v>
      </c>
      <c r="AG45" s="90">
        <v>1</v>
      </c>
      <c r="AH45" s="90">
        <v>0</v>
      </c>
      <c r="AI45" s="90">
        <v>10</v>
      </c>
      <c r="AJ45" s="90"/>
      <c r="AK45" s="90" t="str">
        <f>VLOOKUP(B45,[3]总表!$B:$W,22,FALSE)</f>
        <v>超负荷</v>
      </c>
      <c r="AL45" s="90">
        <v>1</v>
      </c>
      <c r="AM45" s="90">
        <v>3</v>
      </c>
      <c r="AN45" s="90">
        <v>3</v>
      </c>
      <c r="AO45" s="90">
        <v>2</v>
      </c>
      <c r="AP45" s="90">
        <f t="shared" si="1"/>
        <v>9</v>
      </c>
      <c r="AQ45" s="90" t="s">
        <v>72</v>
      </c>
      <c r="AR45" s="90"/>
      <c r="AS45" s="166"/>
    </row>
    <row r="46" s="138" customFormat="1" ht="20" customHeight="1" spans="1:45">
      <c r="A46" s="91">
        <v>44</v>
      </c>
      <c r="B46" s="93" t="s">
        <v>233</v>
      </c>
      <c r="C46" s="90" t="s">
        <v>54</v>
      </c>
      <c r="D46" s="90" t="s">
        <v>228</v>
      </c>
      <c r="E46" s="92" t="s">
        <v>68</v>
      </c>
      <c r="F46" s="93">
        <v>6</v>
      </c>
      <c r="G46" s="94" t="s">
        <v>69</v>
      </c>
      <c r="H46" s="94" t="s">
        <v>201</v>
      </c>
      <c r="I46" s="111" t="s">
        <v>70</v>
      </c>
      <c r="J46" s="111"/>
      <c r="K46" s="111"/>
      <c r="L46" s="94">
        <v>0</v>
      </c>
      <c r="M46" s="94" t="s">
        <v>61</v>
      </c>
      <c r="N46" s="94" t="s">
        <v>62</v>
      </c>
      <c r="O46" s="90"/>
      <c r="P46" s="90"/>
      <c r="Q46" s="90"/>
      <c r="R46" s="90"/>
      <c r="S46" s="156">
        <f>VLOOKUP(B46,'[2]62人'!$B:$R,17,FALSE)</f>
        <v>14</v>
      </c>
      <c r="T46" s="37">
        <v>0</v>
      </c>
      <c r="U46" s="157"/>
      <c r="V46" s="90"/>
      <c r="W46" s="90">
        <v>2</v>
      </c>
      <c r="X46" s="158">
        <f>VLOOKUP(B46,[4]考勤分析!$A:$I,4,FALSE)</f>
        <v>2.30371632996883</v>
      </c>
      <c r="Y46" s="90" t="b">
        <f>VLOOKUP(B46,[4]考勤分析!$A:$I,5,FALSE)</f>
        <v>0</v>
      </c>
      <c r="Z46" s="90">
        <f>VLOOKUP(B46,[4]考勤分析!$A:$I,6,FALSE)</f>
        <v>12</v>
      </c>
      <c r="AA46" s="90">
        <f>VLOOKUP(B46,[4]考勤分析!$A:$I,7,FALSE)</f>
        <v>35</v>
      </c>
      <c r="AB46" s="90">
        <f>VLOOKUP(B46,[4]考勤分析!$A:$I,8,FALSE)</f>
        <v>10</v>
      </c>
      <c r="AC46" s="90">
        <f>VLOOKUP(B46,[4]考勤分析!$A:$I,9,FALSE)</f>
        <v>9</v>
      </c>
      <c r="AD46" s="90">
        <v>0</v>
      </c>
      <c r="AE46" s="90">
        <v>0</v>
      </c>
      <c r="AF46" s="90">
        <v>0</v>
      </c>
      <c r="AG46" s="90">
        <v>1</v>
      </c>
      <c r="AH46" s="90">
        <v>4</v>
      </c>
      <c r="AI46" s="90">
        <v>7</v>
      </c>
      <c r="AJ46" s="90"/>
      <c r="AK46" s="90" t="str">
        <f>VLOOKUP(B46,[3]总表!$B:$W,22,FALSE)</f>
        <v>适中</v>
      </c>
      <c r="AL46" s="90">
        <v>1</v>
      </c>
      <c r="AM46" s="90">
        <v>3</v>
      </c>
      <c r="AN46" s="90">
        <v>3</v>
      </c>
      <c r="AO46" s="90">
        <v>2</v>
      </c>
      <c r="AP46" s="90">
        <f t="shared" si="1"/>
        <v>9</v>
      </c>
      <c r="AQ46" s="90" t="s">
        <v>72</v>
      </c>
      <c r="AR46" s="90"/>
      <c r="AS46" s="166"/>
    </row>
    <row r="47" s="138" customFormat="1" ht="20" customHeight="1" spans="1:45">
      <c r="A47" s="91">
        <v>45</v>
      </c>
      <c r="B47" s="93" t="s">
        <v>234</v>
      </c>
      <c r="C47" s="90" t="s">
        <v>54</v>
      </c>
      <c r="D47" s="90" t="s">
        <v>228</v>
      </c>
      <c r="E47" s="92" t="s">
        <v>68</v>
      </c>
      <c r="F47" s="93">
        <v>4</v>
      </c>
      <c r="G47" s="94" t="s">
        <v>69</v>
      </c>
      <c r="H47" s="94" t="s">
        <v>235</v>
      </c>
      <c r="I47" s="111" t="s">
        <v>70</v>
      </c>
      <c r="J47" s="111"/>
      <c r="K47" s="111"/>
      <c r="L47" s="94">
        <v>0</v>
      </c>
      <c r="M47" s="94" t="s">
        <v>61</v>
      </c>
      <c r="N47" s="94" t="s">
        <v>62</v>
      </c>
      <c r="O47" s="90"/>
      <c r="P47" s="90"/>
      <c r="Q47" s="90"/>
      <c r="R47" s="90"/>
      <c r="S47" s="156">
        <f>VLOOKUP(B47,'[2]62人'!$B:$R,17,FALSE)</f>
        <v>12</v>
      </c>
      <c r="T47" s="37">
        <v>0</v>
      </c>
      <c r="U47" s="157"/>
      <c r="V47" s="90"/>
      <c r="W47" s="90"/>
      <c r="X47" s="158">
        <f>VLOOKUP(B47,[4]考勤分析!$A:$I,4,FALSE)</f>
        <v>3.76056818179451</v>
      </c>
      <c r="Y47" s="90" t="b">
        <f>VLOOKUP(B47,[4]考勤分析!$A:$I,5,FALSE)</f>
        <v>1</v>
      </c>
      <c r="Z47" s="90">
        <f>VLOOKUP(B47,[4]考勤分析!$A:$I,6,FALSE)</f>
        <v>6</v>
      </c>
      <c r="AA47" s="90">
        <f>VLOOKUP(B47,[4]考勤分析!$A:$I,7,FALSE)</f>
        <v>4</v>
      </c>
      <c r="AB47" s="90">
        <f>VLOOKUP(B47,[4]考勤分析!$A:$I,8,FALSE)</f>
        <v>37</v>
      </c>
      <c r="AC47" s="90">
        <f>VLOOKUP(B47,[4]考勤分析!$A:$I,9,FALSE)</f>
        <v>19</v>
      </c>
      <c r="AD47" s="90">
        <v>1</v>
      </c>
      <c r="AE47" s="90">
        <v>3</v>
      </c>
      <c r="AF47" s="90">
        <v>1</v>
      </c>
      <c r="AG47" s="90">
        <v>1</v>
      </c>
      <c r="AH47" s="90">
        <v>8</v>
      </c>
      <c r="AI47" s="90">
        <v>9</v>
      </c>
      <c r="AJ47" s="90"/>
      <c r="AK47" s="90" t="str">
        <f>VLOOKUP(B47,[3]总表!$B:$W,22,FALSE)</f>
        <v>超负荷</v>
      </c>
      <c r="AL47" s="90">
        <v>1</v>
      </c>
      <c r="AM47" s="90">
        <v>3</v>
      </c>
      <c r="AN47" s="90">
        <v>3</v>
      </c>
      <c r="AO47" s="90">
        <v>2</v>
      </c>
      <c r="AP47" s="90">
        <f t="shared" si="1"/>
        <v>9</v>
      </c>
      <c r="AQ47" s="90" t="s">
        <v>134</v>
      </c>
      <c r="AR47" s="90"/>
      <c r="AS47" s="166"/>
    </row>
    <row r="48" s="138" customFormat="1" ht="36" spans="1:45">
      <c r="A48" s="91">
        <v>46</v>
      </c>
      <c r="B48" s="93" t="s">
        <v>236</v>
      </c>
      <c r="C48" s="90" t="s">
        <v>54</v>
      </c>
      <c r="D48" s="90" t="s">
        <v>93</v>
      </c>
      <c r="E48" s="92" t="s">
        <v>56</v>
      </c>
      <c r="F48" s="93">
        <v>3</v>
      </c>
      <c r="G48" s="94" t="s">
        <v>57</v>
      </c>
      <c r="H48" s="94" t="s">
        <v>81</v>
      </c>
      <c r="I48" s="111" t="s">
        <v>70</v>
      </c>
      <c r="J48" s="111"/>
      <c r="K48" s="111"/>
      <c r="L48" s="94">
        <v>1</v>
      </c>
      <c r="M48" s="94" t="s">
        <v>61</v>
      </c>
      <c r="N48" s="94" t="s">
        <v>62</v>
      </c>
      <c r="O48" s="90"/>
      <c r="P48" s="90"/>
      <c r="Q48" s="90"/>
      <c r="R48" s="90" t="s">
        <v>77</v>
      </c>
      <c r="S48" s="156">
        <f>VLOOKUP(B48,'[2]62人'!$B:$R,17,FALSE)</f>
        <v>15</v>
      </c>
      <c r="T48" s="37">
        <v>0</v>
      </c>
      <c r="U48" s="157"/>
      <c r="V48" s="90"/>
      <c r="W48" s="90">
        <v>1</v>
      </c>
      <c r="X48" s="158">
        <f>VLOOKUP(B48,[4]考勤分析!$A:$I,4,FALSE)</f>
        <v>2.75849616858639</v>
      </c>
      <c r="Y48" s="90" t="b">
        <f>VLOOKUP(B48,[4]考勤分析!$A:$I,5,FALSE)</f>
        <v>1</v>
      </c>
      <c r="Z48" s="90">
        <f>VLOOKUP(B48,[4]考勤分析!$A:$I,6,FALSE)</f>
        <v>7</v>
      </c>
      <c r="AA48" s="90">
        <f>VLOOKUP(B48,[4]考勤分析!$A:$I,7,FALSE)</f>
        <v>11</v>
      </c>
      <c r="AB48" s="90">
        <f>VLOOKUP(B48,[4]考勤分析!$A:$I,8,FALSE)</f>
        <v>31</v>
      </c>
      <c r="AC48" s="90">
        <f>VLOOKUP(B48,[4]考勤分析!$A:$I,9,FALSE)</f>
        <v>9</v>
      </c>
      <c r="AD48" s="90">
        <v>0</v>
      </c>
      <c r="AE48" s="90">
        <v>1</v>
      </c>
      <c r="AF48" s="90">
        <v>0</v>
      </c>
      <c r="AG48" s="90">
        <v>1</v>
      </c>
      <c r="AH48" s="90">
        <v>15</v>
      </c>
      <c r="AI48" s="90">
        <v>10</v>
      </c>
      <c r="AJ48" s="90"/>
      <c r="AK48" s="90" t="str">
        <f>VLOOKUP(B48,[3]总表!$B:$W,22,FALSE)</f>
        <v>超负荷</v>
      </c>
      <c r="AL48" s="90">
        <v>2</v>
      </c>
      <c r="AM48" s="90">
        <v>3</v>
      </c>
      <c r="AN48" s="90">
        <v>4</v>
      </c>
      <c r="AO48" s="90">
        <v>2</v>
      </c>
      <c r="AP48" s="90">
        <f t="shared" si="1"/>
        <v>11</v>
      </c>
      <c r="AQ48" s="90" t="s">
        <v>72</v>
      </c>
      <c r="AR48" s="90"/>
      <c r="AS48" s="166"/>
    </row>
    <row r="49" s="138" customFormat="1" ht="20" customHeight="1" spans="1:45">
      <c r="A49" s="91">
        <v>47</v>
      </c>
      <c r="B49" s="93" t="s">
        <v>237</v>
      </c>
      <c r="C49" s="90" t="s">
        <v>54</v>
      </c>
      <c r="D49" s="90" t="s">
        <v>93</v>
      </c>
      <c r="E49" s="92" t="s">
        <v>56</v>
      </c>
      <c r="F49" s="93">
        <v>4</v>
      </c>
      <c r="G49" s="94" t="s">
        <v>57</v>
      </c>
      <c r="H49" s="94" t="s">
        <v>81</v>
      </c>
      <c r="I49" s="111" t="s">
        <v>70</v>
      </c>
      <c r="J49" s="111"/>
      <c r="K49" s="111"/>
      <c r="L49" s="94">
        <v>0</v>
      </c>
      <c r="M49" s="94" t="s">
        <v>61</v>
      </c>
      <c r="N49" s="94" t="s">
        <v>62</v>
      </c>
      <c r="O49" s="90"/>
      <c r="P49" s="90"/>
      <c r="Q49" s="90"/>
      <c r="R49" s="90"/>
      <c r="S49" s="156">
        <f>VLOOKUP(B49,'[2]62人'!$B:$R,17,FALSE)</f>
        <v>17</v>
      </c>
      <c r="T49" s="37">
        <v>0</v>
      </c>
      <c r="U49" s="157"/>
      <c r="V49" s="90"/>
      <c r="W49" s="90"/>
      <c r="X49" s="158">
        <f>VLOOKUP(B49,[4]考勤分析!$A:$I,4,FALSE)</f>
        <v>2.29612874781014</v>
      </c>
      <c r="Y49" s="90" t="b">
        <f>VLOOKUP(B49,[4]考勤分析!$A:$I,5,FALSE)</f>
        <v>0</v>
      </c>
      <c r="Z49" s="90">
        <f>VLOOKUP(B49,[4]考勤分析!$A:$I,6,FALSE)</f>
        <v>5</v>
      </c>
      <c r="AA49" s="90">
        <f>VLOOKUP(B49,[4]考勤分析!$A:$I,7,FALSE)</f>
        <v>38</v>
      </c>
      <c r="AB49" s="90">
        <f>VLOOKUP(B49,[4]考勤分析!$A:$I,8,FALSE)</f>
        <v>13</v>
      </c>
      <c r="AC49" s="90">
        <f>VLOOKUP(B49,[4]考勤分析!$A:$I,9,FALSE)</f>
        <v>7</v>
      </c>
      <c r="AD49" s="90">
        <v>0</v>
      </c>
      <c r="AE49" s="90">
        <v>8</v>
      </c>
      <c r="AF49" s="90">
        <v>0</v>
      </c>
      <c r="AG49" s="90">
        <v>1</v>
      </c>
      <c r="AH49" s="90">
        <v>20</v>
      </c>
      <c r="AI49" s="90">
        <v>19</v>
      </c>
      <c r="AJ49" s="90"/>
      <c r="AK49" s="90" t="str">
        <f>VLOOKUP(B49,[3]总表!$B:$W,22,FALSE)</f>
        <v>超负荷</v>
      </c>
      <c r="AL49" s="90">
        <v>2</v>
      </c>
      <c r="AM49" s="90">
        <v>3</v>
      </c>
      <c r="AN49" s="90">
        <v>3</v>
      </c>
      <c r="AO49" s="90">
        <v>2</v>
      </c>
      <c r="AP49" s="90">
        <f t="shared" si="1"/>
        <v>10</v>
      </c>
      <c r="AQ49" s="90" t="s">
        <v>134</v>
      </c>
      <c r="AR49" s="90"/>
      <c r="AS49" s="166"/>
    </row>
    <row r="50" s="138" customFormat="1" ht="20" customHeight="1" spans="1:45">
      <c r="A50" s="91">
        <v>48</v>
      </c>
      <c r="B50" s="93" t="s">
        <v>238</v>
      </c>
      <c r="C50" s="90" t="s">
        <v>54</v>
      </c>
      <c r="D50" s="90" t="s">
        <v>228</v>
      </c>
      <c r="E50" s="92" t="s">
        <v>56</v>
      </c>
      <c r="F50" s="93">
        <v>8</v>
      </c>
      <c r="G50" s="94" t="s">
        <v>57</v>
      </c>
      <c r="H50" s="94" t="s">
        <v>239</v>
      </c>
      <c r="I50" s="111" t="s">
        <v>70</v>
      </c>
      <c r="J50" s="111"/>
      <c r="K50" s="111"/>
      <c r="L50" s="94">
        <v>0</v>
      </c>
      <c r="M50" s="94" t="s">
        <v>61</v>
      </c>
      <c r="N50" s="94" t="s">
        <v>71</v>
      </c>
      <c r="O50" s="90"/>
      <c r="P50" s="90"/>
      <c r="Q50" s="90"/>
      <c r="R50" s="90"/>
      <c r="S50" s="156">
        <f>VLOOKUP(B50,'[2]62人'!$B:$R,17,FALSE)</f>
        <v>14</v>
      </c>
      <c r="T50" s="37">
        <v>4</v>
      </c>
      <c r="U50" s="157"/>
      <c r="V50" s="90"/>
      <c r="W50" s="90">
        <v>1</v>
      </c>
      <c r="X50" s="158">
        <f>VLOOKUP(B50,[4]考勤分析!$A:$I,4,FALSE)</f>
        <v>3.53421717170965</v>
      </c>
      <c r="Y50" s="90" t="b">
        <f>VLOOKUP(B50,[4]考勤分析!$A:$I,5,FALSE)</f>
        <v>1</v>
      </c>
      <c r="Z50" s="90">
        <f>VLOOKUP(B50,[4]考勤分析!$A:$I,6,FALSE)</f>
        <v>7</v>
      </c>
      <c r="AA50" s="90">
        <f>VLOOKUP(B50,[4]考勤分析!$A:$I,7,FALSE)</f>
        <v>5</v>
      </c>
      <c r="AB50" s="90">
        <f>VLOOKUP(B50,[4]考勤分析!$A:$I,8,FALSE)</f>
        <v>43</v>
      </c>
      <c r="AC50" s="90">
        <f>VLOOKUP(B50,[4]考勤分析!$A:$I,9,FALSE)</f>
        <v>11</v>
      </c>
      <c r="AD50" s="90">
        <v>0</v>
      </c>
      <c r="AE50" s="90">
        <v>1</v>
      </c>
      <c r="AF50" s="90">
        <v>0</v>
      </c>
      <c r="AG50" s="90">
        <v>1</v>
      </c>
      <c r="AH50" s="90">
        <v>10</v>
      </c>
      <c r="AI50" s="90">
        <v>13</v>
      </c>
      <c r="AJ50" s="90"/>
      <c r="AK50" s="90" t="str">
        <f>VLOOKUP(B50,[3]总表!$B:$W,22,FALSE)</f>
        <v>超负荷</v>
      </c>
      <c r="AL50" s="90">
        <v>1</v>
      </c>
      <c r="AM50" s="90">
        <v>3</v>
      </c>
      <c r="AN50" s="90">
        <v>3</v>
      </c>
      <c r="AO50" s="90">
        <v>2</v>
      </c>
      <c r="AP50" s="90">
        <f t="shared" si="1"/>
        <v>9</v>
      </c>
      <c r="AQ50" s="90" t="s">
        <v>72</v>
      </c>
      <c r="AR50" s="90"/>
      <c r="AS50" s="166"/>
    </row>
    <row r="51" s="138" customFormat="1" ht="20" customHeight="1" spans="1:45">
      <c r="A51" s="91">
        <v>49</v>
      </c>
      <c r="B51" s="93" t="s">
        <v>240</v>
      </c>
      <c r="C51" s="90" t="s">
        <v>98</v>
      </c>
      <c r="D51" s="90" t="s">
        <v>121</v>
      </c>
      <c r="E51" s="92" t="s">
        <v>56</v>
      </c>
      <c r="F51" s="93">
        <v>4</v>
      </c>
      <c r="G51" s="94" t="s">
        <v>69</v>
      </c>
      <c r="H51" s="94" t="s">
        <v>201</v>
      </c>
      <c r="I51" s="111" t="s">
        <v>70</v>
      </c>
      <c r="J51" s="111" t="s">
        <v>60</v>
      </c>
      <c r="K51" s="111">
        <v>3</v>
      </c>
      <c r="L51" s="94">
        <v>1</v>
      </c>
      <c r="M51" s="94" t="s">
        <v>61</v>
      </c>
      <c r="N51" s="94" t="s">
        <v>62</v>
      </c>
      <c r="O51" s="90"/>
      <c r="P51" s="90"/>
      <c r="Q51" s="90"/>
      <c r="R51" s="90"/>
      <c r="S51" s="156">
        <f>VLOOKUP(B51,'[2]62人'!$B:$R,17,FALSE)</f>
        <v>14</v>
      </c>
      <c r="T51" s="37">
        <v>0</v>
      </c>
      <c r="U51" s="157"/>
      <c r="V51" s="90"/>
      <c r="W51" s="90"/>
      <c r="X51" s="158">
        <f>VLOOKUP(B51,[4]考勤分析!$A:$I,4,FALSE)</f>
        <v>2.65690860213832</v>
      </c>
      <c r="Y51" s="90" t="b">
        <f>VLOOKUP(B51,[4]考勤分析!$A:$I,5,FALSE)</f>
        <v>1</v>
      </c>
      <c r="Z51" s="90">
        <f>VLOOKUP(B51,[4]考勤分析!$A:$I,6,FALSE)</f>
        <v>15</v>
      </c>
      <c r="AA51" s="90">
        <f>VLOOKUP(B51,[4]考勤分析!$A:$I,7,FALSE)</f>
        <v>2</v>
      </c>
      <c r="AB51" s="90">
        <f>VLOOKUP(B51,[4]考勤分析!$A:$I,8,FALSE)</f>
        <v>29</v>
      </c>
      <c r="AC51" s="90">
        <f>VLOOKUP(B51,[4]考勤分析!$A:$I,9,FALSE)</f>
        <v>16</v>
      </c>
      <c r="AD51" s="90">
        <v>0</v>
      </c>
      <c r="AE51" s="90">
        <v>0</v>
      </c>
      <c r="AF51" s="90">
        <v>1</v>
      </c>
      <c r="AG51" s="90">
        <v>1</v>
      </c>
      <c r="AH51" s="90">
        <v>8</v>
      </c>
      <c r="AI51" s="90">
        <v>10</v>
      </c>
      <c r="AJ51" s="90"/>
      <c r="AK51" s="90" t="str">
        <f>VLOOKUP(B51,[3]总表!$B:$W,22,FALSE)</f>
        <v>适中</v>
      </c>
      <c r="AL51" s="90">
        <v>2</v>
      </c>
      <c r="AM51" s="90">
        <v>3</v>
      </c>
      <c r="AN51" s="90">
        <v>4</v>
      </c>
      <c r="AO51" s="90">
        <v>3</v>
      </c>
      <c r="AP51" s="90">
        <f t="shared" si="1"/>
        <v>12</v>
      </c>
      <c r="AQ51" s="90" t="s">
        <v>65</v>
      </c>
      <c r="AR51" s="90"/>
      <c r="AS51" s="166"/>
    </row>
    <row r="52" s="138" customFormat="1" ht="20" customHeight="1" spans="1:45">
      <c r="A52" s="91">
        <v>50</v>
      </c>
      <c r="B52" s="93" t="s">
        <v>241</v>
      </c>
      <c r="C52" s="90" t="s">
        <v>98</v>
      </c>
      <c r="D52" s="90" t="s">
        <v>121</v>
      </c>
      <c r="E52" s="92" t="s">
        <v>56</v>
      </c>
      <c r="F52" s="93" t="e">
        <v>#VALUE!</v>
      </c>
      <c r="G52" s="94" t="s">
        <v>69</v>
      </c>
      <c r="H52" s="94" t="s">
        <v>242</v>
      </c>
      <c r="I52" s="111" t="s">
        <v>70</v>
      </c>
      <c r="J52" s="111"/>
      <c r="K52" s="111"/>
      <c r="L52" s="94">
        <v>1</v>
      </c>
      <c r="M52" s="94" t="s">
        <v>61</v>
      </c>
      <c r="N52" s="94" t="s">
        <v>62</v>
      </c>
      <c r="O52" s="90" t="s">
        <v>243</v>
      </c>
      <c r="P52" s="90"/>
      <c r="Q52" s="90"/>
      <c r="R52" s="90"/>
      <c r="S52" s="156">
        <f>VLOOKUP(B52,'[2]62人'!$B:$R,17,FALSE)</f>
        <v>12</v>
      </c>
      <c r="T52" s="37">
        <v>0</v>
      </c>
      <c r="U52" s="157"/>
      <c r="V52" s="90"/>
      <c r="W52" s="90">
        <v>1</v>
      </c>
      <c r="X52" s="158">
        <f>VLOOKUP(B52,[4]考勤分析!$A:$I,4,FALSE)</f>
        <v>5.4052777777943</v>
      </c>
      <c r="Y52" s="90" t="b">
        <f>VLOOKUP(B52,[4]考勤分析!$A:$I,5,FALSE)</f>
        <v>1</v>
      </c>
      <c r="Z52" s="90">
        <f>VLOOKUP(B52,[4]考勤分析!$A:$I,6,FALSE)</f>
        <v>10</v>
      </c>
      <c r="AA52" s="90">
        <f>VLOOKUP(B52,[4]考勤分析!$A:$I,7,FALSE)</f>
        <v>13</v>
      </c>
      <c r="AB52" s="90">
        <f>VLOOKUP(B52,[4]考勤分析!$A:$I,8,FALSE)</f>
        <v>11</v>
      </c>
      <c r="AC52" s="90">
        <f>VLOOKUP(B52,[4]考勤分析!$A:$I,9,FALSE)</f>
        <v>43</v>
      </c>
      <c r="AD52" s="90">
        <v>1</v>
      </c>
      <c r="AE52" s="90">
        <v>4</v>
      </c>
      <c r="AF52" s="90">
        <v>3</v>
      </c>
      <c r="AG52" s="90">
        <v>4</v>
      </c>
      <c r="AH52" s="90">
        <v>21</v>
      </c>
      <c r="AI52" s="90">
        <v>35</v>
      </c>
      <c r="AJ52" s="90"/>
      <c r="AK52" s="90" t="str">
        <f>VLOOKUP(B52,[3]总表!$B:$W,22,FALSE)</f>
        <v>超负荷</v>
      </c>
      <c r="AL52" s="90">
        <v>2</v>
      </c>
      <c r="AM52" s="90">
        <v>3</v>
      </c>
      <c r="AN52" s="90">
        <v>4</v>
      </c>
      <c r="AO52" s="90">
        <v>2</v>
      </c>
      <c r="AP52" s="90">
        <f t="shared" si="1"/>
        <v>11</v>
      </c>
      <c r="AQ52" s="90" t="s">
        <v>134</v>
      </c>
      <c r="AR52" s="90"/>
      <c r="AS52" s="166"/>
    </row>
    <row r="53" s="138" customFormat="1" ht="20" customHeight="1" spans="1:45">
      <c r="A53" s="91">
        <v>51</v>
      </c>
      <c r="B53" s="93" t="s">
        <v>244</v>
      </c>
      <c r="C53" s="90" t="s">
        <v>98</v>
      </c>
      <c r="D53" s="90" t="s">
        <v>107</v>
      </c>
      <c r="E53" s="92" t="s">
        <v>56</v>
      </c>
      <c r="F53" s="93">
        <v>3</v>
      </c>
      <c r="G53" s="94" t="s">
        <v>69</v>
      </c>
      <c r="H53" s="94" t="s">
        <v>122</v>
      </c>
      <c r="I53" s="111" t="s">
        <v>70</v>
      </c>
      <c r="J53" s="111"/>
      <c r="K53" s="111"/>
      <c r="L53" s="94">
        <v>0</v>
      </c>
      <c r="M53" s="94" t="s">
        <v>61</v>
      </c>
      <c r="N53" s="94" t="s">
        <v>62</v>
      </c>
      <c r="O53" s="90"/>
      <c r="P53" s="90"/>
      <c r="Q53" s="90"/>
      <c r="R53" s="90"/>
      <c r="S53" s="156">
        <f>VLOOKUP(B53,'[2]62人'!$B:$R,17,FALSE)</f>
        <v>11</v>
      </c>
      <c r="T53" s="37">
        <v>0</v>
      </c>
      <c r="U53" s="157"/>
      <c r="V53" s="90"/>
      <c r="W53" s="90">
        <v>1</v>
      </c>
      <c r="X53" s="158">
        <f>VLOOKUP(B53,[4]考勤分析!$A:$I,4,FALSE)</f>
        <v>1.48216094771273</v>
      </c>
      <c r="Y53" s="90" t="b">
        <f>VLOOKUP(B53,[4]考勤分析!$A:$I,5,FALSE)</f>
        <v>0</v>
      </c>
      <c r="Z53" s="90">
        <f>VLOOKUP(B53,[4]考勤分析!$A:$I,6,FALSE)</f>
        <v>30</v>
      </c>
      <c r="AA53" s="90">
        <f>VLOOKUP(B53,[4]考勤分析!$A:$I,7,FALSE)</f>
        <v>31</v>
      </c>
      <c r="AB53" s="90">
        <f>VLOOKUP(B53,[4]考勤分析!$A:$I,8,FALSE)</f>
        <v>1</v>
      </c>
      <c r="AC53" s="90">
        <f>VLOOKUP(B53,[4]考勤分析!$A:$I,9,FALSE)</f>
        <v>6</v>
      </c>
      <c r="AD53" s="90">
        <v>0</v>
      </c>
      <c r="AE53" s="90">
        <v>0</v>
      </c>
      <c r="AF53" s="90">
        <v>0</v>
      </c>
      <c r="AG53" s="90">
        <v>2</v>
      </c>
      <c r="AH53" s="90">
        <v>6</v>
      </c>
      <c r="AI53" s="90">
        <v>6</v>
      </c>
      <c r="AJ53" s="90"/>
      <c r="AK53" s="90" t="str">
        <f>VLOOKUP(B53,[3]总表!$B:$W,22,FALSE)</f>
        <v>适中</v>
      </c>
      <c r="AL53" s="90">
        <v>1</v>
      </c>
      <c r="AM53" s="90">
        <v>3</v>
      </c>
      <c r="AN53" s="90">
        <v>4</v>
      </c>
      <c r="AO53" s="90">
        <v>3</v>
      </c>
      <c r="AP53" s="90">
        <f t="shared" si="1"/>
        <v>11</v>
      </c>
      <c r="AQ53" s="90" t="s">
        <v>134</v>
      </c>
      <c r="AR53" s="90"/>
      <c r="AS53" s="166"/>
    </row>
    <row r="54" s="138" customFormat="1" ht="20" customHeight="1" spans="1:45">
      <c r="A54" s="91">
        <v>52</v>
      </c>
      <c r="B54" s="93" t="s">
        <v>245</v>
      </c>
      <c r="C54" s="90" t="s">
        <v>148</v>
      </c>
      <c r="D54" s="90" t="s">
        <v>162</v>
      </c>
      <c r="E54" s="92" t="s">
        <v>68</v>
      </c>
      <c r="F54" s="93">
        <v>5</v>
      </c>
      <c r="G54" s="94" t="s">
        <v>69</v>
      </c>
      <c r="H54" s="94" t="s">
        <v>246</v>
      </c>
      <c r="I54" s="111" t="s">
        <v>70</v>
      </c>
      <c r="J54" s="111" t="s">
        <v>95</v>
      </c>
      <c r="K54" s="111">
        <v>1</v>
      </c>
      <c r="L54" s="94">
        <v>1</v>
      </c>
      <c r="M54" s="94" t="s">
        <v>151</v>
      </c>
      <c r="N54" s="94" t="s">
        <v>62</v>
      </c>
      <c r="O54" s="90"/>
      <c r="P54" s="90"/>
      <c r="Q54" s="90"/>
      <c r="R54" s="90"/>
      <c r="S54" s="156">
        <f>VLOOKUP(B54,'[2]62人'!$B:$R,17,FALSE)</f>
        <v>11</v>
      </c>
      <c r="T54" s="37">
        <v>0</v>
      </c>
      <c r="U54" s="157"/>
      <c r="V54" s="90"/>
      <c r="W54" s="90">
        <v>1</v>
      </c>
      <c r="X54" s="158">
        <f>VLOOKUP(B54,[4]考勤分析!$A:$I,4,FALSE)</f>
        <v>1.55925925926302</v>
      </c>
      <c r="Y54" s="90" t="b">
        <f>VLOOKUP(B54,[4]考勤分析!$A:$I,5,FALSE)</f>
        <v>1</v>
      </c>
      <c r="Z54" s="90">
        <f>VLOOKUP(B54,[4]考勤分析!$A:$I,6,FALSE)</f>
        <v>21</v>
      </c>
      <c r="AA54" s="90">
        <f>VLOOKUP(B54,[4]考勤分析!$A:$I,7,FALSE)</f>
        <v>30</v>
      </c>
      <c r="AB54" s="90">
        <f>VLOOKUP(B54,[4]考勤分析!$A:$I,8,FALSE)</f>
        <v>5</v>
      </c>
      <c r="AC54" s="90">
        <f>VLOOKUP(B54,[4]考勤分析!$A:$I,9,FALSE)</f>
        <v>7</v>
      </c>
      <c r="AD54" s="90">
        <v>0</v>
      </c>
      <c r="AE54" s="90">
        <v>2</v>
      </c>
      <c r="AF54" s="90">
        <v>0</v>
      </c>
      <c r="AG54" s="90">
        <v>0</v>
      </c>
      <c r="AH54" s="90">
        <v>0</v>
      </c>
      <c r="AI54" s="90">
        <v>0</v>
      </c>
      <c r="AJ54" s="90"/>
      <c r="AK54" s="90" t="e">
        <f>VLOOKUP(B54,[3]总表!$B:$W,22,FALSE)</f>
        <v>#N/A</v>
      </c>
      <c r="AL54" s="90">
        <v>2</v>
      </c>
      <c r="AM54" s="90">
        <v>3</v>
      </c>
      <c r="AN54" s="90">
        <v>3</v>
      </c>
      <c r="AO54" s="90">
        <v>3</v>
      </c>
      <c r="AP54" s="90">
        <f t="shared" si="1"/>
        <v>11</v>
      </c>
      <c r="AQ54" s="90" t="s">
        <v>134</v>
      </c>
      <c r="AR54" s="90"/>
      <c r="AS54" s="166"/>
    </row>
    <row r="55" s="138" customFormat="1" ht="20" customHeight="1" spans="1:45">
      <c r="A55" s="91">
        <v>53</v>
      </c>
      <c r="B55" s="93" t="s">
        <v>247</v>
      </c>
      <c r="C55" s="90" t="s">
        <v>148</v>
      </c>
      <c r="D55" s="90" t="s">
        <v>156</v>
      </c>
      <c r="E55" s="92" t="s">
        <v>68</v>
      </c>
      <c r="F55" s="93">
        <v>4</v>
      </c>
      <c r="G55" s="94" t="s">
        <v>69</v>
      </c>
      <c r="H55" s="94" t="s">
        <v>248</v>
      </c>
      <c r="I55" s="111" t="s">
        <v>70</v>
      </c>
      <c r="J55" s="111"/>
      <c r="K55" s="111"/>
      <c r="L55" s="94">
        <v>1</v>
      </c>
      <c r="M55" s="94" t="s">
        <v>151</v>
      </c>
      <c r="N55" s="94" t="s">
        <v>62</v>
      </c>
      <c r="O55" s="90"/>
      <c r="P55" s="90"/>
      <c r="Q55" s="90"/>
      <c r="R55" s="90"/>
      <c r="S55" s="156">
        <f>VLOOKUP(B55,'[2]62人'!$B:$R,17,FALSE)</f>
        <v>11</v>
      </c>
      <c r="T55" s="37">
        <v>0</v>
      </c>
      <c r="U55" s="157"/>
      <c r="V55" s="90"/>
      <c r="W55" s="90">
        <v>2</v>
      </c>
      <c r="X55" s="158">
        <f>VLOOKUP(B55,[4]考勤分析!$A:$I,4,FALSE)</f>
        <v>1.7435035842223</v>
      </c>
      <c r="Y55" s="90" t="b">
        <f>VLOOKUP(B55,[4]考勤分析!$A:$I,5,FALSE)</f>
        <v>1</v>
      </c>
      <c r="Z55" s="90">
        <f>VLOOKUP(B55,[4]考勤分析!$A:$I,6,FALSE)</f>
        <v>16</v>
      </c>
      <c r="AA55" s="90">
        <f>VLOOKUP(B55,[4]考勤分析!$A:$I,7,FALSE)</f>
        <v>26</v>
      </c>
      <c r="AB55" s="90">
        <f>VLOOKUP(B55,[4]考勤分析!$A:$I,8,FALSE)</f>
        <v>18</v>
      </c>
      <c r="AC55" s="90">
        <f>VLOOKUP(B55,[4]考勤分析!$A:$I,9,FALSE)</f>
        <v>2</v>
      </c>
      <c r="AD55" s="90">
        <v>0</v>
      </c>
      <c r="AE55" s="90">
        <v>1</v>
      </c>
      <c r="AF55" s="90">
        <v>0</v>
      </c>
      <c r="AG55" s="90">
        <v>0</v>
      </c>
      <c r="AH55" s="90">
        <v>0</v>
      </c>
      <c r="AI55" s="90">
        <v>0</v>
      </c>
      <c r="AJ55" s="90"/>
      <c r="AK55" s="90" t="e">
        <f>VLOOKUP(B55,[3]总表!$B:$W,22,FALSE)</f>
        <v>#N/A</v>
      </c>
      <c r="AL55" s="90">
        <v>1</v>
      </c>
      <c r="AM55" s="90">
        <v>3</v>
      </c>
      <c r="AN55" s="90">
        <v>3</v>
      </c>
      <c r="AO55" s="90">
        <v>2</v>
      </c>
      <c r="AP55" s="90">
        <f t="shared" si="1"/>
        <v>9</v>
      </c>
      <c r="AQ55" s="90" t="s">
        <v>134</v>
      </c>
      <c r="AR55" s="90"/>
      <c r="AS55" s="166"/>
    </row>
    <row r="56" s="138" customFormat="1" ht="20" customHeight="1" spans="1:45">
      <c r="A56" s="91">
        <v>54</v>
      </c>
      <c r="B56" s="93" t="s">
        <v>249</v>
      </c>
      <c r="C56" s="90" t="s">
        <v>148</v>
      </c>
      <c r="D56" s="90" t="s">
        <v>149</v>
      </c>
      <c r="E56" s="92" t="s">
        <v>68</v>
      </c>
      <c r="F56" s="93">
        <v>3</v>
      </c>
      <c r="G56" s="94" t="s">
        <v>69</v>
      </c>
      <c r="H56" s="94" t="s">
        <v>250</v>
      </c>
      <c r="I56" s="111" t="s">
        <v>70</v>
      </c>
      <c r="J56" s="111" t="s">
        <v>95</v>
      </c>
      <c r="K56" s="111">
        <v>3</v>
      </c>
      <c r="L56" s="94">
        <v>1</v>
      </c>
      <c r="M56" s="94" t="s">
        <v>151</v>
      </c>
      <c r="N56" s="94" t="s">
        <v>62</v>
      </c>
      <c r="O56" s="90"/>
      <c r="P56" s="90"/>
      <c r="Q56" s="90"/>
      <c r="R56" s="90"/>
      <c r="S56" s="156">
        <f>VLOOKUP(B56,'[2]62人'!$B:$R,17,FALSE)</f>
        <v>8</v>
      </c>
      <c r="T56" s="37">
        <v>0</v>
      </c>
      <c r="U56" s="157"/>
      <c r="V56" s="90"/>
      <c r="W56" s="90">
        <v>2</v>
      </c>
      <c r="X56" s="158">
        <f>VLOOKUP(B56,[4]考勤分析!$A:$I,4,FALSE)</f>
        <v>1.19120673951693</v>
      </c>
      <c r="Y56" s="90" t="b">
        <f>VLOOKUP(B56,[4]考勤分析!$A:$I,5,FALSE)</f>
        <v>0</v>
      </c>
      <c r="Z56" s="90">
        <f>VLOOKUP(B56,[4]考勤分析!$A:$I,6,FALSE)</f>
        <v>35</v>
      </c>
      <c r="AA56" s="90">
        <f>VLOOKUP(B56,[4]考勤分析!$A:$I,7,FALSE)</f>
        <v>13</v>
      </c>
      <c r="AB56" s="90">
        <f>VLOOKUP(B56,[4]考勤分析!$A:$I,8,FALSE)</f>
        <v>12</v>
      </c>
      <c r="AC56" s="90">
        <f>VLOOKUP(B56,[4]考勤分析!$A:$I,9,FALSE)</f>
        <v>1</v>
      </c>
      <c r="AD56" s="90">
        <v>0</v>
      </c>
      <c r="AE56" s="90">
        <v>0</v>
      </c>
      <c r="AF56" s="90">
        <v>0</v>
      </c>
      <c r="AG56" s="90">
        <v>0</v>
      </c>
      <c r="AH56" s="90">
        <v>0</v>
      </c>
      <c r="AI56" s="90">
        <v>0</v>
      </c>
      <c r="AJ56" s="90"/>
      <c r="AK56" s="90" t="e">
        <f>VLOOKUP(B56,[3]总表!$B:$W,22,FALSE)</f>
        <v>#N/A</v>
      </c>
      <c r="AL56" s="90">
        <v>1</v>
      </c>
      <c r="AM56" s="90">
        <v>3</v>
      </c>
      <c r="AN56" s="90">
        <v>3</v>
      </c>
      <c r="AO56" s="90">
        <v>2</v>
      </c>
      <c r="AP56" s="90">
        <f t="shared" si="1"/>
        <v>9</v>
      </c>
      <c r="AQ56" s="90" t="s">
        <v>134</v>
      </c>
      <c r="AR56" s="90"/>
      <c r="AS56" s="166"/>
    </row>
    <row r="57" s="138" customFormat="1" ht="20" customHeight="1" spans="1:45">
      <c r="A57" s="91">
        <v>55</v>
      </c>
      <c r="B57" s="93" t="s">
        <v>251</v>
      </c>
      <c r="C57" s="90" t="s">
        <v>171</v>
      </c>
      <c r="D57" s="90" t="s">
        <v>252</v>
      </c>
      <c r="E57" s="92" t="s">
        <v>68</v>
      </c>
      <c r="F57" s="93">
        <v>5</v>
      </c>
      <c r="G57" s="94" t="s">
        <v>69</v>
      </c>
      <c r="H57" s="94" t="s">
        <v>175</v>
      </c>
      <c r="I57" s="111" t="s">
        <v>70</v>
      </c>
      <c r="J57" s="111"/>
      <c r="K57" s="111"/>
      <c r="L57" s="94">
        <v>1</v>
      </c>
      <c r="M57" s="94" t="s">
        <v>151</v>
      </c>
      <c r="N57" s="94" t="s">
        <v>62</v>
      </c>
      <c r="O57" s="90"/>
      <c r="P57" s="90"/>
      <c r="Q57" s="90"/>
      <c r="R57" s="90"/>
      <c r="S57" s="156">
        <f>VLOOKUP(B57,'[2]62人'!$B:$R,17,FALSE)</f>
        <v>9</v>
      </c>
      <c r="T57" s="37">
        <v>3</v>
      </c>
      <c r="U57" s="157"/>
      <c r="V57" s="90"/>
      <c r="W57" s="90">
        <v>1</v>
      </c>
      <c r="X57" s="158">
        <f>VLOOKUP(B57,[4]考勤分析!$A:$I,4,FALSE)</f>
        <v>1.60488888888309</v>
      </c>
      <c r="Y57" s="90" t="b">
        <f>VLOOKUP(B57,[4]考勤分析!$A:$I,5,FALSE)</f>
        <v>0</v>
      </c>
      <c r="Z57" s="90">
        <f>VLOOKUP(B57,[4]考勤分析!$A:$I,6,FALSE)</f>
        <v>20</v>
      </c>
      <c r="AA57" s="90">
        <f>VLOOKUP(B57,[4]考勤分析!$A:$I,7,FALSE)</f>
        <v>23</v>
      </c>
      <c r="AB57" s="90">
        <f>VLOOKUP(B57,[4]考勤分析!$A:$I,8,FALSE)</f>
        <v>15</v>
      </c>
      <c r="AC57" s="90">
        <f>VLOOKUP(B57,[4]考勤分析!$A:$I,9,FALSE)</f>
        <v>2</v>
      </c>
      <c r="AD57" s="90">
        <v>0</v>
      </c>
      <c r="AE57" s="90">
        <v>0</v>
      </c>
      <c r="AF57" s="90">
        <v>0</v>
      </c>
      <c r="AG57" s="90">
        <v>0</v>
      </c>
      <c r="AH57" s="90">
        <v>0</v>
      </c>
      <c r="AI57" s="90">
        <v>0</v>
      </c>
      <c r="AJ57" s="90"/>
      <c r="AK57" s="90" t="e">
        <f>VLOOKUP(B57,[3]总表!$B:$W,22,FALSE)</f>
        <v>#N/A</v>
      </c>
      <c r="AL57" s="90">
        <v>1</v>
      </c>
      <c r="AM57" s="90">
        <v>3</v>
      </c>
      <c r="AN57" s="90">
        <v>3</v>
      </c>
      <c r="AO57" s="90">
        <v>2</v>
      </c>
      <c r="AP57" s="90">
        <f t="shared" si="1"/>
        <v>9</v>
      </c>
      <c r="AQ57" s="90" t="s">
        <v>134</v>
      </c>
      <c r="AR57" s="90"/>
      <c r="AS57" s="166"/>
    </row>
    <row r="58" s="138" customFormat="1" ht="20" customHeight="1" spans="1:45">
      <c r="A58" s="91">
        <v>56</v>
      </c>
      <c r="B58" s="93" t="s">
        <v>253</v>
      </c>
      <c r="C58" s="90" t="s">
        <v>171</v>
      </c>
      <c r="D58" s="90" t="s">
        <v>180</v>
      </c>
      <c r="E58" s="92" t="s">
        <v>56</v>
      </c>
      <c r="F58" s="93">
        <v>20</v>
      </c>
      <c r="G58" s="94" t="s">
        <v>69</v>
      </c>
      <c r="H58" s="94" t="s">
        <v>254</v>
      </c>
      <c r="I58" s="111" t="s">
        <v>70</v>
      </c>
      <c r="J58" s="111" t="s">
        <v>95</v>
      </c>
      <c r="K58" s="111">
        <v>1</v>
      </c>
      <c r="L58" s="94">
        <v>1</v>
      </c>
      <c r="M58" s="94" t="s">
        <v>180</v>
      </c>
      <c r="N58" s="94" t="s">
        <v>71</v>
      </c>
      <c r="O58" s="90"/>
      <c r="P58" s="90"/>
      <c r="Q58" s="90"/>
      <c r="R58" s="90"/>
      <c r="S58" s="156">
        <f>VLOOKUP(B58,'[2]62人'!$B:$R,17,FALSE)</f>
        <v>10</v>
      </c>
      <c r="T58" s="37">
        <v>0</v>
      </c>
      <c r="U58" s="157"/>
      <c r="V58" s="90"/>
      <c r="W58" s="90"/>
      <c r="X58" s="158">
        <f>VLOOKUP(B58,[4]考勤分析!$A:$I,4,FALSE)</f>
        <v>2.0634677419392</v>
      </c>
      <c r="Y58" s="90" t="b">
        <f>VLOOKUP(B58,[4]考勤分析!$A:$I,5,FALSE)</f>
        <v>1</v>
      </c>
      <c r="Z58" s="90">
        <f>VLOOKUP(B58,[4]考勤分析!$A:$I,6,FALSE)</f>
        <v>7</v>
      </c>
      <c r="AA58" s="90">
        <f>VLOOKUP(B58,[4]考勤分析!$A:$I,7,FALSE)</f>
        <v>23</v>
      </c>
      <c r="AB58" s="90">
        <f>VLOOKUP(B58,[4]考勤分析!$A:$I,8,FALSE)</f>
        <v>31</v>
      </c>
      <c r="AC58" s="90">
        <f>VLOOKUP(B58,[4]考勤分析!$A:$I,9,FALSE)</f>
        <v>1</v>
      </c>
      <c r="AD58" s="90">
        <v>0</v>
      </c>
      <c r="AE58" s="90">
        <v>0</v>
      </c>
      <c r="AF58" s="90">
        <v>0</v>
      </c>
      <c r="AG58" s="90">
        <v>0</v>
      </c>
      <c r="AH58" s="90">
        <v>0</v>
      </c>
      <c r="AI58" s="90">
        <v>0</v>
      </c>
      <c r="AJ58" s="90"/>
      <c r="AK58" s="90" t="e">
        <f>VLOOKUP(B58,[3]总表!$B:$W,22,FALSE)</f>
        <v>#N/A</v>
      </c>
      <c r="AL58" s="90">
        <v>2</v>
      </c>
      <c r="AM58" s="90">
        <v>3</v>
      </c>
      <c r="AN58" s="90">
        <v>4</v>
      </c>
      <c r="AO58" s="90">
        <v>2</v>
      </c>
      <c r="AP58" s="90">
        <f t="shared" si="1"/>
        <v>11</v>
      </c>
      <c r="AQ58" s="90" t="s">
        <v>134</v>
      </c>
      <c r="AR58" s="90"/>
      <c r="AS58" s="166"/>
    </row>
    <row r="59" s="138" customFormat="1" ht="108" spans="1:45">
      <c r="A59" s="91">
        <v>57</v>
      </c>
      <c r="B59" s="93" t="s">
        <v>255</v>
      </c>
      <c r="C59" s="90" t="s">
        <v>189</v>
      </c>
      <c r="D59" s="90" t="s">
        <v>256</v>
      </c>
      <c r="E59" s="92" t="s">
        <v>56</v>
      </c>
      <c r="F59" s="93">
        <v>5</v>
      </c>
      <c r="G59" s="94" t="s">
        <v>69</v>
      </c>
      <c r="H59" s="94" t="s">
        <v>257</v>
      </c>
      <c r="I59" s="111" t="s">
        <v>70</v>
      </c>
      <c r="J59" s="111"/>
      <c r="K59" s="111"/>
      <c r="L59" s="94">
        <v>0</v>
      </c>
      <c r="M59" s="94" t="s">
        <v>61</v>
      </c>
      <c r="N59" s="94" t="s">
        <v>62</v>
      </c>
      <c r="O59" s="90"/>
      <c r="P59" s="90"/>
      <c r="Q59" s="90"/>
      <c r="R59" s="90" t="s">
        <v>258</v>
      </c>
      <c r="S59" s="156">
        <f>VLOOKUP(B59,'[2]62人'!$B:$R,17,FALSE)</f>
        <v>14</v>
      </c>
      <c r="T59" s="37">
        <v>0</v>
      </c>
      <c r="U59" s="157"/>
      <c r="V59" s="90"/>
      <c r="W59" s="90"/>
      <c r="X59" s="158">
        <f>VLOOKUP(B59,[4]考勤分析!$A:$I,4,FALSE)</f>
        <v>2.06399537036778</v>
      </c>
      <c r="Y59" s="90" t="b">
        <f>VLOOKUP(B59,[4]考勤分析!$A:$I,5,FALSE)</f>
        <v>1</v>
      </c>
      <c r="Z59" s="90">
        <f>VLOOKUP(B59,[4]考勤分析!$A:$I,6,FALSE)</f>
        <v>21</v>
      </c>
      <c r="AA59" s="90">
        <f>VLOOKUP(B59,[4]考勤分析!$A:$I,7,FALSE)</f>
        <v>7</v>
      </c>
      <c r="AB59" s="90">
        <f>VLOOKUP(B59,[4]考勤分析!$A:$I,8,FALSE)</f>
        <v>26</v>
      </c>
      <c r="AC59" s="90">
        <f>VLOOKUP(B59,[4]考勤分析!$A:$I,9,FALSE)</f>
        <v>6</v>
      </c>
      <c r="AD59" s="90">
        <v>1</v>
      </c>
      <c r="AE59" s="90">
        <v>2</v>
      </c>
      <c r="AF59" s="90">
        <v>0</v>
      </c>
      <c r="AG59" s="90">
        <v>1</v>
      </c>
      <c r="AH59" s="90">
        <v>0</v>
      </c>
      <c r="AI59" s="90">
        <v>0</v>
      </c>
      <c r="AJ59" s="90"/>
      <c r="AK59" s="90" t="str">
        <f>VLOOKUP(B59,[3]总表!$B:$W,22,FALSE)</f>
        <v>适中</v>
      </c>
      <c r="AL59" s="90">
        <v>1</v>
      </c>
      <c r="AM59" s="90">
        <v>3</v>
      </c>
      <c r="AN59" s="90">
        <v>3</v>
      </c>
      <c r="AO59" s="90">
        <v>2</v>
      </c>
      <c r="AP59" s="90">
        <f t="shared" si="1"/>
        <v>9</v>
      </c>
      <c r="AQ59" s="90" t="s">
        <v>134</v>
      </c>
      <c r="AR59" s="90"/>
      <c r="AS59" s="166"/>
    </row>
    <row r="60" s="138" customFormat="1" ht="96" spans="1:45">
      <c r="A60" s="91">
        <v>58</v>
      </c>
      <c r="B60" s="93" t="s">
        <v>259</v>
      </c>
      <c r="C60" s="90" t="s">
        <v>189</v>
      </c>
      <c r="D60" s="90" t="s">
        <v>197</v>
      </c>
      <c r="E60" s="92" t="s">
        <v>56</v>
      </c>
      <c r="F60" s="93">
        <v>5</v>
      </c>
      <c r="G60" s="94" t="s">
        <v>69</v>
      </c>
      <c r="H60" s="94" t="s">
        <v>103</v>
      </c>
      <c r="I60" s="111" t="s">
        <v>70</v>
      </c>
      <c r="J60" s="111"/>
      <c r="K60" s="111"/>
      <c r="L60" s="94">
        <v>0</v>
      </c>
      <c r="M60" s="94" t="s">
        <v>61</v>
      </c>
      <c r="N60" s="94" t="s">
        <v>71</v>
      </c>
      <c r="O60" s="90"/>
      <c r="P60" s="90"/>
      <c r="Q60" s="90"/>
      <c r="R60" s="90" t="s">
        <v>260</v>
      </c>
      <c r="S60" s="156">
        <f>VLOOKUP(B60,'[2]62人'!$B:$R,17,FALSE)</f>
        <v>11</v>
      </c>
      <c r="T60" s="37">
        <v>0</v>
      </c>
      <c r="U60" s="157">
        <v>1</v>
      </c>
      <c r="V60" s="90"/>
      <c r="W60" s="90">
        <v>1</v>
      </c>
      <c r="X60" s="158">
        <f>VLOOKUP(B60,[4]考勤分析!$A:$I,4,FALSE)</f>
        <v>1.84262544801271</v>
      </c>
      <c r="Y60" s="90" t="b">
        <f>VLOOKUP(B60,[4]考勤分析!$A:$I,5,FALSE)</f>
        <v>0</v>
      </c>
      <c r="Z60" s="90">
        <f>VLOOKUP(B60,[4]考勤分析!$A:$I,6,FALSE)</f>
        <v>13</v>
      </c>
      <c r="AA60" s="90">
        <f>VLOOKUP(B60,[4]考勤分析!$A:$I,7,FALSE)</f>
        <v>28</v>
      </c>
      <c r="AB60" s="90">
        <f>VLOOKUP(B60,[4]考勤分析!$A:$I,8,FALSE)</f>
        <v>15</v>
      </c>
      <c r="AC60" s="90">
        <f>VLOOKUP(B60,[4]考勤分析!$A:$I,9,FALSE)</f>
        <v>6</v>
      </c>
      <c r="AD60" s="90">
        <v>1</v>
      </c>
      <c r="AE60" s="90">
        <v>1</v>
      </c>
      <c r="AF60" s="90">
        <v>1</v>
      </c>
      <c r="AG60" s="90">
        <v>1</v>
      </c>
      <c r="AH60" s="90">
        <v>7</v>
      </c>
      <c r="AI60" s="90">
        <v>12</v>
      </c>
      <c r="AJ60" s="90"/>
      <c r="AK60" s="90" t="str">
        <f>VLOOKUP(B60,[3]总表!$B:$W,22,FALSE)</f>
        <v>超负荷</v>
      </c>
      <c r="AL60" s="90">
        <v>1</v>
      </c>
      <c r="AM60" s="90">
        <v>3</v>
      </c>
      <c r="AN60" s="90">
        <v>3</v>
      </c>
      <c r="AO60" s="90">
        <v>3</v>
      </c>
      <c r="AP60" s="90">
        <f t="shared" si="1"/>
        <v>10</v>
      </c>
      <c r="AQ60" s="90" t="s">
        <v>134</v>
      </c>
      <c r="AR60" s="90"/>
      <c r="AS60" s="166"/>
    </row>
    <row r="61" s="138" customFormat="1" ht="72" spans="1:45">
      <c r="A61" s="91">
        <v>59</v>
      </c>
      <c r="B61" s="93" t="s">
        <v>261</v>
      </c>
      <c r="C61" s="90" t="s">
        <v>189</v>
      </c>
      <c r="D61" s="90" t="s">
        <v>256</v>
      </c>
      <c r="E61" s="92" t="s">
        <v>68</v>
      </c>
      <c r="F61" s="93">
        <f>VLOOKUP(B61,[1]累计工龄!A:B,2,FALSE)</f>
        <v>1</v>
      </c>
      <c r="G61" s="94" t="s">
        <v>69</v>
      </c>
      <c r="H61" s="94" t="s">
        <v>242</v>
      </c>
      <c r="I61" s="111" t="s">
        <v>70</v>
      </c>
      <c r="J61" s="111"/>
      <c r="K61" s="111"/>
      <c r="L61" s="94">
        <v>0</v>
      </c>
      <c r="M61" s="94" t="s">
        <v>61</v>
      </c>
      <c r="N61" s="94" t="s">
        <v>62</v>
      </c>
      <c r="O61" s="90"/>
      <c r="P61" s="90"/>
      <c r="Q61" s="90"/>
      <c r="R61" s="90" t="s">
        <v>262</v>
      </c>
      <c r="S61" s="156">
        <f>VLOOKUP(B61,'[2]62人'!$B:$R,17,FALSE)</f>
        <v>18</v>
      </c>
      <c r="T61" s="37">
        <v>0</v>
      </c>
      <c r="U61" s="157"/>
      <c r="V61" s="90"/>
      <c r="W61" s="90">
        <v>1</v>
      </c>
      <c r="X61" s="158">
        <f>VLOOKUP(B61,[4]考勤分析!$A:$I,4,FALSE)</f>
        <v>1.5502284946213</v>
      </c>
      <c r="Y61" s="90" t="b">
        <f>VLOOKUP(B61,[4]考勤分析!$A:$I,5,FALSE)</f>
        <v>0</v>
      </c>
      <c r="Z61" s="90">
        <f>VLOOKUP(B61,[4]考勤分析!$A:$I,6,FALSE)</f>
        <v>21</v>
      </c>
      <c r="AA61" s="90">
        <f>VLOOKUP(B61,[4]考勤分析!$A:$I,7,FALSE)</f>
        <v>20</v>
      </c>
      <c r="AB61" s="90">
        <f>VLOOKUP(B61,[4]考勤分析!$A:$I,8,FALSE)</f>
        <v>20</v>
      </c>
      <c r="AC61" s="90">
        <f>VLOOKUP(B61,[4]考勤分析!$A:$I,9,FALSE)</f>
        <v>1</v>
      </c>
      <c r="AD61" s="90">
        <v>0</v>
      </c>
      <c r="AE61" s="90">
        <v>0</v>
      </c>
      <c r="AF61" s="90">
        <v>0</v>
      </c>
      <c r="AG61" s="90">
        <v>0</v>
      </c>
      <c r="AH61" s="90">
        <v>0</v>
      </c>
      <c r="AI61" s="90">
        <v>0</v>
      </c>
      <c r="AJ61" s="90"/>
      <c r="AK61" s="90" t="s">
        <v>263</v>
      </c>
      <c r="AL61" s="90">
        <v>2</v>
      </c>
      <c r="AM61" s="90">
        <v>5</v>
      </c>
      <c r="AN61" s="90">
        <v>4</v>
      </c>
      <c r="AO61" s="90">
        <v>2</v>
      </c>
      <c r="AP61" s="90">
        <f t="shared" si="1"/>
        <v>13</v>
      </c>
      <c r="AQ61" s="90" t="s">
        <v>65</v>
      </c>
      <c r="AR61" s="90"/>
      <c r="AS61" s="166"/>
    </row>
    <row r="62" s="138" customFormat="1" ht="20" customHeight="1" spans="1:45">
      <c r="A62" s="91">
        <v>60</v>
      </c>
      <c r="B62" s="93" t="s">
        <v>264</v>
      </c>
      <c r="C62" s="90" t="s">
        <v>205</v>
      </c>
      <c r="D62" s="90" t="s">
        <v>214</v>
      </c>
      <c r="E62" s="92" t="s">
        <v>68</v>
      </c>
      <c r="F62" s="93">
        <v>6</v>
      </c>
      <c r="G62" s="94" t="s">
        <v>69</v>
      </c>
      <c r="H62" s="94" t="s">
        <v>265</v>
      </c>
      <c r="I62" s="111" t="s">
        <v>70</v>
      </c>
      <c r="J62" s="111"/>
      <c r="K62" s="111"/>
      <c r="L62" s="94">
        <v>1</v>
      </c>
      <c r="M62" s="94" t="s">
        <v>215</v>
      </c>
      <c r="N62" s="94" t="s">
        <v>62</v>
      </c>
      <c r="O62" s="90"/>
      <c r="P62" s="90"/>
      <c r="Q62" s="90"/>
      <c r="R62" s="90"/>
      <c r="S62" s="156">
        <f>VLOOKUP(B62,'[2]62人'!$B:$R,17,FALSE)</f>
        <v>6</v>
      </c>
      <c r="T62" s="37">
        <v>26</v>
      </c>
      <c r="U62" s="157">
        <v>3</v>
      </c>
      <c r="V62" s="90"/>
      <c r="W62" s="90"/>
      <c r="X62" s="158">
        <f>VLOOKUP(B62,[4]考勤分析!$A:$I,4,FALSE)</f>
        <v>1.99551824211932</v>
      </c>
      <c r="Y62" s="90" t="b">
        <f>VLOOKUP(B62,[4]考勤分析!$A:$I,5,FALSE)</f>
        <v>0</v>
      </c>
      <c r="Z62" s="90">
        <f>VLOOKUP(B62,[4]考勤分析!$A:$I,6,FALSE)</f>
        <v>8</v>
      </c>
      <c r="AA62" s="90">
        <f>VLOOKUP(B62,[4]考勤分析!$A:$I,7,FALSE)</f>
        <v>44</v>
      </c>
      <c r="AB62" s="90">
        <f>VLOOKUP(B62,[4]考勤分析!$A:$I,8,FALSE)</f>
        <v>8</v>
      </c>
      <c r="AC62" s="90">
        <f>VLOOKUP(B62,[4]考勤分析!$A:$I,9,FALSE)</f>
        <v>7</v>
      </c>
      <c r="AD62" s="90">
        <v>4</v>
      </c>
      <c r="AE62" s="90">
        <v>7</v>
      </c>
      <c r="AF62" s="90">
        <v>0</v>
      </c>
      <c r="AG62" s="90">
        <v>0</v>
      </c>
      <c r="AH62" s="90">
        <v>0</v>
      </c>
      <c r="AI62" s="90">
        <v>0</v>
      </c>
      <c r="AJ62" s="90"/>
      <c r="AK62" s="90" t="e">
        <f>VLOOKUP(B62,[3]总表!$B:$W,22,FALSE)</f>
        <v>#N/A</v>
      </c>
      <c r="AL62" s="90">
        <v>1</v>
      </c>
      <c r="AM62" s="90">
        <v>3</v>
      </c>
      <c r="AN62" s="90">
        <v>3</v>
      </c>
      <c r="AO62" s="90">
        <v>2</v>
      </c>
      <c r="AP62" s="90">
        <f t="shared" si="1"/>
        <v>9</v>
      </c>
      <c r="AQ62" s="90" t="s">
        <v>134</v>
      </c>
      <c r="AR62" s="90"/>
      <c r="AS62" s="166"/>
    </row>
    <row r="63" s="138" customFormat="1" ht="96" spans="1:45">
      <c r="A63" s="91">
        <v>61</v>
      </c>
      <c r="B63" s="93" t="s">
        <v>266</v>
      </c>
      <c r="C63" s="90" t="s">
        <v>205</v>
      </c>
      <c r="D63" s="90" t="s">
        <v>267</v>
      </c>
      <c r="E63" s="92" t="s">
        <v>68</v>
      </c>
      <c r="F63" s="93">
        <v>6</v>
      </c>
      <c r="G63" s="94" t="s">
        <v>69</v>
      </c>
      <c r="H63" s="94" t="s">
        <v>175</v>
      </c>
      <c r="I63" s="111" t="s">
        <v>70</v>
      </c>
      <c r="J63" s="111"/>
      <c r="K63" s="111"/>
      <c r="L63" s="94">
        <v>1</v>
      </c>
      <c r="M63" s="94" t="s">
        <v>268</v>
      </c>
      <c r="N63" s="94" t="s">
        <v>62</v>
      </c>
      <c r="O63" s="90" t="s">
        <v>269</v>
      </c>
      <c r="P63" s="90" t="s">
        <v>168</v>
      </c>
      <c r="Q63" s="90"/>
      <c r="R63" s="90"/>
      <c r="S63" s="156">
        <f>VLOOKUP(B63,'[2]62人'!$B:$R,17,FALSE)</f>
        <v>11</v>
      </c>
      <c r="T63" s="37">
        <v>4</v>
      </c>
      <c r="U63" s="157"/>
      <c r="V63" s="90"/>
      <c r="W63" s="90"/>
      <c r="X63" s="158">
        <f>VLOOKUP(B63,[4]考勤分析!$A:$I,4,FALSE)</f>
        <v>2.20509700175829</v>
      </c>
      <c r="Y63" s="90" t="b">
        <f>VLOOKUP(B63,[4]考勤分析!$A:$I,5,FALSE)</f>
        <v>1</v>
      </c>
      <c r="Z63" s="90">
        <f>VLOOKUP(B63,[4]考勤分析!$A:$I,6,FALSE)</f>
        <v>7</v>
      </c>
      <c r="AA63" s="90">
        <f>VLOOKUP(B63,[4]考勤分析!$A:$I,7,FALSE)</f>
        <v>25</v>
      </c>
      <c r="AB63" s="90">
        <f>VLOOKUP(B63,[4]考勤分析!$A:$I,8,FALSE)</f>
        <v>27</v>
      </c>
      <c r="AC63" s="90">
        <f>VLOOKUP(B63,[4]考勤分析!$A:$I,9,FALSE)</f>
        <v>4</v>
      </c>
      <c r="AD63" s="90">
        <v>0</v>
      </c>
      <c r="AE63" s="90">
        <v>0</v>
      </c>
      <c r="AF63" s="90">
        <v>0</v>
      </c>
      <c r="AG63" s="90">
        <v>0</v>
      </c>
      <c r="AH63" s="90">
        <v>0</v>
      </c>
      <c r="AI63" s="90">
        <v>0</v>
      </c>
      <c r="AJ63" s="90"/>
      <c r="AK63" s="90" t="e">
        <f>VLOOKUP(B63,[3]总表!$B:$W,22,FALSE)</f>
        <v>#N/A</v>
      </c>
      <c r="AL63" s="90">
        <v>2</v>
      </c>
      <c r="AM63" s="90">
        <v>3</v>
      </c>
      <c r="AN63" s="90">
        <v>3</v>
      </c>
      <c r="AO63" s="90">
        <v>3</v>
      </c>
      <c r="AP63" s="90">
        <f t="shared" si="1"/>
        <v>11</v>
      </c>
      <c r="AQ63" s="90" t="s">
        <v>134</v>
      </c>
      <c r="AR63" s="90"/>
      <c r="AS63" s="166"/>
    </row>
    <row r="64" s="138" customFormat="1" ht="20" customHeight="1" spans="1:45">
      <c r="A64" s="91">
        <v>62</v>
      </c>
      <c r="B64" s="93" t="s">
        <v>270</v>
      </c>
      <c r="C64" s="90" t="s">
        <v>205</v>
      </c>
      <c r="D64" s="90" t="s">
        <v>206</v>
      </c>
      <c r="E64" s="92" t="s">
        <v>56</v>
      </c>
      <c r="F64" s="93">
        <f>VLOOKUP(B64,[1]累计工龄!A:B,2,FALSE)</f>
        <v>1</v>
      </c>
      <c r="G64" s="94" t="s">
        <v>57</v>
      </c>
      <c r="H64" s="94" t="s">
        <v>183</v>
      </c>
      <c r="I64" s="111" t="s">
        <v>70</v>
      </c>
      <c r="J64" s="111"/>
      <c r="K64" s="111"/>
      <c r="L64" s="94">
        <v>0</v>
      </c>
      <c r="M64" s="94" t="s">
        <v>207</v>
      </c>
      <c r="N64" s="94" t="s">
        <v>62</v>
      </c>
      <c r="O64" s="90"/>
      <c r="P64" s="90"/>
      <c r="Q64" s="90"/>
      <c r="R64" s="90" t="s">
        <v>271</v>
      </c>
      <c r="S64" s="156">
        <f>VLOOKUP(B64,'[2]62人'!$B:$R,17,FALSE)</f>
        <v>12</v>
      </c>
      <c r="T64" s="37">
        <v>2</v>
      </c>
      <c r="U64" s="157"/>
      <c r="V64" s="90"/>
      <c r="W64" s="90"/>
      <c r="X64" s="158">
        <f>VLOOKUP(B64,[4]考勤分析!$A:$I,4,FALSE)</f>
        <v>2.90239787581103</v>
      </c>
      <c r="Y64" s="90" t="b">
        <f>VLOOKUP(B64,[4]考勤分析!$A:$I,5,FALSE)</f>
        <v>1</v>
      </c>
      <c r="Z64" s="90">
        <f>VLOOKUP(B64,[4]考勤分析!$A:$I,6,FALSE)</f>
        <v>14</v>
      </c>
      <c r="AA64" s="90">
        <f>VLOOKUP(B64,[4]考勤分析!$A:$I,7,FALSE)</f>
        <v>18</v>
      </c>
      <c r="AB64" s="90">
        <f>VLOOKUP(B64,[4]考勤分析!$A:$I,8,FALSE)</f>
        <v>22</v>
      </c>
      <c r="AC64" s="90">
        <f>VLOOKUP(B64,[4]考勤分析!$A:$I,9,FALSE)</f>
        <v>14</v>
      </c>
      <c r="AD64" s="90">
        <v>0</v>
      </c>
      <c r="AE64" s="90">
        <v>0</v>
      </c>
      <c r="AF64" s="90">
        <v>0</v>
      </c>
      <c r="AG64" s="90">
        <v>0</v>
      </c>
      <c r="AH64" s="90">
        <v>0</v>
      </c>
      <c r="AI64" s="90">
        <v>0</v>
      </c>
      <c r="AJ64" s="90"/>
      <c r="AK64" s="90" t="e">
        <f>VLOOKUP(B64,[3]总表!$B:$W,22,FALSE)</f>
        <v>#N/A</v>
      </c>
      <c r="AL64" s="90">
        <v>1</v>
      </c>
      <c r="AM64" s="90">
        <v>3</v>
      </c>
      <c r="AN64" s="90">
        <v>4</v>
      </c>
      <c r="AO64" s="90">
        <v>3</v>
      </c>
      <c r="AP64" s="90">
        <f t="shared" si="1"/>
        <v>11</v>
      </c>
      <c r="AQ64" s="90" t="s">
        <v>134</v>
      </c>
      <c r="AR64" s="90"/>
      <c r="AS64" s="166"/>
    </row>
    <row r="65" s="139" customFormat="1" spans="1:45">
      <c r="A65" s="99">
        <v>63</v>
      </c>
      <c r="B65" s="98" t="s">
        <v>272</v>
      </c>
      <c r="C65" s="97" t="s">
        <v>205</v>
      </c>
      <c r="D65" s="98" t="s">
        <v>273</v>
      </c>
      <c r="E65" s="92" t="s">
        <v>68</v>
      </c>
      <c r="F65" s="168">
        <v>8</v>
      </c>
      <c r="G65" s="92" t="s">
        <v>69</v>
      </c>
      <c r="H65" s="92" t="s">
        <v>274</v>
      </c>
      <c r="I65" s="114" t="s">
        <v>275</v>
      </c>
      <c r="J65" s="111"/>
      <c r="K65" s="111"/>
      <c r="L65" s="94">
        <v>1</v>
      </c>
      <c r="M65" s="94" t="s">
        <v>273</v>
      </c>
      <c r="N65" s="94" t="s">
        <v>62</v>
      </c>
      <c r="O65" s="169"/>
      <c r="P65" s="169"/>
      <c r="Q65" s="169"/>
      <c r="R65" s="169"/>
      <c r="S65" s="156">
        <f>VLOOKUP(B65,'[2]62人'!$B:$R,17,FALSE)</f>
        <v>10</v>
      </c>
      <c r="T65" s="37">
        <v>0</v>
      </c>
      <c r="U65" s="170">
        <v>1</v>
      </c>
      <c r="V65" s="169"/>
      <c r="W65" s="169"/>
      <c r="X65" s="158">
        <f>VLOOKUP(B65,[4]考勤分析!$A:$I,4,FALSE)</f>
        <v>2.24363799283521</v>
      </c>
      <c r="Y65" s="90" t="b">
        <f>VLOOKUP(B65,[4]考勤分析!$A:$I,5,FALSE)</f>
        <v>1</v>
      </c>
      <c r="Z65" s="90">
        <f>VLOOKUP(B65,[4]考勤分析!$A:$I,6,FALSE)</f>
        <v>8</v>
      </c>
      <c r="AA65" s="90">
        <f>VLOOKUP(B65,[4]考勤分析!$A:$I,7,FALSE)</f>
        <v>17</v>
      </c>
      <c r="AB65" s="90">
        <f>VLOOKUP(B65,[4]考勤分析!$A:$I,8,FALSE)</f>
        <v>33</v>
      </c>
      <c r="AC65" s="90">
        <f>VLOOKUP(B65,[4]考勤分析!$A:$I,9,FALSE)</f>
        <v>4</v>
      </c>
      <c r="AD65" s="90">
        <v>0</v>
      </c>
      <c r="AE65" s="90">
        <v>0</v>
      </c>
      <c r="AF65" s="90">
        <v>0</v>
      </c>
      <c r="AG65" s="90">
        <v>0</v>
      </c>
      <c r="AH65" s="90">
        <v>0</v>
      </c>
      <c r="AI65" s="90">
        <v>0</v>
      </c>
      <c r="AJ65" s="90"/>
      <c r="AK65" s="90" t="e">
        <f>VLOOKUP(B65,[3]总表!$B:$W,22,FALSE)</f>
        <v>#N/A</v>
      </c>
      <c r="AL65" s="171"/>
      <c r="AM65" s="171"/>
      <c r="AN65" s="171"/>
      <c r="AO65" s="171"/>
      <c r="AP65" s="171"/>
      <c r="AQ65" s="171"/>
      <c r="AR65" s="171"/>
      <c r="AS65" s="171"/>
    </row>
    <row r="66" s="139" customFormat="1" spans="1:45">
      <c r="A66" s="99">
        <v>64</v>
      </c>
      <c r="B66" s="98" t="s">
        <v>276</v>
      </c>
      <c r="C66" s="97" t="s">
        <v>205</v>
      </c>
      <c r="D66" s="98" t="s">
        <v>267</v>
      </c>
      <c r="E66" s="92" t="s">
        <v>68</v>
      </c>
      <c r="F66" s="168">
        <v>20</v>
      </c>
      <c r="G66" s="92" t="s">
        <v>69</v>
      </c>
      <c r="H66" s="92" t="s">
        <v>194</v>
      </c>
      <c r="I66" s="99"/>
      <c r="J66" s="91"/>
      <c r="K66" s="91"/>
      <c r="L66" s="94">
        <v>2</v>
      </c>
      <c r="M66" s="94" t="s">
        <v>268</v>
      </c>
      <c r="N66" s="94" t="s">
        <v>62</v>
      </c>
      <c r="O66" s="169"/>
      <c r="P66" s="169"/>
      <c r="Q66" s="169"/>
      <c r="R66" s="169"/>
      <c r="S66" s="156">
        <f>VLOOKUP(B66,'[2]62人'!$B:$R,17,FALSE)</f>
        <v>15</v>
      </c>
      <c r="T66" s="37">
        <v>1</v>
      </c>
      <c r="U66" s="170"/>
      <c r="V66" s="169"/>
      <c r="W66" s="169"/>
      <c r="X66" s="158">
        <f>VLOOKUP(B66,[4]考勤分析!$A:$I,4,FALSE)</f>
        <v>2.73982407407699</v>
      </c>
      <c r="Y66" s="90" t="b">
        <f>VLOOKUP(B66,[4]考勤分析!$A:$I,5,FALSE)</f>
        <v>1</v>
      </c>
      <c r="Z66" s="90">
        <f>VLOOKUP(B66,[4]考勤分析!$A:$I,6,FALSE)</f>
        <v>1</v>
      </c>
      <c r="AA66" s="90">
        <f>VLOOKUP(B66,[4]考勤分析!$A:$I,7,FALSE)</f>
        <v>14</v>
      </c>
      <c r="AB66" s="90">
        <f>VLOOKUP(B66,[4]考勤分析!$A:$I,8,FALSE)</f>
        <v>39</v>
      </c>
      <c r="AC66" s="90">
        <f>VLOOKUP(B66,[4]考勤分析!$A:$I,9,FALSE)</f>
        <v>6</v>
      </c>
      <c r="AD66" s="90">
        <v>0</v>
      </c>
      <c r="AE66" s="90">
        <v>0</v>
      </c>
      <c r="AF66" s="90">
        <v>0</v>
      </c>
      <c r="AG66" s="90">
        <v>0</v>
      </c>
      <c r="AH66" s="90">
        <v>0</v>
      </c>
      <c r="AI66" s="90">
        <v>0</v>
      </c>
      <c r="AJ66" s="90"/>
      <c r="AK66" s="90" t="e">
        <f>VLOOKUP(B66,[3]总表!$B:$W,22,FALSE)</f>
        <v>#N/A</v>
      </c>
      <c r="AL66" s="171"/>
      <c r="AM66" s="171"/>
      <c r="AN66" s="171"/>
      <c r="AO66" s="171"/>
      <c r="AP66" s="171"/>
      <c r="AQ66" s="171"/>
      <c r="AR66" s="171"/>
      <c r="AS66" s="171"/>
    </row>
    <row r="67" s="139" customFormat="1" ht="19" customHeight="1" spans="1:45">
      <c r="A67" s="99">
        <v>65</v>
      </c>
      <c r="B67" s="98" t="s">
        <v>277</v>
      </c>
      <c r="C67" s="97" t="s">
        <v>205</v>
      </c>
      <c r="D67" s="98" t="s">
        <v>267</v>
      </c>
      <c r="E67" s="92" t="s">
        <v>68</v>
      </c>
      <c r="F67" s="168">
        <v>31</v>
      </c>
      <c r="G67" s="92" t="s">
        <v>57</v>
      </c>
      <c r="H67" s="92" t="s">
        <v>278</v>
      </c>
      <c r="I67" s="114"/>
      <c r="J67" s="111"/>
      <c r="K67" s="111"/>
      <c r="L67" s="94">
        <v>2</v>
      </c>
      <c r="M67" s="94" t="s">
        <v>268</v>
      </c>
      <c r="N67" s="94" t="s">
        <v>62</v>
      </c>
      <c r="O67" s="169"/>
      <c r="P67" s="169"/>
      <c r="Q67" s="169"/>
      <c r="R67" s="169" t="s">
        <v>279</v>
      </c>
      <c r="S67" s="156">
        <f>VLOOKUP(B67,'[2]62人'!$B:$R,17,FALSE)</f>
        <v>12</v>
      </c>
      <c r="T67" s="37">
        <v>0</v>
      </c>
      <c r="U67" s="170"/>
      <c r="V67" s="169"/>
      <c r="W67" s="169"/>
      <c r="X67" s="158">
        <f>VLOOKUP(B67,[4]考勤分析!$A:$I,4,FALSE)</f>
        <v>0.812783333321568</v>
      </c>
      <c r="Y67" s="90" t="b">
        <f>VLOOKUP(B67,[4]考勤分析!$A:$I,5,FALSE)</f>
        <v>0</v>
      </c>
      <c r="Z67" s="90">
        <f>VLOOKUP(B67,[4]考勤分析!$A:$I,6,FALSE)</f>
        <v>42</v>
      </c>
      <c r="AA67" s="90">
        <f>VLOOKUP(B67,[4]考勤分析!$A:$I,7,FALSE)</f>
        <v>7</v>
      </c>
      <c r="AB67" s="90">
        <f>VLOOKUP(B67,[4]考勤分析!$A:$I,8,FALSE)</f>
        <v>1</v>
      </c>
      <c r="AC67" s="90">
        <f>VLOOKUP(B67,[4]考勤分析!$A:$I,9,FALSE)</f>
        <v>0</v>
      </c>
      <c r="AD67" s="90">
        <v>0</v>
      </c>
      <c r="AE67" s="90">
        <v>0</v>
      </c>
      <c r="AF67" s="90">
        <v>0</v>
      </c>
      <c r="AG67" s="90">
        <v>0</v>
      </c>
      <c r="AH67" s="90">
        <v>0</v>
      </c>
      <c r="AI67" s="90">
        <v>0</v>
      </c>
      <c r="AJ67" s="90"/>
      <c r="AK67" s="90" t="e">
        <f>VLOOKUP(B67,[3]总表!$B:$W,22,FALSE)</f>
        <v>#N/A</v>
      </c>
      <c r="AL67" s="171"/>
      <c r="AM67" s="171"/>
      <c r="AN67" s="171"/>
      <c r="AO67" s="171"/>
      <c r="AP67" s="171"/>
      <c r="AQ67" s="171"/>
      <c r="AR67" s="171"/>
      <c r="AS67" s="171"/>
    </row>
    <row r="68" s="139" customFormat="1" spans="1:45">
      <c r="A68" s="99">
        <v>66</v>
      </c>
      <c r="B68" s="98" t="s">
        <v>280</v>
      </c>
      <c r="C68" s="97" t="s">
        <v>205</v>
      </c>
      <c r="D68" s="98" t="s">
        <v>267</v>
      </c>
      <c r="E68" s="92" t="s">
        <v>68</v>
      </c>
      <c r="F68" s="168">
        <v>5</v>
      </c>
      <c r="G68" s="92" t="s">
        <v>69</v>
      </c>
      <c r="H68" s="92" t="s">
        <v>201</v>
      </c>
      <c r="I68" s="114"/>
      <c r="J68" s="111"/>
      <c r="K68" s="111"/>
      <c r="L68" s="94">
        <v>1</v>
      </c>
      <c r="M68" s="94" t="s">
        <v>268</v>
      </c>
      <c r="N68" s="94" t="s">
        <v>62</v>
      </c>
      <c r="O68" s="169"/>
      <c r="P68" s="169"/>
      <c r="Q68" s="169"/>
      <c r="R68" s="169"/>
      <c r="S68" s="156">
        <f>VLOOKUP(B68,'[2]62人'!$B:$R,17,FALSE)</f>
        <v>16</v>
      </c>
      <c r="T68" s="37">
        <v>8</v>
      </c>
      <c r="U68" s="170">
        <v>2</v>
      </c>
      <c r="V68" s="169"/>
      <c r="W68" s="169"/>
      <c r="X68" s="158">
        <f>VLOOKUP(B68,[4]考勤分析!$A:$I,4,FALSE)</f>
        <v>1.99369175628019</v>
      </c>
      <c r="Y68" s="90" t="b">
        <f>VLOOKUP(B68,[4]考勤分析!$A:$I,5,FALSE)</f>
        <v>0</v>
      </c>
      <c r="Z68" s="90">
        <f>VLOOKUP(B68,[4]考勤分析!$A:$I,6,FALSE)</f>
        <v>3</v>
      </c>
      <c r="AA68" s="90">
        <f>VLOOKUP(B68,[4]考勤分析!$A:$I,7,FALSE)</f>
        <v>36</v>
      </c>
      <c r="AB68" s="90">
        <f>VLOOKUP(B68,[4]考勤分析!$A:$I,8,FALSE)</f>
        <v>21</v>
      </c>
      <c r="AC68" s="90">
        <f>VLOOKUP(B68,[4]考勤分析!$A:$I,9,FALSE)</f>
        <v>2</v>
      </c>
      <c r="AD68" s="90">
        <v>0</v>
      </c>
      <c r="AE68" s="90">
        <v>0</v>
      </c>
      <c r="AF68" s="90">
        <v>0</v>
      </c>
      <c r="AG68" s="90">
        <v>0</v>
      </c>
      <c r="AH68" s="90">
        <v>0</v>
      </c>
      <c r="AI68" s="90">
        <v>0</v>
      </c>
      <c r="AJ68" s="90"/>
      <c r="AK68" s="90" t="e">
        <f>VLOOKUP(B68,[3]总表!$B:$W,22,FALSE)</f>
        <v>#N/A</v>
      </c>
      <c r="AL68" s="171"/>
      <c r="AM68" s="171"/>
      <c r="AN68" s="171"/>
      <c r="AO68" s="171"/>
      <c r="AP68" s="171"/>
      <c r="AQ68" s="171"/>
      <c r="AR68" s="171"/>
      <c r="AS68" s="171"/>
    </row>
    <row r="69" s="139" customFormat="1" spans="1:45">
      <c r="A69" s="99">
        <v>67</v>
      </c>
      <c r="B69" s="98" t="s">
        <v>281</v>
      </c>
      <c r="C69" s="97" t="s">
        <v>205</v>
      </c>
      <c r="D69" s="98" t="s">
        <v>267</v>
      </c>
      <c r="E69" s="92" t="s">
        <v>68</v>
      </c>
      <c r="F69" s="168">
        <v>4</v>
      </c>
      <c r="G69" s="92" t="s">
        <v>69</v>
      </c>
      <c r="H69" s="92" t="s">
        <v>250</v>
      </c>
      <c r="I69" s="114"/>
      <c r="J69" s="111"/>
      <c r="K69" s="111"/>
      <c r="L69" s="94">
        <v>1</v>
      </c>
      <c r="M69" s="94" t="s">
        <v>268</v>
      </c>
      <c r="N69" s="94" t="s">
        <v>62</v>
      </c>
      <c r="O69" s="169"/>
      <c r="P69" s="169"/>
      <c r="Q69" s="169"/>
      <c r="R69" s="169"/>
      <c r="S69" s="156">
        <f>VLOOKUP(B69,'[2]62人'!$B:$R,17,FALSE)</f>
        <v>12</v>
      </c>
      <c r="T69" s="37">
        <v>2</v>
      </c>
      <c r="U69" s="170">
        <v>1</v>
      </c>
      <c r="V69" s="169"/>
      <c r="W69" s="169"/>
      <c r="X69" s="158">
        <f>VLOOKUP(B69,[4]考勤分析!$A:$I,4,FALSE)</f>
        <v>2.23944444444201</v>
      </c>
      <c r="Y69" s="90" t="b">
        <f>VLOOKUP(B69,[4]考勤分析!$A:$I,5,FALSE)</f>
        <v>1</v>
      </c>
      <c r="Z69" s="90">
        <f>VLOOKUP(B69,[4]考勤分析!$A:$I,6,FALSE)</f>
        <v>7</v>
      </c>
      <c r="AA69" s="90">
        <f>VLOOKUP(B69,[4]考勤分析!$A:$I,7,FALSE)</f>
        <v>23</v>
      </c>
      <c r="AB69" s="90">
        <f>VLOOKUP(B69,[4]考勤分析!$A:$I,8,FALSE)</f>
        <v>30</v>
      </c>
      <c r="AC69" s="90">
        <f>VLOOKUP(B69,[4]考勤分析!$A:$I,9,FALSE)</f>
        <v>3</v>
      </c>
      <c r="AD69" s="90">
        <v>0</v>
      </c>
      <c r="AE69" s="90">
        <v>0</v>
      </c>
      <c r="AF69" s="90">
        <v>0</v>
      </c>
      <c r="AG69" s="90">
        <v>0</v>
      </c>
      <c r="AH69" s="90">
        <v>0</v>
      </c>
      <c r="AI69" s="90">
        <v>0</v>
      </c>
      <c r="AJ69" s="90"/>
      <c r="AK69" s="90" t="e">
        <f>VLOOKUP(B69,[3]总表!$B:$W,22,FALSE)</f>
        <v>#N/A</v>
      </c>
      <c r="AL69" s="171"/>
      <c r="AM69" s="171"/>
      <c r="AN69" s="171"/>
      <c r="AO69" s="171"/>
      <c r="AP69" s="171"/>
      <c r="AQ69" s="171"/>
      <c r="AR69" s="171"/>
      <c r="AS69" s="171"/>
    </row>
    <row r="70" s="139" customFormat="1" ht="43.2" spans="1:45">
      <c r="A70" s="99">
        <v>68</v>
      </c>
      <c r="B70" s="98" t="s">
        <v>282</v>
      </c>
      <c r="C70" s="97" t="s">
        <v>205</v>
      </c>
      <c r="D70" s="98" t="s">
        <v>206</v>
      </c>
      <c r="E70" s="92" t="s">
        <v>68</v>
      </c>
      <c r="F70" s="168">
        <v>3</v>
      </c>
      <c r="G70" s="92" t="s">
        <v>57</v>
      </c>
      <c r="H70" s="92" t="s">
        <v>122</v>
      </c>
      <c r="I70" s="114"/>
      <c r="J70" s="111"/>
      <c r="K70" s="111"/>
      <c r="L70" s="94">
        <v>1</v>
      </c>
      <c r="M70" s="94" t="s">
        <v>207</v>
      </c>
      <c r="N70" s="94" t="s">
        <v>62</v>
      </c>
      <c r="O70" s="169"/>
      <c r="P70" s="169"/>
      <c r="Q70" s="169"/>
      <c r="R70" s="169" t="s">
        <v>123</v>
      </c>
      <c r="S70" s="156">
        <f>VLOOKUP(B70,'[2]62人'!$B:$R,17,FALSE)</f>
        <v>15</v>
      </c>
      <c r="T70" s="37">
        <v>0</v>
      </c>
      <c r="U70" s="170"/>
      <c r="V70" s="169"/>
      <c r="W70" s="169"/>
      <c r="X70" s="158">
        <f>VLOOKUP(B70,[4]考勤分析!$A:$I,4,FALSE)</f>
        <v>1.58866319443678</v>
      </c>
      <c r="Y70" s="90" t="b">
        <f>VLOOKUP(B70,[4]考勤分析!$A:$I,5,FALSE)</f>
        <v>0</v>
      </c>
      <c r="Z70" s="90">
        <f>VLOOKUP(B70,[4]考勤分析!$A:$I,6,FALSE)</f>
        <v>32</v>
      </c>
      <c r="AA70" s="90">
        <f>VLOOKUP(B70,[4]考勤分析!$A:$I,7,FALSE)</f>
        <v>8</v>
      </c>
      <c r="AB70" s="90">
        <f>VLOOKUP(B70,[4]考勤分析!$A:$I,8,FALSE)</f>
        <v>20</v>
      </c>
      <c r="AC70" s="90">
        <f>VLOOKUP(B70,[4]考勤分析!$A:$I,9,FALSE)</f>
        <v>4</v>
      </c>
      <c r="AD70" s="90">
        <v>0</v>
      </c>
      <c r="AE70" s="90">
        <v>0</v>
      </c>
      <c r="AF70" s="90">
        <v>0</v>
      </c>
      <c r="AG70" s="90">
        <v>0</v>
      </c>
      <c r="AH70" s="90">
        <v>0</v>
      </c>
      <c r="AI70" s="90">
        <v>0</v>
      </c>
      <c r="AJ70" s="90"/>
      <c r="AK70" s="90" t="e">
        <f>VLOOKUP(B70,[3]总表!$B:$W,22,FALSE)</f>
        <v>#N/A</v>
      </c>
      <c r="AL70" s="171"/>
      <c r="AM70" s="171"/>
      <c r="AN70" s="171"/>
      <c r="AO70" s="171"/>
      <c r="AP70" s="171"/>
      <c r="AQ70" s="171"/>
      <c r="AR70" s="171"/>
      <c r="AS70" s="171"/>
    </row>
    <row r="71" s="139" customFormat="1" ht="57.6" spans="1:45">
      <c r="A71" s="99">
        <v>69</v>
      </c>
      <c r="B71" s="98" t="s">
        <v>283</v>
      </c>
      <c r="C71" s="97" t="s">
        <v>205</v>
      </c>
      <c r="D71" s="98" t="s">
        <v>206</v>
      </c>
      <c r="E71" s="92" t="s">
        <v>68</v>
      </c>
      <c r="F71" s="99">
        <f>VLOOKUP(B71,累计工龄!A:B,2,FALSE)</f>
        <v>1</v>
      </c>
      <c r="G71" s="92" t="s">
        <v>69</v>
      </c>
      <c r="H71" s="92" t="s">
        <v>284</v>
      </c>
      <c r="I71" s="114"/>
      <c r="J71" s="111"/>
      <c r="K71" s="111"/>
      <c r="L71" s="94">
        <v>0</v>
      </c>
      <c r="M71" s="94" t="s">
        <v>207</v>
      </c>
      <c r="N71" s="94" t="s">
        <v>62</v>
      </c>
      <c r="O71" s="169"/>
      <c r="P71" s="169"/>
      <c r="Q71" s="169"/>
      <c r="R71" s="169" t="s">
        <v>285</v>
      </c>
      <c r="S71" s="156">
        <f>VLOOKUP(B71,'[2]62人'!$B:$R,17,FALSE)</f>
        <v>15</v>
      </c>
      <c r="T71" s="37">
        <v>2</v>
      </c>
      <c r="U71" s="170"/>
      <c r="V71" s="169"/>
      <c r="W71" s="169"/>
      <c r="X71" s="158">
        <f>VLOOKUP(B71,[4]考勤分析!$A:$I,4,FALSE)</f>
        <v>1.78072859746305</v>
      </c>
      <c r="Y71" s="90" t="b">
        <f>VLOOKUP(B71,[4]考勤分析!$A:$I,5,FALSE)</f>
        <v>0</v>
      </c>
      <c r="Z71" s="90">
        <f>VLOOKUP(B71,[4]考勤分析!$A:$I,6,FALSE)</f>
        <v>7</v>
      </c>
      <c r="AA71" s="90">
        <f>VLOOKUP(B71,[4]考勤分析!$A:$I,7,FALSE)</f>
        <v>38</v>
      </c>
      <c r="AB71" s="90">
        <f>VLOOKUP(B71,[4]考勤分析!$A:$I,8,FALSE)</f>
        <v>15</v>
      </c>
      <c r="AC71" s="90">
        <f>VLOOKUP(B71,[4]考勤分析!$A:$I,9,FALSE)</f>
        <v>1</v>
      </c>
      <c r="AD71" s="90">
        <v>0</v>
      </c>
      <c r="AE71" s="90">
        <v>0</v>
      </c>
      <c r="AF71" s="90">
        <v>0</v>
      </c>
      <c r="AG71" s="90">
        <v>0</v>
      </c>
      <c r="AH71" s="90">
        <v>0</v>
      </c>
      <c r="AI71" s="90">
        <v>0</v>
      </c>
      <c r="AJ71" s="90"/>
      <c r="AK71" s="90" t="e">
        <f>VLOOKUP(B71,[3]总表!$B:$W,22,FALSE)</f>
        <v>#N/A</v>
      </c>
      <c r="AL71" s="171"/>
      <c r="AM71" s="171"/>
      <c r="AN71" s="171"/>
      <c r="AO71" s="171"/>
      <c r="AP71" s="171"/>
      <c r="AQ71" s="171"/>
      <c r="AR71" s="171"/>
      <c r="AS71" s="171"/>
    </row>
    <row r="72" s="139" customFormat="1" spans="1:45">
      <c r="A72" s="99">
        <v>70</v>
      </c>
      <c r="B72" s="98" t="s">
        <v>286</v>
      </c>
      <c r="C72" s="97" t="s">
        <v>205</v>
      </c>
      <c r="D72" s="98" t="s">
        <v>214</v>
      </c>
      <c r="E72" s="92" t="s">
        <v>56</v>
      </c>
      <c r="F72" s="168">
        <v>20</v>
      </c>
      <c r="G72" s="92" t="s">
        <v>69</v>
      </c>
      <c r="H72" s="92" t="s">
        <v>194</v>
      </c>
      <c r="I72" s="114"/>
      <c r="J72" s="111"/>
      <c r="K72" s="111"/>
      <c r="L72" s="94">
        <v>2</v>
      </c>
      <c r="M72" s="94" t="s">
        <v>215</v>
      </c>
      <c r="N72" s="94" t="s">
        <v>71</v>
      </c>
      <c r="O72" s="169"/>
      <c r="P72" s="169"/>
      <c r="Q72" s="169"/>
      <c r="R72" s="169"/>
      <c r="S72" s="156">
        <f>VLOOKUP(B72,'[2]62人'!$B:$R,17,FALSE)</f>
        <v>9</v>
      </c>
      <c r="T72" s="37">
        <v>0</v>
      </c>
      <c r="U72" s="170">
        <v>1</v>
      </c>
      <c r="V72" s="169"/>
      <c r="W72" s="169"/>
      <c r="X72" s="158">
        <f>VLOOKUP(B72,[4]考勤分析!$A:$I,4,FALSE)</f>
        <v>3.02901475694307</v>
      </c>
      <c r="Y72" s="90" t="b">
        <f>VLOOKUP(B72,[4]考勤分析!$A:$I,5,FALSE)</f>
        <v>1</v>
      </c>
      <c r="Z72" s="90">
        <f>VLOOKUP(B72,[4]考勤分析!$A:$I,6,FALSE)</f>
        <v>11</v>
      </c>
      <c r="AA72" s="90">
        <f>VLOOKUP(B72,[4]考勤分析!$A:$I,7,FALSE)</f>
        <v>10</v>
      </c>
      <c r="AB72" s="90">
        <f>VLOOKUP(B72,[4]考勤分析!$A:$I,8,FALSE)</f>
        <v>25</v>
      </c>
      <c r="AC72" s="90">
        <f>VLOOKUP(B72,[4]考勤分析!$A:$I,9,FALSE)</f>
        <v>18</v>
      </c>
      <c r="AD72" s="90">
        <v>0</v>
      </c>
      <c r="AE72" s="90">
        <v>0</v>
      </c>
      <c r="AF72" s="90">
        <v>0</v>
      </c>
      <c r="AG72" s="90">
        <v>0</v>
      </c>
      <c r="AH72" s="90">
        <v>0</v>
      </c>
      <c r="AI72" s="90">
        <v>0</v>
      </c>
      <c r="AJ72" s="90"/>
      <c r="AK72" s="90" t="e">
        <f>VLOOKUP(B72,[3]总表!$B:$W,22,FALSE)</f>
        <v>#N/A</v>
      </c>
      <c r="AL72" s="171"/>
      <c r="AM72" s="171"/>
      <c r="AN72" s="171"/>
      <c r="AO72" s="171"/>
      <c r="AP72" s="171"/>
      <c r="AQ72" s="171"/>
      <c r="AR72" s="171"/>
      <c r="AS72" s="171"/>
    </row>
    <row r="73" s="139" customFormat="1" spans="1:45">
      <c r="A73" s="99">
        <v>71</v>
      </c>
      <c r="B73" s="96" t="s">
        <v>287</v>
      </c>
      <c r="C73" s="97" t="s">
        <v>205</v>
      </c>
      <c r="D73" s="98" t="s">
        <v>214</v>
      </c>
      <c r="E73" s="92" t="s">
        <v>56</v>
      </c>
      <c r="F73" s="168">
        <v>10</v>
      </c>
      <c r="G73" s="92" t="s">
        <v>57</v>
      </c>
      <c r="H73" s="92" t="s">
        <v>288</v>
      </c>
      <c r="I73" s="114"/>
      <c r="J73" s="111"/>
      <c r="K73" s="111"/>
      <c r="L73" s="152">
        <v>4</v>
      </c>
      <c r="M73" s="94" t="s">
        <v>215</v>
      </c>
      <c r="N73" s="94" t="s">
        <v>62</v>
      </c>
      <c r="O73" s="169"/>
      <c r="P73" s="169"/>
      <c r="Q73" s="169"/>
      <c r="R73" s="169"/>
      <c r="S73" s="156">
        <f>VLOOKUP(B73,'[2]62人'!$B:$R,17,FALSE)</f>
        <v>14</v>
      </c>
      <c r="T73" s="37">
        <v>0</v>
      </c>
      <c r="U73" s="170"/>
      <c r="V73" s="169"/>
      <c r="W73" s="169"/>
      <c r="X73" s="158">
        <f>VLOOKUP(B73,[4]考勤分析!$A:$I,4,FALSE)</f>
        <v>0.895100182153239</v>
      </c>
      <c r="Y73" s="90" t="b">
        <f>VLOOKUP(B73,[4]考勤分析!$A:$I,5,FALSE)</f>
        <v>0</v>
      </c>
      <c r="Z73" s="90">
        <f>VLOOKUP(B73,[4]考勤分析!$A:$I,6,FALSE)</f>
        <v>46</v>
      </c>
      <c r="AA73" s="90">
        <f>VLOOKUP(B73,[4]考勤分析!$A:$I,7,FALSE)</f>
        <v>11</v>
      </c>
      <c r="AB73" s="90">
        <f>VLOOKUP(B73,[4]考勤分析!$A:$I,8,FALSE)</f>
        <v>4</v>
      </c>
      <c r="AC73" s="90">
        <f>VLOOKUP(B73,[4]考勤分析!$A:$I,9,FALSE)</f>
        <v>0</v>
      </c>
      <c r="AD73" s="90">
        <v>3</v>
      </c>
      <c r="AE73" s="90">
        <v>0</v>
      </c>
      <c r="AF73" s="90">
        <v>0</v>
      </c>
      <c r="AG73" s="90">
        <v>0</v>
      </c>
      <c r="AH73" s="90">
        <v>0</v>
      </c>
      <c r="AI73" s="90">
        <v>0</v>
      </c>
      <c r="AJ73" s="90"/>
      <c r="AK73" s="90" t="e">
        <f>VLOOKUP(B73,[3]总表!$B:$W,22,FALSE)</f>
        <v>#N/A</v>
      </c>
      <c r="AL73" s="171"/>
      <c r="AM73" s="171"/>
      <c r="AN73" s="171"/>
      <c r="AO73" s="171"/>
      <c r="AP73" s="171"/>
      <c r="AQ73" s="171"/>
      <c r="AR73" s="171"/>
      <c r="AS73" s="171"/>
    </row>
    <row r="74" s="139" customFormat="1" spans="1:45">
      <c r="A74" s="99">
        <v>72</v>
      </c>
      <c r="B74" s="98" t="s">
        <v>289</v>
      </c>
      <c r="C74" s="97" t="s">
        <v>205</v>
      </c>
      <c r="D74" s="98" t="s">
        <v>214</v>
      </c>
      <c r="E74" s="92" t="s">
        <v>56</v>
      </c>
      <c r="F74" s="168">
        <v>25</v>
      </c>
      <c r="G74" s="92" t="s">
        <v>57</v>
      </c>
      <c r="H74" s="92" t="s">
        <v>122</v>
      </c>
      <c r="I74" s="114"/>
      <c r="J74" s="111"/>
      <c r="K74" s="111"/>
      <c r="L74" s="94">
        <v>1</v>
      </c>
      <c r="M74" s="94" t="s">
        <v>215</v>
      </c>
      <c r="N74" s="94" t="s">
        <v>71</v>
      </c>
      <c r="O74" s="169"/>
      <c r="P74" s="169"/>
      <c r="Q74" s="169"/>
      <c r="R74" s="169"/>
      <c r="S74" s="156">
        <f>VLOOKUP(B74,'[2]62人'!$B:$R,17,FALSE)</f>
        <v>16</v>
      </c>
      <c r="T74" s="37">
        <v>0</v>
      </c>
      <c r="U74" s="170"/>
      <c r="V74" s="169"/>
      <c r="W74" s="169"/>
      <c r="X74" s="158">
        <f>VLOOKUP(B74,[4]考勤分析!$A:$I,4,FALSE)</f>
        <v>0.593819444426723</v>
      </c>
      <c r="Y74" s="90" t="b">
        <f>VLOOKUP(B74,[4]考勤分析!$A:$I,5,FALSE)</f>
        <v>0</v>
      </c>
      <c r="Z74" s="90">
        <f>VLOOKUP(B74,[4]考勤分析!$A:$I,6,FALSE)</f>
        <v>8</v>
      </c>
      <c r="AA74" s="90">
        <f>VLOOKUP(B74,[4]考勤分析!$A:$I,7,FALSE)</f>
        <v>4</v>
      </c>
      <c r="AB74" s="90">
        <f>VLOOKUP(B74,[4]考勤分析!$A:$I,8,FALSE)</f>
        <v>0</v>
      </c>
      <c r="AC74" s="90">
        <f>VLOOKUP(B74,[4]考勤分析!$A:$I,9,FALSE)</f>
        <v>0</v>
      </c>
      <c r="AD74" s="90">
        <v>5</v>
      </c>
      <c r="AE74" s="90">
        <v>5</v>
      </c>
      <c r="AF74" s="90">
        <v>0</v>
      </c>
      <c r="AG74" s="90">
        <v>0</v>
      </c>
      <c r="AH74" s="90">
        <v>0</v>
      </c>
      <c r="AI74" s="90">
        <v>0</v>
      </c>
      <c r="AJ74" s="90"/>
      <c r="AK74" s="90" t="e">
        <f>VLOOKUP(B74,[3]总表!$B:$W,22,FALSE)</f>
        <v>#N/A</v>
      </c>
      <c r="AL74" s="171"/>
      <c r="AM74" s="171"/>
      <c r="AN74" s="171"/>
      <c r="AO74" s="171"/>
      <c r="AP74" s="171"/>
      <c r="AQ74" s="171"/>
      <c r="AR74" s="171"/>
      <c r="AS74" s="171"/>
    </row>
    <row r="75" s="139" customFormat="1" spans="1:45">
      <c r="A75" s="99">
        <v>73</v>
      </c>
      <c r="B75" s="98" t="s">
        <v>290</v>
      </c>
      <c r="C75" s="97" t="s">
        <v>205</v>
      </c>
      <c r="D75" s="98" t="s">
        <v>291</v>
      </c>
      <c r="E75" s="92" t="s">
        <v>68</v>
      </c>
      <c r="F75" s="99">
        <v>0</v>
      </c>
      <c r="G75" s="92" t="s">
        <v>69</v>
      </c>
      <c r="H75" s="92" t="s">
        <v>292</v>
      </c>
      <c r="I75" s="114"/>
      <c r="J75" s="111"/>
      <c r="K75" s="111"/>
      <c r="L75" s="94">
        <v>0</v>
      </c>
      <c r="M75" s="94" t="s">
        <v>268</v>
      </c>
      <c r="N75" s="94" t="s">
        <v>62</v>
      </c>
      <c r="O75" s="169"/>
      <c r="P75" s="169"/>
      <c r="Q75" s="169"/>
      <c r="R75" s="169"/>
      <c r="S75" s="156">
        <f>VLOOKUP(B75,'[2]62人'!$B:$R,17,FALSE)</f>
        <v>6</v>
      </c>
      <c r="T75" s="37">
        <v>0</v>
      </c>
      <c r="U75" s="170"/>
      <c r="V75" s="169"/>
      <c r="W75" s="169"/>
      <c r="X75" s="158">
        <f>VLOOKUP(B75,[4]考勤分析!$A:$I,4,FALSE)</f>
        <v>0.867702821871111</v>
      </c>
      <c r="Y75" s="90" t="b">
        <f>VLOOKUP(B75,[4]考勤分析!$A:$I,5,FALSE)</f>
        <v>0</v>
      </c>
      <c r="Z75" s="90">
        <f>VLOOKUP(B75,[4]考勤分析!$A:$I,6,FALSE)</f>
        <v>51</v>
      </c>
      <c r="AA75" s="90">
        <f>VLOOKUP(B75,[4]考勤分析!$A:$I,7,FALSE)</f>
        <v>11</v>
      </c>
      <c r="AB75" s="90">
        <f>VLOOKUP(B75,[4]考勤分析!$A:$I,8,FALSE)</f>
        <v>0</v>
      </c>
      <c r="AC75" s="90">
        <f>VLOOKUP(B75,[4]考勤分析!$A:$I,9,FALSE)</f>
        <v>1</v>
      </c>
      <c r="AD75" s="90">
        <v>0</v>
      </c>
      <c r="AE75" s="90">
        <v>0</v>
      </c>
      <c r="AF75" s="90">
        <v>0</v>
      </c>
      <c r="AG75" s="90">
        <v>0</v>
      </c>
      <c r="AH75" s="90">
        <v>0</v>
      </c>
      <c r="AI75" s="90">
        <v>0</v>
      </c>
      <c r="AJ75" s="90"/>
      <c r="AK75" s="90" t="e">
        <f>VLOOKUP(B75,[3]总表!$B:$W,22,FALSE)</f>
        <v>#N/A</v>
      </c>
      <c r="AL75" s="171"/>
      <c r="AM75" s="171"/>
      <c r="AN75" s="171"/>
      <c r="AO75" s="171"/>
      <c r="AP75" s="171"/>
      <c r="AQ75" s="171"/>
      <c r="AR75" s="171"/>
      <c r="AS75" s="171"/>
    </row>
    <row r="76" s="139" customFormat="1" spans="1:45">
      <c r="A76" s="99">
        <v>74</v>
      </c>
      <c r="B76" s="98" t="s">
        <v>293</v>
      </c>
      <c r="C76" s="97" t="s">
        <v>205</v>
      </c>
      <c r="D76" s="98" t="s">
        <v>291</v>
      </c>
      <c r="E76" s="92" t="s">
        <v>56</v>
      </c>
      <c r="F76" s="99">
        <v>0</v>
      </c>
      <c r="G76" s="92" t="s">
        <v>69</v>
      </c>
      <c r="H76" s="92" t="s">
        <v>294</v>
      </c>
      <c r="I76" s="114"/>
      <c r="J76" s="111"/>
      <c r="K76" s="111"/>
      <c r="L76" s="94">
        <v>0</v>
      </c>
      <c r="M76" s="94" t="s">
        <v>268</v>
      </c>
      <c r="N76" s="94" t="s">
        <v>62</v>
      </c>
      <c r="O76" s="169"/>
      <c r="P76" s="169"/>
      <c r="Q76" s="169"/>
      <c r="R76" s="169"/>
      <c r="S76" s="156">
        <f>VLOOKUP(B76,'[2]62人'!$B:$R,17,FALSE)</f>
        <v>5</v>
      </c>
      <c r="T76" s="37">
        <v>2</v>
      </c>
      <c r="U76" s="170"/>
      <c r="V76" s="169"/>
      <c r="W76" s="169"/>
      <c r="X76" s="158">
        <f>VLOOKUP(B76,[4]考勤分析!$A:$I,4,FALSE)</f>
        <v>0.942385361552061</v>
      </c>
      <c r="Y76" s="90" t="b">
        <f>VLOOKUP(B76,[4]考勤分析!$A:$I,5,FALSE)</f>
        <v>0</v>
      </c>
      <c r="Z76" s="90">
        <f>VLOOKUP(B76,[4]考勤分析!$A:$I,6,FALSE)</f>
        <v>45</v>
      </c>
      <c r="AA76" s="90">
        <f>VLOOKUP(B76,[4]考勤分析!$A:$I,7,FALSE)</f>
        <v>15</v>
      </c>
      <c r="AB76" s="90">
        <f>VLOOKUP(B76,[4]考勤分析!$A:$I,8,FALSE)</f>
        <v>2</v>
      </c>
      <c r="AC76" s="90">
        <f>VLOOKUP(B76,[4]考勤分析!$A:$I,9,FALSE)</f>
        <v>1</v>
      </c>
      <c r="AD76" s="90">
        <v>0</v>
      </c>
      <c r="AE76" s="90">
        <v>0</v>
      </c>
      <c r="AF76" s="90">
        <v>0</v>
      </c>
      <c r="AG76" s="90">
        <v>0</v>
      </c>
      <c r="AH76" s="90">
        <v>0</v>
      </c>
      <c r="AI76" s="90">
        <v>0</v>
      </c>
      <c r="AJ76" s="90"/>
      <c r="AK76" s="90" t="e">
        <f>VLOOKUP(B76,[3]总表!$B:$W,22,FALSE)</f>
        <v>#N/A</v>
      </c>
      <c r="AL76" s="171"/>
      <c r="AM76" s="171"/>
      <c r="AN76" s="171"/>
      <c r="AO76" s="171"/>
      <c r="AP76" s="171"/>
      <c r="AQ76" s="171"/>
      <c r="AR76" s="171"/>
      <c r="AS76" s="171"/>
    </row>
    <row r="77" s="139" customFormat="1" spans="1:45">
      <c r="A77" s="99">
        <v>75</v>
      </c>
      <c r="B77" s="98" t="s">
        <v>295</v>
      </c>
      <c r="C77" s="97" t="s">
        <v>205</v>
      </c>
      <c r="D77" s="98" t="s">
        <v>291</v>
      </c>
      <c r="E77" s="92" t="s">
        <v>68</v>
      </c>
      <c r="F77" s="99">
        <v>0</v>
      </c>
      <c r="G77" s="92" t="s">
        <v>69</v>
      </c>
      <c r="H77" s="92" t="s">
        <v>296</v>
      </c>
      <c r="I77" s="114"/>
      <c r="J77" s="111"/>
      <c r="K77" s="111"/>
      <c r="L77" s="94">
        <v>0</v>
      </c>
      <c r="M77" s="94" t="s">
        <v>268</v>
      </c>
      <c r="N77" s="94" t="s">
        <v>62</v>
      </c>
      <c r="O77" s="169"/>
      <c r="P77" s="169"/>
      <c r="Q77" s="169"/>
      <c r="R77" s="169"/>
      <c r="S77" s="156">
        <f>VLOOKUP(B77,'[2]62人'!$B:$R,17,FALSE)</f>
        <v>6</v>
      </c>
      <c r="T77" s="37">
        <v>2</v>
      </c>
      <c r="U77" s="170"/>
      <c r="V77" s="169"/>
      <c r="W77" s="169"/>
      <c r="X77" s="158">
        <f>VLOOKUP(B77,[4]考勤分析!$A:$I,4,FALSE)</f>
        <v>0.454034391544863</v>
      </c>
      <c r="Y77" s="90" t="b">
        <f>VLOOKUP(B77,[4]考勤分析!$A:$I,5,FALSE)</f>
        <v>0</v>
      </c>
      <c r="Z77" s="90">
        <f>VLOOKUP(B77,[4]考勤分析!$A:$I,6,FALSE)</f>
        <v>60</v>
      </c>
      <c r="AA77" s="90">
        <f>VLOOKUP(B77,[4]考勤分析!$A:$I,7,FALSE)</f>
        <v>3</v>
      </c>
      <c r="AB77" s="90">
        <f>VLOOKUP(B77,[4]考勤分析!$A:$I,8,FALSE)</f>
        <v>0</v>
      </c>
      <c r="AC77" s="90">
        <f>VLOOKUP(B77,[4]考勤分析!$A:$I,9,FALSE)</f>
        <v>0</v>
      </c>
      <c r="AD77" s="90">
        <v>0</v>
      </c>
      <c r="AE77" s="90">
        <v>0</v>
      </c>
      <c r="AF77" s="90">
        <v>0</v>
      </c>
      <c r="AG77" s="90">
        <v>0</v>
      </c>
      <c r="AH77" s="90">
        <v>0</v>
      </c>
      <c r="AI77" s="90">
        <v>0</v>
      </c>
      <c r="AJ77" s="90"/>
      <c r="AK77" s="90" t="e">
        <f>VLOOKUP(B77,[3]总表!$B:$W,22,FALSE)</f>
        <v>#N/A</v>
      </c>
      <c r="AL77" s="171"/>
      <c r="AM77" s="171"/>
      <c r="AN77" s="171"/>
      <c r="AO77" s="171"/>
      <c r="AP77" s="171"/>
      <c r="AQ77" s="171"/>
      <c r="AR77" s="171"/>
      <c r="AS77" s="171"/>
    </row>
    <row r="78" s="139" customFormat="1" spans="1:45">
      <c r="A78" s="99">
        <v>76</v>
      </c>
      <c r="B78" s="98" t="s">
        <v>297</v>
      </c>
      <c r="C78" s="97" t="s">
        <v>205</v>
      </c>
      <c r="D78" s="98" t="s">
        <v>291</v>
      </c>
      <c r="E78" s="92" t="s">
        <v>68</v>
      </c>
      <c r="F78" s="99">
        <v>0</v>
      </c>
      <c r="G78" s="92" t="s">
        <v>69</v>
      </c>
      <c r="H78" s="92" t="s">
        <v>210</v>
      </c>
      <c r="I78" s="114"/>
      <c r="J78" s="111"/>
      <c r="K78" s="111"/>
      <c r="L78" s="94">
        <v>0</v>
      </c>
      <c r="M78" s="94" t="s">
        <v>268</v>
      </c>
      <c r="N78" s="94" t="s">
        <v>62</v>
      </c>
      <c r="O78" s="169"/>
      <c r="P78" s="169"/>
      <c r="Q78" s="169"/>
      <c r="R78" s="169"/>
      <c r="S78" s="156">
        <f>VLOOKUP(B78,'[2]62人'!$B:$R,17,FALSE)</f>
        <v>5</v>
      </c>
      <c r="T78" s="37">
        <v>3</v>
      </c>
      <c r="U78" s="170"/>
      <c r="V78" s="169"/>
      <c r="W78" s="169"/>
      <c r="X78" s="158">
        <f>VLOOKUP(B78,[4]考勤分析!$A:$I,4,FALSE)</f>
        <v>0.76149641578142</v>
      </c>
      <c r="Y78" s="90" t="b">
        <f>VLOOKUP(B78,[4]考勤分析!$A:$I,5,FALSE)</f>
        <v>0</v>
      </c>
      <c r="Z78" s="90">
        <f>VLOOKUP(B78,[4]考勤分析!$A:$I,6,FALSE)</f>
        <v>49</v>
      </c>
      <c r="AA78" s="90">
        <f>VLOOKUP(B78,[4]考勤分析!$A:$I,7,FALSE)</f>
        <v>12</v>
      </c>
      <c r="AB78" s="90">
        <f>VLOOKUP(B78,[4]考勤分析!$A:$I,8,FALSE)</f>
        <v>0</v>
      </c>
      <c r="AC78" s="90">
        <f>VLOOKUP(B78,[4]考勤分析!$A:$I,9,FALSE)</f>
        <v>1</v>
      </c>
      <c r="AD78" s="90">
        <v>0</v>
      </c>
      <c r="AE78" s="90">
        <v>0</v>
      </c>
      <c r="AF78" s="90">
        <v>0</v>
      </c>
      <c r="AG78" s="90">
        <v>0</v>
      </c>
      <c r="AH78" s="90">
        <v>0</v>
      </c>
      <c r="AI78" s="90">
        <v>0</v>
      </c>
      <c r="AJ78" s="90"/>
      <c r="AK78" s="90" t="e">
        <f>VLOOKUP(B78,[3]总表!$B:$W,22,FALSE)</f>
        <v>#N/A</v>
      </c>
      <c r="AL78" s="171"/>
      <c r="AM78" s="171"/>
      <c r="AN78" s="171"/>
      <c r="AO78" s="171"/>
      <c r="AP78" s="171"/>
      <c r="AQ78" s="171"/>
      <c r="AR78" s="171"/>
      <c r="AS78" s="171"/>
    </row>
    <row r="79" s="139" customFormat="1" spans="1:45">
      <c r="A79" s="99">
        <v>77</v>
      </c>
      <c r="B79" s="98" t="s">
        <v>298</v>
      </c>
      <c r="C79" s="97" t="s">
        <v>205</v>
      </c>
      <c r="D79" s="98" t="s">
        <v>291</v>
      </c>
      <c r="E79" s="92" t="s">
        <v>56</v>
      </c>
      <c r="F79" s="99">
        <v>0</v>
      </c>
      <c r="G79" s="92" t="s">
        <v>69</v>
      </c>
      <c r="H79" s="92" t="s">
        <v>299</v>
      </c>
      <c r="I79" s="114"/>
      <c r="J79" s="111"/>
      <c r="K79" s="111"/>
      <c r="L79" s="94">
        <v>0</v>
      </c>
      <c r="M79" s="94" t="s">
        <v>300</v>
      </c>
      <c r="N79" s="94" t="s">
        <v>62</v>
      </c>
      <c r="O79" s="169"/>
      <c r="P79" s="169"/>
      <c r="Q79" s="169"/>
      <c r="R79" s="169"/>
      <c r="S79" s="156">
        <f>VLOOKUP(B79,'[2]62人'!$B:$R,17,FALSE)</f>
        <v>8</v>
      </c>
      <c r="T79" s="37">
        <v>8</v>
      </c>
      <c r="U79" s="170"/>
      <c r="V79" s="169"/>
      <c r="W79" s="169"/>
      <c r="X79" s="158">
        <f>VLOOKUP(B79,[4]考勤分析!$A:$I,4,FALSE)</f>
        <v>1.83358024691402</v>
      </c>
      <c r="Y79" s="90" t="b">
        <f>VLOOKUP(B79,[4]考勤分析!$A:$I,5,FALSE)</f>
        <v>0</v>
      </c>
      <c r="Z79" s="90">
        <f>VLOOKUP(B79,[4]考勤分析!$A:$I,6,FALSE)</f>
        <v>17</v>
      </c>
      <c r="AA79" s="90">
        <f>VLOOKUP(B79,[4]考勤分析!$A:$I,7,FALSE)</f>
        <v>20</v>
      </c>
      <c r="AB79" s="90">
        <f>VLOOKUP(B79,[4]考勤分析!$A:$I,8,FALSE)</f>
        <v>25</v>
      </c>
      <c r="AC79" s="90">
        <f>VLOOKUP(B79,[4]考勤分析!$A:$I,9,FALSE)</f>
        <v>1</v>
      </c>
      <c r="AD79" s="90">
        <v>0</v>
      </c>
      <c r="AE79" s="90">
        <v>0</v>
      </c>
      <c r="AF79" s="90">
        <v>0</v>
      </c>
      <c r="AG79" s="90">
        <v>0</v>
      </c>
      <c r="AH79" s="90">
        <v>0</v>
      </c>
      <c r="AI79" s="90">
        <v>0</v>
      </c>
      <c r="AJ79" s="90"/>
      <c r="AK79" s="90" t="e">
        <f>VLOOKUP(B79,[3]总表!$B:$W,22,FALSE)</f>
        <v>#N/A</v>
      </c>
      <c r="AL79" s="171"/>
      <c r="AM79" s="171"/>
      <c r="AN79" s="171"/>
      <c r="AO79" s="171"/>
      <c r="AP79" s="171"/>
      <c r="AQ79" s="171"/>
      <c r="AR79" s="171"/>
      <c r="AS79" s="171"/>
    </row>
    <row r="80" s="139" customFormat="1" spans="1:45">
      <c r="A80" s="99">
        <v>78</v>
      </c>
      <c r="B80" s="98" t="s">
        <v>301</v>
      </c>
      <c r="C80" s="97" t="s">
        <v>205</v>
      </c>
      <c r="D80" s="98" t="s">
        <v>291</v>
      </c>
      <c r="E80" s="92" t="s">
        <v>56</v>
      </c>
      <c r="F80" s="99">
        <v>0</v>
      </c>
      <c r="G80" s="99"/>
      <c r="H80" s="99"/>
      <c r="I80" s="114"/>
      <c r="J80" s="111"/>
      <c r="K80" s="111"/>
      <c r="L80" s="94">
        <v>0</v>
      </c>
      <c r="M80" s="94" t="s">
        <v>300</v>
      </c>
      <c r="N80" s="94" t="s">
        <v>62</v>
      </c>
      <c r="O80" s="169"/>
      <c r="P80" s="169"/>
      <c r="Q80" s="169"/>
      <c r="R80" s="169"/>
      <c r="S80" s="156">
        <f>VLOOKUP(B80,'[2]62人'!$B:$R,17,FALSE)</f>
        <v>10</v>
      </c>
      <c r="T80" s="37">
        <v>1</v>
      </c>
      <c r="U80" s="170"/>
      <c r="V80" s="169"/>
      <c r="W80" s="169"/>
      <c r="X80" s="158">
        <f>VLOOKUP(B80,[4]考勤分析!$A:$I,4,FALSE)</f>
        <v>1.10872311828538</v>
      </c>
      <c r="Y80" s="90" t="b">
        <f>VLOOKUP(B80,[4]考勤分析!$A:$I,5,FALSE)</f>
        <v>0</v>
      </c>
      <c r="Z80" s="90">
        <f>VLOOKUP(B80,[4]考勤分析!$A:$I,6,FALSE)</f>
        <v>23</v>
      </c>
      <c r="AA80" s="90">
        <f>VLOOKUP(B80,[4]考勤分析!$A:$I,7,FALSE)</f>
        <v>34</v>
      </c>
      <c r="AB80" s="90">
        <f>VLOOKUP(B80,[4]考勤分析!$A:$I,8,FALSE)</f>
        <v>5</v>
      </c>
      <c r="AC80" s="90">
        <f>VLOOKUP(B80,[4]考勤分析!$A:$I,9,FALSE)</f>
        <v>0</v>
      </c>
      <c r="AD80" s="90">
        <v>0</v>
      </c>
      <c r="AE80" s="90">
        <v>0</v>
      </c>
      <c r="AF80" s="90">
        <v>0</v>
      </c>
      <c r="AG80" s="90">
        <v>0</v>
      </c>
      <c r="AH80" s="90">
        <v>0</v>
      </c>
      <c r="AI80" s="90">
        <v>0</v>
      </c>
      <c r="AJ80" s="90"/>
      <c r="AK80" s="90" t="e">
        <f>VLOOKUP(B80,[3]总表!$B:$W,22,FALSE)</f>
        <v>#N/A</v>
      </c>
      <c r="AL80" s="171"/>
      <c r="AM80" s="171"/>
      <c r="AN80" s="171"/>
      <c r="AO80" s="171"/>
      <c r="AP80" s="171"/>
      <c r="AQ80" s="171"/>
      <c r="AR80" s="171"/>
      <c r="AS80" s="171"/>
    </row>
    <row r="81" s="139" customFormat="1" spans="1:45">
      <c r="A81" s="99">
        <v>79</v>
      </c>
      <c r="B81" s="98" t="s">
        <v>302</v>
      </c>
      <c r="C81" s="97" t="s">
        <v>205</v>
      </c>
      <c r="D81" s="98" t="s">
        <v>291</v>
      </c>
      <c r="E81" s="92" t="s">
        <v>56</v>
      </c>
      <c r="F81" s="99">
        <v>0</v>
      </c>
      <c r="G81" s="99"/>
      <c r="H81" s="99"/>
      <c r="I81" s="114"/>
      <c r="J81" s="111"/>
      <c r="K81" s="111"/>
      <c r="L81" s="94">
        <v>0</v>
      </c>
      <c r="M81" s="94" t="s">
        <v>300</v>
      </c>
      <c r="N81" s="94" t="s">
        <v>62</v>
      </c>
      <c r="O81" s="169"/>
      <c r="P81" s="169"/>
      <c r="Q81" s="169"/>
      <c r="R81" s="169"/>
      <c r="S81" s="156">
        <f>VLOOKUP(B81,'[2]62人'!$B:$R,17,FALSE)</f>
        <v>8</v>
      </c>
      <c r="T81" s="37">
        <v>1</v>
      </c>
      <c r="U81" s="170"/>
      <c r="V81" s="169"/>
      <c r="W81" s="169"/>
      <c r="X81" s="158">
        <f>VLOOKUP(B81,[4]考勤分析!$A:$I,4,FALSE)</f>
        <v>0.498239247318951</v>
      </c>
      <c r="Y81" s="90" t="b">
        <f>VLOOKUP(B81,[4]考勤分析!$A:$I,5,FALSE)</f>
        <v>0</v>
      </c>
      <c r="Z81" s="90">
        <f>VLOOKUP(B81,[4]考勤分析!$A:$I,6,FALSE)</f>
        <v>57</v>
      </c>
      <c r="AA81" s="90">
        <f>VLOOKUP(B81,[4]考勤分析!$A:$I,7,FALSE)</f>
        <v>5</v>
      </c>
      <c r="AB81" s="90">
        <f>VLOOKUP(B81,[4]考勤分析!$A:$I,8,FALSE)</f>
        <v>0</v>
      </c>
      <c r="AC81" s="90">
        <f>VLOOKUP(B81,[4]考勤分析!$A:$I,9,FALSE)</f>
        <v>0</v>
      </c>
      <c r="AD81" s="90">
        <v>0</v>
      </c>
      <c r="AE81" s="90">
        <v>0</v>
      </c>
      <c r="AF81" s="90">
        <v>0</v>
      </c>
      <c r="AG81" s="90">
        <v>0</v>
      </c>
      <c r="AH81" s="90">
        <v>0</v>
      </c>
      <c r="AI81" s="90">
        <v>0</v>
      </c>
      <c r="AJ81" s="90"/>
      <c r="AK81" s="90" t="e">
        <f>VLOOKUP(B81,[3]总表!$B:$W,22,FALSE)</f>
        <v>#N/A</v>
      </c>
      <c r="AL81" s="171"/>
      <c r="AM81" s="171"/>
      <c r="AN81" s="171"/>
      <c r="AO81" s="171"/>
      <c r="AP81" s="171"/>
      <c r="AQ81" s="171"/>
      <c r="AR81" s="171"/>
      <c r="AS81" s="171"/>
    </row>
    <row r="82" s="139" customFormat="1" spans="1:45">
      <c r="A82" s="99">
        <v>80</v>
      </c>
      <c r="B82" s="98" t="s">
        <v>303</v>
      </c>
      <c r="C82" s="97" t="s">
        <v>205</v>
      </c>
      <c r="D82" s="98" t="s">
        <v>291</v>
      </c>
      <c r="E82" s="133" t="s">
        <v>68</v>
      </c>
      <c r="F82" s="99">
        <v>0</v>
      </c>
      <c r="G82" s="99"/>
      <c r="H82" s="99"/>
      <c r="I82" s="114"/>
      <c r="J82" s="111"/>
      <c r="K82" s="111"/>
      <c r="L82" s="94">
        <v>0</v>
      </c>
      <c r="M82" s="94" t="s">
        <v>300</v>
      </c>
      <c r="N82" s="94" t="s">
        <v>62</v>
      </c>
      <c r="O82" s="169"/>
      <c r="P82" s="169"/>
      <c r="Q82" s="169"/>
      <c r="R82" s="169"/>
      <c r="S82" s="156">
        <f>VLOOKUP(B82,'[2]62人'!$B:$R,17,FALSE)</f>
        <v>10</v>
      </c>
      <c r="T82" s="37">
        <v>6</v>
      </c>
      <c r="U82" s="170"/>
      <c r="V82" s="169"/>
      <c r="W82" s="169"/>
      <c r="X82" s="158">
        <f>VLOOKUP(B82,[4]考勤分析!$A:$I,4,FALSE)</f>
        <v>0.550595878134294</v>
      </c>
      <c r="Y82" s="90" t="b">
        <f>VLOOKUP(B82,[4]考勤分析!$A:$I,5,FALSE)</f>
        <v>0</v>
      </c>
      <c r="Z82" s="90">
        <f>VLOOKUP(B82,[4]考勤分析!$A:$I,6,FALSE)</f>
        <v>58</v>
      </c>
      <c r="AA82" s="90">
        <f>VLOOKUP(B82,[4]考勤分析!$A:$I,7,FALSE)</f>
        <v>3</v>
      </c>
      <c r="AB82" s="90">
        <f>VLOOKUP(B82,[4]考勤分析!$A:$I,8,FALSE)</f>
        <v>1</v>
      </c>
      <c r="AC82" s="90">
        <f>VLOOKUP(B82,[4]考勤分析!$A:$I,9,FALSE)</f>
        <v>0</v>
      </c>
      <c r="AD82" s="90">
        <v>0</v>
      </c>
      <c r="AE82" s="90">
        <v>0</v>
      </c>
      <c r="AF82" s="90">
        <v>0</v>
      </c>
      <c r="AG82" s="90">
        <v>0</v>
      </c>
      <c r="AH82" s="90">
        <v>0</v>
      </c>
      <c r="AI82" s="90">
        <v>0</v>
      </c>
      <c r="AJ82" s="90"/>
      <c r="AK82" s="90" t="e">
        <f>VLOOKUP(B82,[3]总表!$B:$W,22,FALSE)</f>
        <v>#N/A</v>
      </c>
      <c r="AL82" s="171"/>
      <c r="AM82" s="171"/>
      <c r="AN82" s="171"/>
      <c r="AO82" s="171"/>
      <c r="AP82" s="171"/>
      <c r="AQ82" s="171"/>
      <c r="AR82" s="171"/>
      <c r="AS82" s="171"/>
    </row>
    <row r="83" s="139" customFormat="1" spans="1:45">
      <c r="A83" s="99">
        <v>81</v>
      </c>
      <c r="B83" s="98" t="s">
        <v>304</v>
      </c>
      <c r="C83" s="97" t="s">
        <v>205</v>
      </c>
      <c r="D83" s="98" t="s">
        <v>291</v>
      </c>
      <c r="E83" s="133" t="s">
        <v>68</v>
      </c>
      <c r="F83" s="99">
        <v>0</v>
      </c>
      <c r="G83" s="99"/>
      <c r="H83" s="99"/>
      <c r="I83" s="114"/>
      <c r="J83" s="111"/>
      <c r="K83" s="111"/>
      <c r="L83" s="94">
        <v>0</v>
      </c>
      <c r="M83" s="94" t="s">
        <v>300</v>
      </c>
      <c r="N83" s="94" t="s">
        <v>62</v>
      </c>
      <c r="O83" s="169"/>
      <c r="P83" s="169"/>
      <c r="Q83" s="169"/>
      <c r="R83" s="169"/>
      <c r="S83" s="156">
        <f>VLOOKUP(B83,'[2]62人'!$B:$R,17,FALSE)</f>
        <v>13</v>
      </c>
      <c r="T83" s="37">
        <v>13</v>
      </c>
      <c r="U83" s="170"/>
      <c r="V83" s="169"/>
      <c r="W83" s="169"/>
      <c r="X83" s="158">
        <f>VLOOKUP(B83,[4]考勤分析!$A:$I,4,FALSE)</f>
        <v>0.552147266321025</v>
      </c>
      <c r="Y83" s="90" t="b">
        <f>VLOOKUP(B83,[4]考勤分析!$A:$I,5,FALSE)</f>
        <v>0</v>
      </c>
      <c r="Z83" s="90">
        <f>VLOOKUP(B83,[4]考勤分析!$A:$I,6,FALSE)</f>
        <v>59</v>
      </c>
      <c r="AA83" s="90">
        <f>VLOOKUP(B83,[4]考勤分析!$A:$I,7,FALSE)</f>
        <v>3</v>
      </c>
      <c r="AB83" s="90">
        <f>VLOOKUP(B83,[4]考勤分析!$A:$I,8,FALSE)</f>
        <v>1</v>
      </c>
      <c r="AC83" s="90">
        <f>VLOOKUP(B83,[4]考勤分析!$A:$I,9,FALSE)</f>
        <v>0</v>
      </c>
      <c r="AD83" s="90">
        <v>0</v>
      </c>
      <c r="AE83" s="90">
        <v>0</v>
      </c>
      <c r="AF83" s="90">
        <v>0</v>
      </c>
      <c r="AG83" s="90">
        <v>0</v>
      </c>
      <c r="AH83" s="90">
        <v>0</v>
      </c>
      <c r="AI83" s="90">
        <v>0</v>
      </c>
      <c r="AJ83" s="90"/>
      <c r="AK83" s="90" t="e">
        <f>VLOOKUP(B83,[3]总表!$B:$W,22,FALSE)</f>
        <v>#N/A</v>
      </c>
      <c r="AL83" s="171"/>
      <c r="AM83" s="171"/>
      <c r="AN83" s="171"/>
      <c r="AO83" s="171"/>
      <c r="AP83" s="171"/>
      <c r="AQ83" s="171"/>
      <c r="AR83" s="171"/>
      <c r="AS83" s="171"/>
    </row>
    <row r="84" s="139" customFormat="1" spans="1:45">
      <c r="A84" s="99">
        <v>82</v>
      </c>
      <c r="B84" s="98" t="s">
        <v>305</v>
      </c>
      <c r="C84" s="97" t="s">
        <v>205</v>
      </c>
      <c r="D84" s="98" t="s">
        <v>291</v>
      </c>
      <c r="E84" s="133" t="s">
        <v>68</v>
      </c>
      <c r="F84" s="99">
        <v>0</v>
      </c>
      <c r="G84" s="99"/>
      <c r="H84" s="99"/>
      <c r="I84" s="114"/>
      <c r="J84" s="111"/>
      <c r="K84" s="111"/>
      <c r="L84" s="94">
        <v>0</v>
      </c>
      <c r="M84" s="94" t="s">
        <v>300</v>
      </c>
      <c r="N84" s="94" t="s">
        <v>62</v>
      </c>
      <c r="O84" s="169"/>
      <c r="P84" s="169"/>
      <c r="Q84" s="169"/>
      <c r="R84" s="169"/>
      <c r="S84" s="156">
        <f>VLOOKUP(B84,'[2]62人'!$B:$R,17,FALSE)</f>
        <v>17</v>
      </c>
      <c r="T84" s="37">
        <v>20</v>
      </c>
      <c r="U84" s="170"/>
      <c r="V84" s="169"/>
      <c r="W84" s="169"/>
      <c r="X84" s="158">
        <f>VLOOKUP(B84,[4]考勤分析!$A:$I,4,FALSE)</f>
        <v>0.466012544798545</v>
      </c>
      <c r="Y84" s="90" t="b">
        <f>VLOOKUP(B84,[4]考勤分析!$A:$I,5,FALSE)</f>
        <v>0</v>
      </c>
      <c r="Z84" s="90">
        <f>VLOOKUP(B84,[4]考勤分析!$A:$I,6,FALSE)</f>
        <v>58</v>
      </c>
      <c r="AA84" s="90">
        <f>VLOOKUP(B84,[4]考勤分析!$A:$I,7,FALSE)</f>
        <v>3</v>
      </c>
      <c r="AB84" s="90">
        <f>VLOOKUP(B84,[4]考勤分析!$A:$I,8,FALSE)</f>
        <v>1</v>
      </c>
      <c r="AC84" s="90">
        <f>VLOOKUP(B84,[4]考勤分析!$A:$I,9,FALSE)</f>
        <v>0</v>
      </c>
      <c r="AD84" s="90">
        <v>0</v>
      </c>
      <c r="AE84" s="90">
        <v>0</v>
      </c>
      <c r="AF84" s="90">
        <v>0</v>
      </c>
      <c r="AG84" s="90">
        <v>0</v>
      </c>
      <c r="AH84" s="90">
        <v>0</v>
      </c>
      <c r="AI84" s="90">
        <v>0</v>
      </c>
      <c r="AJ84" s="90"/>
      <c r="AK84" s="90" t="e">
        <f>VLOOKUP(B84,[3]总表!$B:$W,22,FALSE)</f>
        <v>#N/A</v>
      </c>
      <c r="AL84" s="171"/>
      <c r="AM84" s="171"/>
      <c r="AN84" s="171"/>
      <c r="AO84" s="171"/>
      <c r="AP84" s="171"/>
      <c r="AQ84" s="171"/>
      <c r="AR84" s="171"/>
      <c r="AS84" s="171"/>
    </row>
    <row r="85" s="139" customFormat="1" spans="1:45">
      <c r="A85" s="99">
        <v>83</v>
      </c>
      <c r="B85" s="98" t="s">
        <v>306</v>
      </c>
      <c r="C85" s="97" t="s">
        <v>205</v>
      </c>
      <c r="D85" s="98" t="s">
        <v>291</v>
      </c>
      <c r="E85" s="133" t="s">
        <v>56</v>
      </c>
      <c r="F85" s="99">
        <v>0</v>
      </c>
      <c r="G85" s="99"/>
      <c r="H85" s="99"/>
      <c r="I85" s="114"/>
      <c r="J85" s="111"/>
      <c r="K85" s="111"/>
      <c r="L85" s="94">
        <v>0</v>
      </c>
      <c r="M85" s="94" t="s">
        <v>300</v>
      </c>
      <c r="N85" s="94" t="s">
        <v>62</v>
      </c>
      <c r="O85" s="169"/>
      <c r="P85" s="169"/>
      <c r="Q85" s="169"/>
      <c r="R85" s="169"/>
      <c r="S85" s="156">
        <f>VLOOKUP(B85,'[2]62人'!$B:$R,17,FALSE)</f>
        <v>12</v>
      </c>
      <c r="T85" s="37">
        <v>0</v>
      </c>
      <c r="U85" s="170"/>
      <c r="V85" s="169"/>
      <c r="W85" s="169"/>
      <c r="X85" s="158">
        <f>VLOOKUP(B85,[4]考勤分析!$A:$I,4,FALSE)</f>
        <v>0.982103174611454</v>
      </c>
      <c r="Y85" s="90" t="b">
        <f>VLOOKUP(B85,[4]考勤分析!$A:$I,5,FALSE)</f>
        <v>0</v>
      </c>
      <c r="Z85" s="90">
        <f>VLOOKUP(B85,[4]考勤分析!$A:$I,6,FALSE)</f>
        <v>40</v>
      </c>
      <c r="AA85" s="90">
        <f>VLOOKUP(B85,[4]考勤分析!$A:$I,7,FALSE)</f>
        <v>18</v>
      </c>
      <c r="AB85" s="90">
        <f>VLOOKUP(B85,[4]考勤分析!$A:$I,8,FALSE)</f>
        <v>3</v>
      </c>
      <c r="AC85" s="90">
        <f>VLOOKUP(B85,[4]考勤分析!$A:$I,9,FALSE)</f>
        <v>2</v>
      </c>
      <c r="AD85" s="90">
        <v>0</v>
      </c>
      <c r="AE85" s="90">
        <v>0</v>
      </c>
      <c r="AF85" s="90">
        <v>0</v>
      </c>
      <c r="AG85" s="90">
        <v>0</v>
      </c>
      <c r="AH85" s="90">
        <v>0</v>
      </c>
      <c r="AI85" s="90">
        <v>0</v>
      </c>
      <c r="AJ85" s="90"/>
      <c r="AK85" s="90" t="e">
        <f>VLOOKUP(B85,[3]总表!$B:$W,22,FALSE)</f>
        <v>#N/A</v>
      </c>
      <c r="AL85" s="171"/>
      <c r="AM85" s="171"/>
      <c r="AN85" s="171"/>
      <c r="AO85" s="171"/>
      <c r="AP85" s="171"/>
      <c r="AQ85" s="171"/>
      <c r="AR85" s="171"/>
      <c r="AS85" s="171"/>
    </row>
    <row r="86" s="139" customFormat="1" spans="1:45">
      <c r="A86" s="99">
        <v>84</v>
      </c>
      <c r="B86" s="98" t="s">
        <v>307</v>
      </c>
      <c r="C86" s="97" t="s">
        <v>205</v>
      </c>
      <c r="D86" s="98" t="s">
        <v>291</v>
      </c>
      <c r="E86" s="133" t="s">
        <v>68</v>
      </c>
      <c r="F86" s="99">
        <v>0</v>
      </c>
      <c r="G86" s="99"/>
      <c r="H86" s="99"/>
      <c r="I86" s="114"/>
      <c r="J86" s="111"/>
      <c r="K86" s="111"/>
      <c r="L86" s="94">
        <v>0</v>
      </c>
      <c r="M86" s="94" t="s">
        <v>300</v>
      </c>
      <c r="N86" s="94" t="s">
        <v>62</v>
      </c>
      <c r="O86" s="169"/>
      <c r="P86" s="169"/>
      <c r="Q86" s="169"/>
      <c r="R86" s="169"/>
      <c r="S86" s="156">
        <f>VLOOKUP(B86,'[2]62人'!$B:$R,17,FALSE)</f>
        <v>6</v>
      </c>
      <c r="T86" s="37">
        <v>7</v>
      </c>
      <c r="U86" s="170"/>
      <c r="V86" s="169"/>
      <c r="W86" s="169"/>
      <c r="X86" s="158">
        <f>VLOOKUP(B86,[4]考勤分析!$A:$I,4,FALSE)</f>
        <v>0.736349206350352</v>
      </c>
      <c r="Y86" s="90" t="b">
        <f>VLOOKUP(B86,[4]考勤分析!$A:$I,5,FALSE)</f>
        <v>0</v>
      </c>
      <c r="Z86" s="90">
        <f>VLOOKUP(B86,[4]考勤分析!$A:$I,6,FALSE)</f>
        <v>49</v>
      </c>
      <c r="AA86" s="90">
        <f>VLOOKUP(B86,[4]考勤分析!$A:$I,7,FALSE)</f>
        <v>11</v>
      </c>
      <c r="AB86" s="90">
        <f>VLOOKUP(B86,[4]考勤分析!$A:$I,8,FALSE)</f>
        <v>2</v>
      </c>
      <c r="AC86" s="90">
        <f>VLOOKUP(B86,[4]考勤分析!$A:$I,9,FALSE)</f>
        <v>1</v>
      </c>
      <c r="AD86" s="90">
        <v>0</v>
      </c>
      <c r="AE86" s="90">
        <v>0</v>
      </c>
      <c r="AF86" s="90">
        <v>0</v>
      </c>
      <c r="AG86" s="90">
        <v>0</v>
      </c>
      <c r="AH86" s="90">
        <v>0</v>
      </c>
      <c r="AI86" s="90">
        <v>0</v>
      </c>
      <c r="AJ86" s="90"/>
      <c r="AK86" s="90" t="e">
        <f>VLOOKUP(B86,[3]总表!$B:$W,22,FALSE)</f>
        <v>#N/A</v>
      </c>
      <c r="AL86" s="171"/>
      <c r="AM86" s="171"/>
      <c r="AN86" s="171"/>
      <c r="AO86" s="171"/>
      <c r="AP86" s="171"/>
      <c r="AQ86" s="171"/>
      <c r="AR86" s="171"/>
      <c r="AS86" s="171"/>
    </row>
    <row r="87" s="139" customFormat="1" spans="1:45">
      <c r="A87" s="99">
        <v>85</v>
      </c>
      <c r="B87" s="98" t="s">
        <v>308</v>
      </c>
      <c r="C87" s="97" t="s">
        <v>205</v>
      </c>
      <c r="D87" s="98" t="s">
        <v>291</v>
      </c>
      <c r="E87" s="133" t="s">
        <v>68</v>
      </c>
      <c r="F87" s="99">
        <v>0</v>
      </c>
      <c r="G87" s="99"/>
      <c r="H87" s="99"/>
      <c r="I87" s="114"/>
      <c r="J87" s="111"/>
      <c r="K87" s="111"/>
      <c r="L87" s="94">
        <v>0</v>
      </c>
      <c r="M87" s="94" t="s">
        <v>300</v>
      </c>
      <c r="N87" s="94" t="s">
        <v>62</v>
      </c>
      <c r="O87" s="169"/>
      <c r="P87" s="169"/>
      <c r="Q87" s="169"/>
      <c r="R87" s="169"/>
      <c r="S87" s="156">
        <f>VLOOKUP(B87,'[2]62人'!$B:$R,17,FALSE)</f>
        <v>11</v>
      </c>
      <c r="T87" s="37">
        <v>0</v>
      </c>
      <c r="U87" s="170"/>
      <c r="V87" s="169"/>
      <c r="W87" s="169"/>
      <c r="X87" s="158">
        <f>VLOOKUP(B87,[4]考勤分析!$A:$I,4,FALSE)</f>
        <v>0.3380286738468</v>
      </c>
      <c r="Y87" s="90" t="b">
        <f>VLOOKUP(B87,[4]考勤分析!$A:$I,5,FALSE)</f>
        <v>0</v>
      </c>
      <c r="Z87" s="90">
        <f>VLOOKUP(B87,[4]考勤分析!$A:$I,6,FALSE)</f>
        <v>62</v>
      </c>
      <c r="AA87" s="90">
        <f>VLOOKUP(B87,[4]考勤分析!$A:$I,7,FALSE)</f>
        <v>0</v>
      </c>
      <c r="AB87" s="90">
        <f>VLOOKUP(B87,[4]考勤分析!$A:$I,8,FALSE)</f>
        <v>0</v>
      </c>
      <c r="AC87" s="90">
        <f>VLOOKUP(B87,[4]考勤分析!$A:$I,9,FALSE)</f>
        <v>0</v>
      </c>
      <c r="AD87" s="90">
        <v>0</v>
      </c>
      <c r="AE87" s="90">
        <v>0</v>
      </c>
      <c r="AF87" s="90">
        <v>0</v>
      </c>
      <c r="AG87" s="90">
        <v>0</v>
      </c>
      <c r="AH87" s="90">
        <v>0</v>
      </c>
      <c r="AI87" s="90">
        <v>0</v>
      </c>
      <c r="AJ87" s="90"/>
      <c r="AK87" s="90" t="e">
        <f>VLOOKUP(B87,[3]总表!$B:$W,22,FALSE)</f>
        <v>#N/A</v>
      </c>
      <c r="AL87" s="171"/>
      <c r="AM87" s="171"/>
      <c r="AN87" s="171"/>
      <c r="AO87" s="171"/>
      <c r="AP87" s="171"/>
      <c r="AQ87" s="171"/>
      <c r="AR87" s="171"/>
      <c r="AS87" s="171"/>
    </row>
    <row r="88" s="139" customFormat="1" spans="1:45">
      <c r="A88" s="99">
        <v>86</v>
      </c>
      <c r="B88" s="98" t="s">
        <v>309</v>
      </c>
      <c r="C88" s="97" t="s">
        <v>205</v>
      </c>
      <c r="D88" s="98" t="s">
        <v>291</v>
      </c>
      <c r="E88" s="133" t="s">
        <v>68</v>
      </c>
      <c r="F88" s="99">
        <v>0</v>
      </c>
      <c r="G88" s="99"/>
      <c r="H88" s="99"/>
      <c r="I88" s="114"/>
      <c r="J88" s="111"/>
      <c r="K88" s="111"/>
      <c r="L88" s="94">
        <v>0</v>
      </c>
      <c r="M88" s="94" t="s">
        <v>300</v>
      </c>
      <c r="N88" s="94" t="s">
        <v>62</v>
      </c>
      <c r="O88" s="169"/>
      <c r="P88" s="169"/>
      <c r="Q88" s="169"/>
      <c r="R88" s="169"/>
      <c r="S88" s="156">
        <f>VLOOKUP(B88,'[2]62人'!$B:$R,17,FALSE)</f>
        <v>15</v>
      </c>
      <c r="T88" s="37">
        <v>0</v>
      </c>
      <c r="U88" s="170"/>
      <c r="V88" s="169"/>
      <c r="W88" s="169"/>
      <c r="X88" s="158">
        <f>VLOOKUP(B88,[4]考勤分析!$A:$I,4,FALSE)</f>
        <v>0.550681003559035</v>
      </c>
      <c r="Y88" s="90" t="b">
        <f>VLOOKUP(B88,[4]考勤分析!$A:$I,5,FALSE)</f>
        <v>0</v>
      </c>
      <c r="Z88" s="90">
        <f>VLOOKUP(B88,[4]考勤分析!$A:$I,6,FALSE)</f>
        <v>58</v>
      </c>
      <c r="AA88" s="90">
        <f>VLOOKUP(B88,[4]考勤分析!$A:$I,7,FALSE)</f>
        <v>2</v>
      </c>
      <c r="AB88" s="90">
        <f>VLOOKUP(B88,[4]考勤分析!$A:$I,8,FALSE)</f>
        <v>1</v>
      </c>
      <c r="AC88" s="90">
        <f>VLOOKUP(B88,[4]考勤分析!$A:$I,9,FALSE)</f>
        <v>1</v>
      </c>
      <c r="AD88" s="90">
        <v>0</v>
      </c>
      <c r="AE88" s="90">
        <v>0</v>
      </c>
      <c r="AF88" s="90">
        <v>0</v>
      </c>
      <c r="AG88" s="90">
        <v>0</v>
      </c>
      <c r="AH88" s="90">
        <v>0</v>
      </c>
      <c r="AI88" s="90">
        <v>0</v>
      </c>
      <c r="AJ88" s="90"/>
      <c r="AK88" s="90" t="e">
        <f>VLOOKUP(B88,[3]总表!$B:$W,22,FALSE)</f>
        <v>#N/A</v>
      </c>
      <c r="AL88" s="171"/>
      <c r="AM88" s="171"/>
      <c r="AN88" s="171"/>
      <c r="AO88" s="171"/>
      <c r="AP88" s="171"/>
      <c r="AQ88" s="171"/>
      <c r="AR88" s="171"/>
      <c r="AS88" s="171"/>
    </row>
    <row r="89" s="139" customFormat="1" spans="1:45">
      <c r="A89" s="99">
        <v>87</v>
      </c>
      <c r="B89" s="98" t="s">
        <v>310</v>
      </c>
      <c r="C89" s="97" t="s">
        <v>205</v>
      </c>
      <c r="D89" s="98" t="s">
        <v>291</v>
      </c>
      <c r="E89" s="133" t="s">
        <v>68</v>
      </c>
      <c r="F89" s="99">
        <v>0</v>
      </c>
      <c r="G89" s="99"/>
      <c r="H89" s="99"/>
      <c r="I89" s="114"/>
      <c r="J89" s="111"/>
      <c r="K89" s="111"/>
      <c r="L89" s="94">
        <v>0</v>
      </c>
      <c r="M89" s="94" t="s">
        <v>300</v>
      </c>
      <c r="N89" s="94" t="s">
        <v>62</v>
      </c>
      <c r="O89" s="169"/>
      <c r="P89" s="169"/>
      <c r="Q89" s="169"/>
      <c r="R89" s="169"/>
      <c r="S89" s="156">
        <f>VLOOKUP(B89,'[2]62人'!$B:$R,17,FALSE)</f>
        <v>13</v>
      </c>
      <c r="T89" s="37">
        <v>19</v>
      </c>
      <c r="U89" s="170"/>
      <c r="V89" s="169"/>
      <c r="W89" s="169"/>
      <c r="X89" s="158">
        <f>VLOOKUP(B89,[4]考勤分析!$A:$I,4,FALSE)</f>
        <v>1.02166666666152</v>
      </c>
      <c r="Y89" s="90" t="b">
        <f>VLOOKUP(B89,[4]考勤分析!$A:$I,5,FALSE)</f>
        <v>0</v>
      </c>
      <c r="Z89" s="90">
        <f>VLOOKUP(B89,[4]考勤分析!$A:$I,6,FALSE)</f>
        <v>50</v>
      </c>
      <c r="AA89" s="90">
        <f>VLOOKUP(B89,[4]考勤分析!$A:$I,7,FALSE)</f>
        <v>5</v>
      </c>
      <c r="AB89" s="90">
        <f>VLOOKUP(B89,[4]考勤分析!$A:$I,8,FALSE)</f>
        <v>3</v>
      </c>
      <c r="AC89" s="90">
        <f>VLOOKUP(B89,[4]考勤分析!$A:$I,9,FALSE)</f>
        <v>1</v>
      </c>
      <c r="AD89" s="90">
        <v>0</v>
      </c>
      <c r="AE89" s="90">
        <v>0</v>
      </c>
      <c r="AF89" s="90">
        <v>0</v>
      </c>
      <c r="AG89" s="90">
        <v>0</v>
      </c>
      <c r="AH89" s="90">
        <v>0</v>
      </c>
      <c r="AI89" s="90">
        <v>0</v>
      </c>
      <c r="AJ89" s="90"/>
      <c r="AK89" s="90" t="e">
        <f>VLOOKUP(B89,[3]总表!$B:$W,22,FALSE)</f>
        <v>#N/A</v>
      </c>
      <c r="AL89" s="171"/>
      <c r="AM89" s="171"/>
      <c r="AN89" s="171"/>
      <c r="AO89" s="171"/>
      <c r="AP89" s="171"/>
      <c r="AQ89" s="171"/>
      <c r="AR89" s="171"/>
      <c r="AS89" s="171"/>
    </row>
    <row r="90" s="139" customFormat="1" spans="1:45">
      <c r="A90" s="99">
        <v>88</v>
      </c>
      <c r="B90" s="98" t="s">
        <v>311</v>
      </c>
      <c r="C90" s="97" t="s">
        <v>205</v>
      </c>
      <c r="D90" s="98" t="s">
        <v>291</v>
      </c>
      <c r="E90" s="133" t="s">
        <v>56</v>
      </c>
      <c r="F90" s="99">
        <v>0</v>
      </c>
      <c r="G90" s="99"/>
      <c r="H90" s="99"/>
      <c r="I90" s="114"/>
      <c r="J90" s="111"/>
      <c r="K90" s="111"/>
      <c r="L90" s="94">
        <v>0</v>
      </c>
      <c r="M90" s="94" t="s">
        <v>300</v>
      </c>
      <c r="N90" s="94" t="s">
        <v>62</v>
      </c>
      <c r="O90" s="169"/>
      <c r="P90" s="169"/>
      <c r="Q90" s="169"/>
      <c r="R90" s="169"/>
      <c r="S90" s="156">
        <f>VLOOKUP(B90,'[2]62人'!$B:$R,17,FALSE)</f>
        <v>4</v>
      </c>
      <c r="T90" s="37">
        <v>1</v>
      </c>
      <c r="U90" s="170"/>
      <c r="V90" s="169"/>
      <c r="W90" s="169"/>
      <c r="X90" s="158">
        <f>VLOOKUP(B90,[4]考勤分析!$A:$I,4,FALSE)</f>
        <v>0.959380692179261</v>
      </c>
      <c r="Y90" s="90" t="b">
        <f>VLOOKUP(B90,[4]考勤分析!$A:$I,5,FALSE)</f>
        <v>0</v>
      </c>
      <c r="Z90" s="90">
        <f>VLOOKUP(B90,[4]考勤分析!$A:$I,6,FALSE)</f>
        <v>45</v>
      </c>
      <c r="AA90" s="90">
        <f>VLOOKUP(B90,[4]考勤分析!$A:$I,7,FALSE)</f>
        <v>12</v>
      </c>
      <c r="AB90" s="90">
        <f>VLOOKUP(B90,[4]考勤分析!$A:$I,8,FALSE)</f>
        <v>1</v>
      </c>
      <c r="AC90" s="90">
        <f>VLOOKUP(B90,[4]考勤分析!$A:$I,9,FALSE)</f>
        <v>3</v>
      </c>
      <c r="AD90" s="90">
        <v>0</v>
      </c>
      <c r="AE90" s="90">
        <v>0</v>
      </c>
      <c r="AF90" s="90">
        <v>0</v>
      </c>
      <c r="AG90" s="90">
        <v>0</v>
      </c>
      <c r="AH90" s="90">
        <v>0</v>
      </c>
      <c r="AI90" s="90">
        <v>0</v>
      </c>
      <c r="AJ90" s="90"/>
      <c r="AK90" s="90" t="e">
        <f>VLOOKUP(B90,[3]总表!$B:$W,22,FALSE)</f>
        <v>#N/A</v>
      </c>
      <c r="AL90" s="171"/>
      <c r="AM90" s="171"/>
      <c r="AN90" s="171"/>
      <c r="AO90" s="171"/>
      <c r="AP90" s="171"/>
      <c r="AQ90" s="171"/>
      <c r="AR90" s="171"/>
      <c r="AS90" s="171"/>
    </row>
    <row r="91" s="139" customFormat="1" spans="1:45">
      <c r="A91" s="99">
        <v>89</v>
      </c>
      <c r="B91" s="98" t="s">
        <v>312</v>
      </c>
      <c r="C91" s="97" t="s">
        <v>205</v>
      </c>
      <c r="D91" s="98" t="s">
        <v>291</v>
      </c>
      <c r="E91" s="133" t="s">
        <v>68</v>
      </c>
      <c r="F91" s="99">
        <v>0</v>
      </c>
      <c r="G91" s="99"/>
      <c r="H91" s="99"/>
      <c r="I91" s="114"/>
      <c r="J91" s="111"/>
      <c r="K91" s="111"/>
      <c r="L91" s="94">
        <v>0</v>
      </c>
      <c r="M91" s="94" t="s">
        <v>300</v>
      </c>
      <c r="N91" s="94" t="s">
        <v>62</v>
      </c>
      <c r="O91" s="169"/>
      <c r="P91" s="169"/>
      <c r="Q91" s="169"/>
      <c r="R91" s="169"/>
      <c r="S91" s="156">
        <f>VLOOKUP(B91,'[2]62人'!$B:$R,17,FALSE)</f>
        <v>11</v>
      </c>
      <c r="T91" s="37">
        <v>0</v>
      </c>
      <c r="U91" s="170"/>
      <c r="V91" s="169"/>
      <c r="W91" s="169"/>
      <c r="X91" s="158">
        <f>VLOOKUP(B91,[4]考勤分析!$A:$I,4,FALSE)</f>
        <v>0.762898745541949</v>
      </c>
      <c r="Y91" s="90" t="b">
        <f>VLOOKUP(B91,[4]考勤分析!$A:$I,5,FALSE)</f>
        <v>0</v>
      </c>
      <c r="Z91" s="90">
        <f>VLOOKUP(B91,[4]考勤分析!$A:$I,6,FALSE)</f>
        <v>51</v>
      </c>
      <c r="AA91" s="90">
        <f>VLOOKUP(B91,[4]考勤分析!$A:$I,7,FALSE)</f>
        <v>7</v>
      </c>
      <c r="AB91" s="90">
        <f>VLOOKUP(B91,[4]考勤分析!$A:$I,8,FALSE)</f>
        <v>4</v>
      </c>
      <c r="AC91" s="90">
        <f>VLOOKUP(B91,[4]考勤分析!$A:$I,9,FALSE)</f>
        <v>0</v>
      </c>
      <c r="AD91" s="90">
        <v>0</v>
      </c>
      <c r="AE91" s="90">
        <v>0</v>
      </c>
      <c r="AF91" s="90">
        <v>0</v>
      </c>
      <c r="AG91" s="90">
        <v>0</v>
      </c>
      <c r="AH91" s="90">
        <v>0</v>
      </c>
      <c r="AI91" s="90">
        <v>0</v>
      </c>
      <c r="AJ91" s="90"/>
      <c r="AK91" s="90" t="e">
        <f>VLOOKUP(B91,[3]总表!$B:$W,22,FALSE)</f>
        <v>#N/A</v>
      </c>
      <c r="AL91" s="171"/>
      <c r="AM91" s="171"/>
      <c r="AN91" s="171"/>
      <c r="AO91" s="171"/>
      <c r="AP91" s="171"/>
      <c r="AQ91" s="171"/>
      <c r="AR91" s="171"/>
      <c r="AS91" s="171"/>
    </row>
    <row r="92" s="139" customFormat="1" ht="42" customHeight="1" spans="1:45">
      <c r="A92" s="99">
        <v>90</v>
      </c>
      <c r="B92" s="98" t="s">
        <v>313</v>
      </c>
      <c r="C92" s="97" t="s">
        <v>129</v>
      </c>
      <c r="D92" s="98" t="s">
        <v>273</v>
      </c>
      <c r="E92" s="92" t="s">
        <v>56</v>
      </c>
      <c r="F92" s="168">
        <v>15</v>
      </c>
      <c r="G92" s="92" t="s">
        <v>69</v>
      </c>
      <c r="H92" s="100" t="s">
        <v>314</v>
      </c>
      <c r="I92" s="114" t="s">
        <v>275</v>
      </c>
      <c r="J92" s="111"/>
      <c r="K92" s="111"/>
      <c r="L92" s="94">
        <v>0</v>
      </c>
      <c r="M92" s="94" t="s">
        <v>273</v>
      </c>
      <c r="N92" s="94" t="s">
        <v>71</v>
      </c>
      <c r="O92" s="169" t="s">
        <v>315</v>
      </c>
      <c r="P92" s="169"/>
      <c r="Q92" s="169"/>
      <c r="R92" s="169" t="s">
        <v>316</v>
      </c>
      <c r="S92" s="156">
        <f>VLOOKUP(B92,'[2]62人'!$B:$R,17,FALSE)</f>
        <v>3</v>
      </c>
      <c r="T92" s="37">
        <v>0</v>
      </c>
      <c r="U92" s="170">
        <v>2</v>
      </c>
      <c r="V92" s="169"/>
      <c r="W92" s="169"/>
      <c r="X92" s="158">
        <f>VLOOKUP(B92,[4]考勤分析!$A:$I,4,FALSE)</f>
        <v>1.23100088183428</v>
      </c>
      <c r="Y92" s="90" t="b">
        <f>VLOOKUP(B92,[4]考勤分析!$A:$I,5,FALSE)</f>
        <v>1</v>
      </c>
      <c r="Z92" s="90">
        <f>VLOOKUP(B92,[4]考勤分析!$A:$I,6,FALSE)</f>
        <v>28</v>
      </c>
      <c r="AA92" s="90">
        <f>VLOOKUP(B92,[4]考勤分析!$A:$I,7,FALSE)</f>
        <v>21</v>
      </c>
      <c r="AB92" s="90">
        <f>VLOOKUP(B92,[4]考勤分析!$A:$I,8,FALSE)</f>
        <v>13</v>
      </c>
      <c r="AC92" s="90">
        <f>VLOOKUP(B92,[4]考勤分析!$A:$I,9,FALSE)</f>
        <v>1</v>
      </c>
      <c r="AD92" s="90">
        <v>0</v>
      </c>
      <c r="AE92" s="90">
        <v>0</v>
      </c>
      <c r="AF92" s="90">
        <v>0</v>
      </c>
      <c r="AG92" s="90">
        <v>0</v>
      </c>
      <c r="AH92" s="90">
        <v>0</v>
      </c>
      <c r="AI92" s="90">
        <v>0</v>
      </c>
      <c r="AJ92" s="90"/>
      <c r="AK92" s="90" t="e">
        <f>VLOOKUP(B92,[3]总表!$B:$W,22,FALSE)</f>
        <v>#N/A</v>
      </c>
      <c r="AL92" s="171"/>
      <c r="AM92" s="171"/>
      <c r="AN92" s="171"/>
      <c r="AO92" s="171"/>
      <c r="AP92" s="171"/>
      <c r="AQ92" s="171"/>
      <c r="AR92" s="171"/>
      <c r="AS92" s="171"/>
    </row>
    <row r="93" s="139" customFormat="1" spans="1:45">
      <c r="A93" s="99">
        <v>91</v>
      </c>
      <c r="B93" s="98" t="s">
        <v>317</v>
      </c>
      <c r="C93" s="97" t="s">
        <v>129</v>
      </c>
      <c r="D93" s="98" t="s">
        <v>140</v>
      </c>
      <c r="E93" s="92" t="s">
        <v>56</v>
      </c>
      <c r="F93" s="168">
        <v>3</v>
      </c>
      <c r="G93" s="92" t="s">
        <v>57</v>
      </c>
      <c r="H93" s="92" t="s">
        <v>318</v>
      </c>
      <c r="I93" s="114"/>
      <c r="J93" s="111"/>
      <c r="K93" s="111"/>
      <c r="L93" s="94">
        <v>0</v>
      </c>
      <c r="M93" s="94" t="s">
        <v>145</v>
      </c>
      <c r="N93" s="94" t="s">
        <v>62</v>
      </c>
      <c r="O93" s="169"/>
      <c r="P93" s="169"/>
      <c r="Q93" s="169"/>
      <c r="R93" s="169"/>
      <c r="S93" s="156">
        <f>VLOOKUP(B93,'[2]62人'!$B:$R,17,FALSE)</f>
        <v>7</v>
      </c>
      <c r="T93" s="37">
        <v>0</v>
      </c>
      <c r="U93" s="170"/>
      <c r="V93" s="169"/>
      <c r="W93" s="169"/>
      <c r="X93" s="158">
        <f>VLOOKUP(B93,[4]考勤分析!$A:$I,4,FALSE)</f>
        <v>1.53822580645623</v>
      </c>
      <c r="Y93" s="90" t="b">
        <f>VLOOKUP(B93,[4]考勤分析!$A:$I,5,FALSE)</f>
        <v>1</v>
      </c>
      <c r="Z93" s="90">
        <f>VLOOKUP(B93,[4]考勤分析!$A:$I,6,FALSE)</f>
        <v>21</v>
      </c>
      <c r="AA93" s="90">
        <f>VLOOKUP(B93,[4]考勤分析!$A:$I,7,FALSE)</f>
        <v>15</v>
      </c>
      <c r="AB93" s="90">
        <f>VLOOKUP(B93,[4]考勤分析!$A:$I,8,FALSE)</f>
        <v>26</v>
      </c>
      <c r="AC93" s="90">
        <f>VLOOKUP(B93,[4]考勤分析!$A:$I,9,FALSE)</f>
        <v>0</v>
      </c>
      <c r="AD93" s="90">
        <v>0</v>
      </c>
      <c r="AE93" s="90">
        <v>0</v>
      </c>
      <c r="AF93" s="90">
        <v>0</v>
      </c>
      <c r="AG93" s="90">
        <v>0</v>
      </c>
      <c r="AH93" s="90">
        <v>0</v>
      </c>
      <c r="AI93" s="90">
        <v>0</v>
      </c>
      <c r="AJ93" s="90"/>
      <c r="AK93" s="90" t="e">
        <f>VLOOKUP(B93,[3]总表!$B:$W,22,FALSE)</f>
        <v>#N/A</v>
      </c>
      <c r="AL93" s="171"/>
      <c r="AM93" s="171"/>
      <c r="AN93" s="171"/>
      <c r="AO93" s="171"/>
      <c r="AP93" s="171"/>
      <c r="AQ93" s="171"/>
      <c r="AR93" s="171"/>
      <c r="AS93" s="171"/>
    </row>
    <row r="94" s="139" customFormat="1" spans="1:45">
      <c r="A94" s="99">
        <v>92</v>
      </c>
      <c r="B94" s="98" t="s">
        <v>319</v>
      </c>
      <c r="C94" s="97" t="s">
        <v>129</v>
      </c>
      <c r="D94" s="98" t="s">
        <v>320</v>
      </c>
      <c r="E94" s="92" t="s">
        <v>56</v>
      </c>
      <c r="F94" s="168">
        <v>4</v>
      </c>
      <c r="G94" s="92" t="s">
        <v>69</v>
      </c>
      <c r="H94" s="92" t="s">
        <v>154</v>
      </c>
      <c r="I94" s="114"/>
      <c r="J94" s="111"/>
      <c r="K94" s="111"/>
      <c r="L94" s="94">
        <v>0</v>
      </c>
      <c r="M94" s="94" t="s">
        <v>132</v>
      </c>
      <c r="N94" s="94" t="s">
        <v>71</v>
      </c>
      <c r="O94" s="169"/>
      <c r="P94" s="169"/>
      <c r="Q94" s="169"/>
      <c r="R94" s="169"/>
      <c r="S94" s="156">
        <f>VLOOKUP(B94,'[2]62人'!$B:$R,17,FALSE)</f>
        <v>1</v>
      </c>
      <c r="T94" s="37">
        <v>0</v>
      </c>
      <c r="U94" s="170"/>
      <c r="V94" s="169"/>
      <c r="W94" s="169"/>
      <c r="X94" s="158">
        <f>VLOOKUP(B94,[4]考勤分析!$A:$I,4,FALSE)</f>
        <v>0.466877394646872</v>
      </c>
      <c r="Y94" s="90" t="b">
        <f>VLOOKUP(B94,[4]考勤分析!$A:$I,5,FALSE)</f>
        <v>0</v>
      </c>
      <c r="Z94" s="90">
        <f>VLOOKUP(B94,[4]考勤分析!$A:$I,6,FALSE)</f>
        <v>58</v>
      </c>
      <c r="AA94" s="90">
        <f>VLOOKUP(B94,[4]考勤分析!$A:$I,7,FALSE)</f>
        <v>0</v>
      </c>
      <c r="AB94" s="90">
        <f>VLOOKUP(B94,[4]考勤分析!$A:$I,8,FALSE)</f>
        <v>0</v>
      </c>
      <c r="AC94" s="90">
        <f>VLOOKUP(B94,[4]考勤分析!$A:$I,9,FALSE)</f>
        <v>0</v>
      </c>
      <c r="AD94" s="90">
        <v>0</v>
      </c>
      <c r="AE94" s="90">
        <v>0</v>
      </c>
      <c r="AF94" s="90">
        <v>0</v>
      </c>
      <c r="AG94" s="90">
        <v>0</v>
      </c>
      <c r="AH94" s="90">
        <v>0</v>
      </c>
      <c r="AI94" s="90">
        <v>0</v>
      </c>
      <c r="AJ94" s="90"/>
      <c r="AK94" s="90" t="e">
        <f>VLOOKUP(B94,[3]总表!$B:$W,22,FALSE)</f>
        <v>#N/A</v>
      </c>
      <c r="AL94" s="171"/>
      <c r="AM94" s="171"/>
      <c r="AN94" s="171"/>
      <c r="AO94" s="171"/>
      <c r="AP94" s="171"/>
      <c r="AQ94" s="171"/>
      <c r="AR94" s="171"/>
      <c r="AS94" s="171"/>
    </row>
    <row r="95" s="139" customFormat="1" spans="1:45">
      <c r="A95" s="99">
        <v>93</v>
      </c>
      <c r="B95" s="98" t="s">
        <v>321</v>
      </c>
      <c r="C95" s="97" t="s">
        <v>129</v>
      </c>
      <c r="D95" s="98" t="s">
        <v>320</v>
      </c>
      <c r="E95" s="92" t="s">
        <v>56</v>
      </c>
      <c r="F95" s="168">
        <v>20</v>
      </c>
      <c r="G95" s="92" t="s">
        <v>69</v>
      </c>
      <c r="H95" s="92" t="s">
        <v>141</v>
      </c>
      <c r="I95" s="114"/>
      <c r="J95" s="111"/>
      <c r="K95" s="111"/>
      <c r="L95" s="94">
        <v>0</v>
      </c>
      <c r="M95" s="94" t="s">
        <v>132</v>
      </c>
      <c r="N95" s="94" t="s">
        <v>71</v>
      </c>
      <c r="O95" s="169"/>
      <c r="P95" s="169"/>
      <c r="Q95" s="169"/>
      <c r="R95" s="169"/>
      <c r="S95" s="156">
        <f>VLOOKUP(B95,'[2]62人'!$B:$R,17,FALSE)</f>
        <v>1</v>
      </c>
      <c r="T95" s="37">
        <v>0</v>
      </c>
      <c r="U95" s="170"/>
      <c r="V95" s="169"/>
      <c r="W95" s="169">
        <v>1</v>
      </c>
      <c r="X95" s="158">
        <f>VLOOKUP(B95,[4]考勤分析!$A:$I,4,FALSE)</f>
        <v>0.492581967211931</v>
      </c>
      <c r="Y95" s="90" t="b">
        <f>VLOOKUP(B95,[4]考勤分析!$A:$I,5,FALSE)</f>
        <v>0</v>
      </c>
      <c r="Z95" s="90">
        <f>VLOOKUP(B95,[4]考勤分析!$A:$I,6,FALSE)</f>
        <v>58</v>
      </c>
      <c r="AA95" s="90">
        <f>VLOOKUP(B95,[4]考勤分析!$A:$I,7,FALSE)</f>
        <v>3</v>
      </c>
      <c r="AB95" s="90">
        <f>VLOOKUP(B95,[4]考勤分析!$A:$I,8,FALSE)</f>
        <v>0</v>
      </c>
      <c r="AC95" s="90">
        <f>VLOOKUP(B95,[4]考勤分析!$A:$I,9,FALSE)</f>
        <v>0</v>
      </c>
      <c r="AD95" s="90">
        <v>0</v>
      </c>
      <c r="AE95" s="90">
        <v>0</v>
      </c>
      <c r="AF95" s="90">
        <v>0</v>
      </c>
      <c r="AG95" s="90">
        <v>0</v>
      </c>
      <c r="AH95" s="90">
        <v>0</v>
      </c>
      <c r="AI95" s="90">
        <v>0</v>
      </c>
      <c r="AJ95" s="90"/>
      <c r="AK95" s="90" t="e">
        <f>VLOOKUP(B95,[3]总表!$B:$W,22,FALSE)</f>
        <v>#N/A</v>
      </c>
      <c r="AL95" s="133"/>
      <c r="AM95" s="133"/>
      <c r="AN95" s="133"/>
      <c r="AO95" s="133"/>
      <c r="AP95" s="133"/>
      <c r="AQ95" s="133"/>
      <c r="AR95" s="133"/>
      <c r="AS95" s="171"/>
    </row>
    <row r="96" s="139" customFormat="1" spans="1:45">
      <c r="A96" s="99">
        <v>94</v>
      </c>
      <c r="B96" s="98" t="s">
        <v>322</v>
      </c>
      <c r="C96" s="97" t="s">
        <v>148</v>
      </c>
      <c r="D96" s="98" t="s">
        <v>273</v>
      </c>
      <c r="E96" s="92" t="s">
        <v>56</v>
      </c>
      <c r="F96" s="168">
        <v>14</v>
      </c>
      <c r="G96" s="92" t="s">
        <v>57</v>
      </c>
      <c r="H96" s="92" t="s">
        <v>239</v>
      </c>
      <c r="I96" s="114" t="s">
        <v>275</v>
      </c>
      <c r="J96" s="111"/>
      <c r="K96" s="111"/>
      <c r="L96" s="94">
        <v>0</v>
      </c>
      <c r="M96" s="94" t="s">
        <v>273</v>
      </c>
      <c r="N96" s="94" t="s">
        <v>71</v>
      </c>
      <c r="O96" s="169"/>
      <c r="P96" s="169"/>
      <c r="Q96" s="169"/>
      <c r="R96" s="169"/>
      <c r="S96" s="156">
        <f>VLOOKUP(B96,'[2]62人'!$B:$R,17,FALSE)</f>
        <v>10</v>
      </c>
      <c r="T96" s="37">
        <v>0</v>
      </c>
      <c r="U96" s="170">
        <v>4</v>
      </c>
      <c r="V96" s="169"/>
      <c r="W96" s="169"/>
      <c r="X96" s="158">
        <f>VLOOKUP(B96,[4]考勤分析!$A:$I,4,FALSE)</f>
        <v>4.55251282049844</v>
      </c>
      <c r="Y96" s="90" t="b">
        <f>VLOOKUP(B96,[4]考勤分析!$A:$I,5,FALSE)</f>
        <v>1</v>
      </c>
      <c r="Z96" s="90">
        <f>VLOOKUP(B96,[4]考勤分析!$A:$I,6,FALSE)</f>
        <v>8</v>
      </c>
      <c r="AA96" s="90">
        <f>VLOOKUP(B96,[4]考勤分析!$A:$I,7,FALSE)</f>
        <v>3</v>
      </c>
      <c r="AB96" s="90">
        <f>VLOOKUP(B96,[4]考勤分析!$A:$I,8,FALSE)</f>
        <v>5</v>
      </c>
      <c r="AC96" s="90">
        <f>VLOOKUP(B96,[4]考勤分析!$A:$I,9,FALSE)</f>
        <v>49</v>
      </c>
      <c r="AD96" s="90">
        <v>0</v>
      </c>
      <c r="AE96" s="90">
        <v>0</v>
      </c>
      <c r="AF96" s="90">
        <v>0</v>
      </c>
      <c r="AG96" s="90">
        <v>0</v>
      </c>
      <c r="AH96" s="90">
        <v>0</v>
      </c>
      <c r="AI96" s="90">
        <v>0</v>
      </c>
      <c r="AJ96" s="90"/>
      <c r="AK96" s="90" t="e">
        <f>VLOOKUP(B96,[3]总表!$B:$W,22,FALSE)</f>
        <v>#N/A</v>
      </c>
      <c r="AL96" s="171"/>
      <c r="AM96" s="171"/>
      <c r="AN96" s="171"/>
      <c r="AO96" s="171"/>
      <c r="AP96" s="171"/>
      <c r="AQ96" s="171"/>
      <c r="AR96" s="171"/>
      <c r="AS96" s="171"/>
    </row>
    <row r="97" s="139" customFormat="1" ht="72" spans="1:45">
      <c r="A97" s="99">
        <v>95</v>
      </c>
      <c r="B97" s="98" t="s">
        <v>323</v>
      </c>
      <c r="C97" s="97" t="s">
        <v>148</v>
      </c>
      <c r="D97" s="98" t="s">
        <v>149</v>
      </c>
      <c r="E97" s="92" t="s">
        <v>68</v>
      </c>
      <c r="F97" s="168">
        <v>3</v>
      </c>
      <c r="G97" s="92" t="s">
        <v>69</v>
      </c>
      <c r="H97" s="92" t="s">
        <v>81</v>
      </c>
      <c r="I97" s="114"/>
      <c r="J97" s="111"/>
      <c r="K97" s="111"/>
      <c r="L97" s="94">
        <v>0</v>
      </c>
      <c r="M97" s="94" t="s">
        <v>151</v>
      </c>
      <c r="N97" s="94" t="s">
        <v>62</v>
      </c>
      <c r="O97" s="169"/>
      <c r="P97" s="169"/>
      <c r="Q97" s="169"/>
      <c r="R97" s="169" t="s">
        <v>64</v>
      </c>
      <c r="S97" s="156">
        <f>VLOOKUP(B97,'[2]62人'!$B:$R,17,FALSE)</f>
        <v>10</v>
      </c>
      <c r="T97" s="37">
        <v>0</v>
      </c>
      <c r="U97" s="170">
        <v>2</v>
      </c>
      <c r="V97" s="169"/>
      <c r="W97" s="169">
        <v>2</v>
      </c>
      <c r="X97" s="158">
        <f>VLOOKUP(B97,[4]考勤分析!$A:$I,4,FALSE)</f>
        <v>0.483959435631285</v>
      </c>
      <c r="Y97" s="90" t="b">
        <f>VLOOKUP(B97,[4]考勤分析!$A:$I,5,FALSE)</f>
        <v>0</v>
      </c>
      <c r="Z97" s="90">
        <f>VLOOKUP(B97,[4]考勤分析!$A:$I,6,FALSE)</f>
        <v>57</v>
      </c>
      <c r="AA97" s="90">
        <f>VLOOKUP(B97,[4]考勤分析!$A:$I,7,FALSE)</f>
        <v>5</v>
      </c>
      <c r="AB97" s="90">
        <f>VLOOKUP(B97,[4]考勤分析!$A:$I,8,FALSE)</f>
        <v>0</v>
      </c>
      <c r="AC97" s="90">
        <f>VLOOKUP(B97,[4]考勤分析!$A:$I,9,FALSE)</f>
        <v>1</v>
      </c>
      <c r="AD97" s="90">
        <v>1</v>
      </c>
      <c r="AE97" s="90">
        <v>2</v>
      </c>
      <c r="AF97" s="90">
        <v>0</v>
      </c>
      <c r="AG97" s="90">
        <v>0</v>
      </c>
      <c r="AH97" s="90">
        <v>0</v>
      </c>
      <c r="AI97" s="90">
        <v>0</v>
      </c>
      <c r="AJ97" s="90"/>
      <c r="AK97" s="90" t="e">
        <f>VLOOKUP(B97,[3]总表!$B:$W,22,FALSE)</f>
        <v>#N/A</v>
      </c>
      <c r="AL97" s="133"/>
      <c r="AM97" s="133"/>
      <c r="AN97" s="133"/>
      <c r="AO97" s="133"/>
      <c r="AP97" s="133"/>
      <c r="AQ97" s="133"/>
      <c r="AR97" s="133"/>
      <c r="AS97" s="171"/>
    </row>
    <row r="98" s="139" customFormat="1" spans="1:45">
      <c r="A98" s="99">
        <v>96</v>
      </c>
      <c r="B98" s="98" t="s">
        <v>324</v>
      </c>
      <c r="C98" s="97" t="s">
        <v>148</v>
      </c>
      <c r="D98" s="98" t="s">
        <v>149</v>
      </c>
      <c r="E98" s="92" t="s">
        <v>56</v>
      </c>
      <c r="F98" s="168">
        <v>3</v>
      </c>
      <c r="G98" s="92" t="s">
        <v>69</v>
      </c>
      <c r="H98" s="92" t="s">
        <v>325</v>
      </c>
      <c r="I98" s="114"/>
      <c r="J98" s="111"/>
      <c r="K98" s="111"/>
      <c r="L98" s="94">
        <v>0</v>
      </c>
      <c r="M98" s="94" t="s">
        <v>151</v>
      </c>
      <c r="N98" s="94" t="s">
        <v>62</v>
      </c>
      <c r="O98" s="169"/>
      <c r="P98" s="169"/>
      <c r="Q98" s="169"/>
      <c r="R98" s="169"/>
      <c r="S98" s="156">
        <f>VLOOKUP(B98,'[2]62人'!$B:$R,17,FALSE)</f>
        <v>11</v>
      </c>
      <c r="T98" s="37">
        <v>0</v>
      </c>
      <c r="U98" s="170"/>
      <c r="V98" s="169"/>
      <c r="W98" s="169">
        <v>2</v>
      </c>
      <c r="X98" s="158">
        <f>VLOOKUP(B98,[4]考勤分析!$A:$I,4,FALSE)</f>
        <v>0.496548269567133</v>
      </c>
      <c r="Y98" s="90" t="b">
        <f>VLOOKUP(B98,[4]考勤分析!$A:$I,5,FALSE)</f>
        <v>0</v>
      </c>
      <c r="Z98" s="90">
        <f>VLOOKUP(B98,[4]考勤分析!$A:$I,6,FALSE)</f>
        <v>61</v>
      </c>
      <c r="AA98" s="90">
        <f>VLOOKUP(B98,[4]考勤分析!$A:$I,7,FALSE)</f>
        <v>0</v>
      </c>
      <c r="AB98" s="90">
        <f>VLOOKUP(B98,[4]考勤分析!$A:$I,8,FALSE)</f>
        <v>0</v>
      </c>
      <c r="AC98" s="90">
        <f>VLOOKUP(B98,[4]考勤分析!$A:$I,9,FALSE)</f>
        <v>0</v>
      </c>
      <c r="AD98" s="90">
        <v>0</v>
      </c>
      <c r="AE98" s="90">
        <v>0</v>
      </c>
      <c r="AF98" s="90">
        <v>0</v>
      </c>
      <c r="AG98" s="90">
        <v>0</v>
      </c>
      <c r="AH98" s="90">
        <v>0</v>
      </c>
      <c r="AI98" s="90">
        <v>0</v>
      </c>
      <c r="AJ98" s="90"/>
      <c r="AK98" s="90" t="e">
        <f>VLOOKUP(B98,[3]总表!$B:$W,22,FALSE)</f>
        <v>#N/A</v>
      </c>
      <c r="AL98" s="133"/>
      <c r="AM98" s="133"/>
      <c r="AN98" s="133"/>
      <c r="AO98" s="133"/>
      <c r="AP98" s="133"/>
      <c r="AQ98" s="133"/>
      <c r="AR98" s="133"/>
      <c r="AS98" s="171"/>
    </row>
    <row r="99" s="139" customFormat="1" spans="1:45">
      <c r="A99" s="99">
        <v>97</v>
      </c>
      <c r="B99" s="98" t="s">
        <v>326</v>
      </c>
      <c r="C99" s="97" t="s">
        <v>148</v>
      </c>
      <c r="D99" s="98" t="s">
        <v>149</v>
      </c>
      <c r="E99" s="92" t="s">
        <v>68</v>
      </c>
      <c r="F99" s="99">
        <f>VLOOKUP(B99,累计工龄!A:B,2,FALSE)</f>
        <v>1</v>
      </c>
      <c r="G99" s="92" t="s">
        <v>69</v>
      </c>
      <c r="H99" s="92" t="s">
        <v>327</v>
      </c>
      <c r="I99" s="114"/>
      <c r="J99" s="111"/>
      <c r="K99" s="111"/>
      <c r="L99" s="94">
        <v>0</v>
      </c>
      <c r="M99" s="94" t="s">
        <v>151</v>
      </c>
      <c r="N99" s="94" t="s">
        <v>62</v>
      </c>
      <c r="O99" s="169"/>
      <c r="P99" s="169"/>
      <c r="Q99" s="169"/>
      <c r="R99" s="169"/>
      <c r="S99" s="156">
        <f>VLOOKUP(B99,'[2]62人'!$B:$R,17,FALSE)</f>
        <v>14</v>
      </c>
      <c r="T99" s="37">
        <v>0</v>
      </c>
      <c r="U99" s="170"/>
      <c r="V99" s="169"/>
      <c r="W99" s="169">
        <v>2</v>
      </c>
      <c r="X99" s="158">
        <f>VLOOKUP(B99,[4]考勤分析!$A:$I,4,FALSE)</f>
        <v>0.633087431675121</v>
      </c>
      <c r="Y99" s="90" t="b">
        <f>VLOOKUP(B99,[4]考勤分析!$A:$I,5,FALSE)</f>
        <v>0</v>
      </c>
      <c r="Z99" s="90">
        <f>VLOOKUP(B99,[4]考勤分析!$A:$I,6,FALSE)</f>
        <v>52</v>
      </c>
      <c r="AA99" s="90">
        <f>VLOOKUP(B99,[4]考勤分析!$A:$I,7,FALSE)</f>
        <v>4</v>
      </c>
      <c r="AB99" s="90">
        <f>VLOOKUP(B99,[4]考勤分析!$A:$I,8,FALSE)</f>
        <v>1</v>
      </c>
      <c r="AC99" s="90">
        <f>VLOOKUP(B99,[4]考勤分析!$A:$I,9,FALSE)</f>
        <v>4</v>
      </c>
      <c r="AD99" s="90">
        <v>0</v>
      </c>
      <c r="AE99" s="90">
        <v>0</v>
      </c>
      <c r="AF99" s="90">
        <v>0</v>
      </c>
      <c r="AG99" s="90">
        <v>0</v>
      </c>
      <c r="AH99" s="90">
        <v>0</v>
      </c>
      <c r="AI99" s="90">
        <v>0</v>
      </c>
      <c r="AJ99" s="90"/>
      <c r="AK99" s="90" t="e">
        <f>VLOOKUP(B99,[3]总表!$B:$W,22,FALSE)</f>
        <v>#N/A</v>
      </c>
      <c r="AL99" s="133"/>
      <c r="AM99" s="133"/>
      <c r="AN99" s="133"/>
      <c r="AO99" s="133"/>
      <c r="AP99" s="133"/>
      <c r="AQ99" s="133"/>
      <c r="AR99" s="133"/>
      <c r="AS99" s="171"/>
    </row>
    <row r="100" s="139" customFormat="1" spans="1:45">
      <c r="A100" s="99">
        <v>98</v>
      </c>
      <c r="B100" s="98" t="s">
        <v>328</v>
      </c>
      <c r="C100" s="97" t="s">
        <v>148</v>
      </c>
      <c r="D100" s="98" t="s">
        <v>149</v>
      </c>
      <c r="E100" s="92" t="s">
        <v>68</v>
      </c>
      <c r="F100" s="168">
        <v>8</v>
      </c>
      <c r="G100" s="92" t="s">
        <v>69</v>
      </c>
      <c r="H100" s="92" t="s">
        <v>329</v>
      </c>
      <c r="I100" s="114"/>
      <c r="J100" s="111"/>
      <c r="K100" s="111"/>
      <c r="L100" s="94">
        <v>0</v>
      </c>
      <c r="M100" s="94" t="s">
        <v>151</v>
      </c>
      <c r="N100" s="94" t="s">
        <v>71</v>
      </c>
      <c r="O100" s="169"/>
      <c r="P100" s="169"/>
      <c r="Q100" s="169"/>
      <c r="R100" s="169"/>
      <c r="S100" s="156">
        <f>VLOOKUP(B100,'[2]62人'!$B:$R,17,FALSE)</f>
        <v>4</v>
      </c>
      <c r="T100" s="37">
        <v>0</v>
      </c>
      <c r="U100" s="170"/>
      <c r="V100" s="169"/>
      <c r="W100" s="169"/>
      <c r="X100" s="158">
        <f>VLOOKUP(B100,[4]考勤分析!$A:$I,4,FALSE)</f>
        <v>1.33714351853899</v>
      </c>
      <c r="Y100" s="90" t="b">
        <f>VLOOKUP(B100,[4]考勤分析!$A:$I,5,FALSE)</f>
        <v>0</v>
      </c>
      <c r="Z100" s="90">
        <f>VLOOKUP(B100,[4]考勤分析!$A:$I,6,FALSE)</f>
        <v>14</v>
      </c>
      <c r="AA100" s="90">
        <f>VLOOKUP(B100,[4]考勤分析!$A:$I,7,FALSE)</f>
        <v>41</v>
      </c>
      <c r="AB100" s="90">
        <f>VLOOKUP(B100,[4]考勤分析!$A:$I,8,FALSE)</f>
        <v>5</v>
      </c>
      <c r="AC100" s="90">
        <f>VLOOKUP(B100,[4]考勤分析!$A:$I,9,FALSE)</f>
        <v>0</v>
      </c>
      <c r="AD100" s="90">
        <v>0</v>
      </c>
      <c r="AE100" s="90">
        <v>0</v>
      </c>
      <c r="AF100" s="90">
        <v>0</v>
      </c>
      <c r="AG100" s="90">
        <v>0</v>
      </c>
      <c r="AH100" s="90">
        <v>0</v>
      </c>
      <c r="AI100" s="90">
        <v>0</v>
      </c>
      <c r="AJ100" s="90"/>
      <c r="AK100" s="90" t="e">
        <f>VLOOKUP(B100,[3]总表!$B:$W,22,FALSE)</f>
        <v>#N/A</v>
      </c>
      <c r="AL100" s="171"/>
      <c r="AM100" s="171"/>
      <c r="AN100" s="171"/>
      <c r="AO100" s="171"/>
      <c r="AP100" s="171"/>
      <c r="AQ100" s="171"/>
      <c r="AR100" s="171"/>
      <c r="AS100" s="171"/>
    </row>
    <row r="101" s="139" customFormat="1" spans="1:45">
      <c r="A101" s="99">
        <v>99</v>
      </c>
      <c r="B101" s="98" t="s">
        <v>330</v>
      </c>
      <c r="C101" s="97" t="s">
        <v>148</v>
      </c>
      <c r="D101" s="98" t="s">
        <v>149</v>
      </c>
      <c r="E101" s="92" t="s">
        <v>68</v>
      </c>
      <c r="F101" s="168">
        <v>4</v>
      </c>
      <c r="G101" s="92" t="s">
        <v>69</v>
      </c>
      <c r="H101" s="92" t="s">
        <v>299</v>
      </c>
      <c r="I101" s="114"/>
      <c r="J101" s="111"/>
      <c r="K101" s="111"/>
      <c r="L101" s="94">
        <v>2</v>
      </c>
      <c r="M101" s="94" t="s">
        <v>151</v>
      </c>
      <c r="N101" s="94" t="s">
        <v>62</v>
      </c>
      <c r="O101" s="169"/>
      <c r="P101" s="169"/>
      <c r="Q101" s="169"/>
      <c r="R101" s="169"/>
      <c r="S101" s="156">
        <f>VLOOKUP(B101,'[2]62人'!$B:$R,17,FALSE)</f>
        <v>1</v>
      </c>
      <c r="T101" s="37">
        <v>0</v>
      </c>
      <c r="U101" s="170"/>
      <c r="V101" s="169"/>
      <c r="W101" s="169"/>
      <c r="X101" s="158">
        <f>VLOOKUP(B101,[4]考勤分析!$A:$I,4,FALSE)</f>
        <v>0.632513661199959</v>
      </c>
      <c r="Y101" s="90" t="b">
        <f>VLOOKUP(B101,[4]考勤分析!$A:$I,5,FALSE)</f>
        <v>0</v>
      </c>
      <c r="Z101" s="90">
        <f>VLOOKUP(B101,[4]考勤分析!$A:$I,6,FALSE)</f>
        <v>49</v>
      </c>
      <c r="AA101" s="90">
        <f>VLOOKUP(B101,[4]考勤分析!$A:$I,7,FALSE)</f>
        <v>8</v>
      </c>
      <c r="AB101" s="90">
        <f>VLOOKUP(B101,[4]考勤分析!$A:$I,8,FALSE)</f>
        <v>4</v>
      </c>
      <c r="AC101" s="90">
        <f>VLOOKUP(B101,[4]考勤分析!$A:$I,9,FALSE)</f>
        <v>0</v>
      </c>
      <c r="AD101" s="90">
        <v>0</v>
      </c>
      <c r="AE101" s="90">
        <v>0</v>
      </c>
      <c r="AF101" s="90">
        <v>0</v>
      </c>
      <c r="AG101" s="90">
        <v>0</v>
      </c>
      <c r="AH101" s="90">
        <v>0</v>
      </c>
      <c r="AI101" s="90">
        <v>0</v>
      </c>
      <c r="AJ101" s="90"/>
      <c r="AK101" s="90" t="e">
        <f>VLOOKUP(B101,[3]总表!$B:$W,22,FALSE)</f>
        <v>#N/A</v>
      </c>
      <c r="AL101" s="171"/>
      <c r="AM101" s="171"/>
      <c r="AN101" s="171"/>
      <c r="AO101" s="171"/>
      <c r="AP101" s="171"/>
      <c r="AQ101" s="171"/>
      <c r="AR101" s="171"/>
      <c r="AS101" s="171"/>
    </row>
    <row r="102" s="139" customFormat="1" spans="1:45">
      <c r="A102" s="99">
        <v>100</v>
      </c>
      <c r="B102" s="98" t="s">
        <v>331</v>
      </c>
      <c r="C102" s="97" t="s">
        <v>148</v>
      </c>
      <c r="D102" s="98" t="s">
        <v>162</v>
      </c>
      <c r="E102" s="92" t="s">
        <v>68</v>
      </c>
      <c r="F102" s="99">
        <f>VLOOKUP(B102,累计工龄!A:B,2,FALSE)</f>
        <v>1</v>
      </c>
      <c r="G102" s="92" t="s">
        <v>69</v>
      </c>
      <c r="H102" s="92" t="s">
        <v>194</v>
      </c>
      <c r="I102" s="114"/>
      <c r="J102" s="111"/>
      <c r="K102" s="111"/>
      <c r="L102" s="94">
        <v>0</v>
      </c>
      <c r="M102" s="94" t="s">
        <v>151</v>
      </c>
      <c r="N102" s="94" t="s">
        <v>62</v>
      </c>
      <c r="O102" s="169"/>
      <c r="P102" s="169"/>
      <c r="Q102" s="169"/>
      <c r="R102" s="169"/>
      <c r="S102" s="156">
        <f>VLOOKUP(B102,'[2]62人'!$B:$R,17,FALSE)</f>
        <v>6</v>
      </c>
      <c r="T102" s="37">
        <v>0</v>
      </c>
      <c r="U102" s="170"/>
      <c r="V102" s="169"/>
      <c r="W102" s="169"/>
      <c r="X102" s="158">
        <f>VLOOKUP(B102,[4]考勤分析!$A:$I,4,FALSE)</f>
        <v>0.388800925924443</v>
      </c>
      <c r="Y102" s="90" t="b">
        <f>VLOOKUP(B102,[4]考勤分析!$A:$I,5,FALSE)</f>
        <v>0</v>
      </c>
      <c r="Z102" s="90">
        <f>VLOOKUP(B102,[4]考勤分析!$A:$I,6,FALSE)</f>
        <v>57</v>
      </c>
      <c r="AA102" s="90">
        <f>VLOOKUP(B102,[4]考勤分析!$A:$I,7,FALSE)</f>
        <v>3</v>
      </c>
      <c r="AB102" s="90">
        <f>VLOOKUP(B102,[4]考勤分析!$A:$I,8,FALSE)</f>
        <v>0</v>
      </c>
      <c r="AC102" s="90">
        <f>VLOOKUP(B102,[4]考勤分析!$A:$I,9,FALSE)</f>
        <v>0</v>
      </c>
      <c r="AD102" s="90">
        <v>0</v>
      </c>
      <c r="AE102" s="90">
        <v>6</v>
      </c>
      <c r="AF102" s="90">
        <v>0</v>
      </c>
      <c r="AG102" s="90">
        <v>0</v>
      </c>
      <c r="AH102" s="90">
        <v>0</v>
      </c>
      <c r="AI102" s="90">
        <v>0</v>
      </c>
      <c r="AJ102" s="90"/>
      <c r="AK102" s="90" t="e">
        <f>VLOOKUP(B102,[3]总表!$B:$W,22,FALSE)</f>
        <v>#N/A</v>
      </c>
      <c r="AL102" s="171"/>
      <c r="AM102" s="171"/>
      <c r="AN102" s="171"/>
      <c r="AO102" s="171"/>
      <c r="AP102" s="171"/>
      <c r="AQ102" s="171"/>
      <c r="AR102" s="171"/>
      <c r="AS102" s="171"/>
    </row>
    <row r="103" s="139" customFormat="1" spans="1:45">
      <c r="A103" s="99">
        <v>101</v>
      </c>
      <c r="B103" s="98" t="s">
        <v>332</v>
      </c>
      <c r="C103" s="97" t="s">
        <v>148</v>
      </c>
      <c r="D103" s="98" t="s">
        <v>162</v>
      </c>
      <c r="E103" s="92" t="s">
        <v>68</v>
      </c>
      <c r="F103" s="168">
        <v>3</v>
      </c>
      <c r="G103" s="92" t="s">
        <v>69</v>
      </c>
      <c r="H103" s="92" t="s">
        <v>141</v>
      </c>
      <c r="I103" s="114"/>
      <c r="J103" s="111"/>
      <c r="K103" s="111"/>
      <c r="L103" s="94">
        <v>0</v>
      </c>
      <c r="M103" s="94" t="s">
        <v>151</v>
      </c>
      <c r="N103" s="94" t="s">
        <v>62</v>
      </c>
      <c r="O103" s="169"/>
      <c r="P103" s="169"/>
      <c r="Q103" s="169"/>
      <c r="R103" s="169"/>
      <c r="S103" s="156">
        <f>VLOOKUP(B103,'[2]62人'!$B:$R,17,FALSE)</f>
        <v>11</v>
      </c>
      <c r="T103" s="37">
        <v>0</v>
      </c>
      <c r="U103" s="170"/>
      <c r="V103" s="169"/>
      <c r="W103" s="169"/>
      <c r="X103" s="158">
        <f>VLOOKUP(B103,[4]考勤分析!$A:$I,4,FALSE)</f>
        <v>0.264369114886148</v>
      </c>
      <c r="Y103" s="90" t="b">
        <f>VLOOKUP(B103,[4]考勤分析!$A:$I,5,FALSE)</f>
        <v>0</v>
      </c>
      <c r="Z103" s="90">
        <f>VLOOKUP(B103,[4]考勤分析!$A:$I,6,FALSE)</f>
        <v>59</v>
      </c>
      <c r="AA103" s="90">
        <f>VLOOKUP(B103,[4]考勤分析!$A:$I,7,FALSE)</f>
        <v>0</v>
      </c>
      <c r="AB103" s="90">
        <f>VLOOKUP(B103,[4]考勤分析!$A:$I,8,FALSE)</f>
        <v>0</v>
      </c>
      <c r="AC103" s="90">
        <f>VLOOKUP(B103,[4]考勤分析!$A:$I,9,FALSE)</f>
        <v>0</v>
      </c>
      <c r="AD103" s="90">
        <v>0</v>
      </c>
      <c r="AE103" s="90">
        <v>0</v>
      </c>
      <c r="AF103" s="90">
        <v>0</v>
      </c>
      <c r="AG103" s="90">
        <v>0</v>
      </c>
      <c r="AH103" s="90">
        <v>0</v>
      </c>
      <c r="AI103" s="90">
        <v>0</v>
      </c>
      <c r="AJ103" s="90"/>
      <c r="AK103" s="90" t="e">
        <f>VLOOKUP(B103,[3]总表!$B:$W,22,FALSE)</f>
        <v>#N/A</v>
      </c>
      <c r="AL103" s="171"/>
      <c r="AM103" s="171"/>
      <c r="AN103" s="171"/>
      <c r="AO103" s="171"/>
      <c r="AP103" s="171"/>
      <c r="AQ103" s="171"/>
      <c r="AR103" s="171"/>
      <c r="AS103" s="171"/>
    </row>
    <row r="104" s="139" customFormat="1" spans="1:45">
      <c r="A104" s="99">
        <v>102</v>
      </c>
      <c r="B104" s="98" t="s">
        <v>333</v>
      </c>
      <c r="C104" s="97" t="s">
        <v>148</v>
      </c>
      <c r="D104" s="98" t="s">
        <v>162</v>
      </c>
      <c r="E104" s="92" t="s">
        <v>68</v>
      </c>
      <c r="F104" s="168">
        <v>3</v>
      </c>
      <c r="G104" s="92" t="s">
        <v>69</v>
      </c>
      <c r="H104" s="92" t="s">
        <v>141</v>
      </c>
      <c r="I104" s="114"/>
      <c r="J104" s="111"/>
      <c r="K104" s="111"/>
      <c r="L104" s="94">
        <v>0</v>
      </c>
      <c r="M104" s="94" t="s">
        <v>151</v>
      </c>
      <c r="N104" s="94" t="s">
        <v>62</v>
      </c>
      <c r="O104" s="169"/>
      <c r="P104" s="169"/>
      <c r="Q104" s="169"/>
      <c r="R104" s="169"/>
      <c r="S104" s="156">
        <f>VLOOKUP(B104,'[2]62人'!$B:$R,17,FALSE)</f>
        <v>10</v>
      </c>
      <c r="T104" s="37">
        <v>0</v>
      </c>
      <c r="U104" s="170"/>
      <c r="V104" s="169"/>
      <c r="W104" s="169"/>
      <c r="X104" s="158">
        <f>VLOOKUP(B104,[4]考勤分析!$A:$I,4,FALSE)</f>
        <v>0.941634790521481</v>
      </c>
      <c r="Y104" s="90" t="b">
        <f>VLOOKUP(B104,[4]考勤分析!$A:$I,5,FALSE)</f>
        <v>0</v>
      </c>
      <c r="Z104" s="90">
        <f>VLOOKUP(B104,[4]考勤分析!$A:$I,6,FALSE)</f>
        <v>43</v>
      </c>
      <c r="AA104" s="90">
        <f>VLOOKUP(B104,[4]考勤分析!$A:$I,7,FALSE)</f>
        <v>11</v>
      </c>
      <c r="AB104" s="90">
        <f>VLOOKUP(B104,[4]考勤分析!$A:$I,8,FALSE)</f>
        <v>7</v>
      </c>
      <c r="AC104" s="90">
        <f>VLOOKUP(B104,[4]考勤分析!$A:$I,9,FALSE)</f>
        <v>0</v>
      </c>
      <c r="AD104" s="90">
        <v>0</v>
      </c>
      <c r="AE104" s="90">
        <v>4</v>
      </c>
      <c r="AF104" s="90">
        <v>0</v>
      </c>
      <c r="AG104" s="90">
        <v>0</v>
      </c>
      <c r="AH104" s="90">
        <v>0</v>
      </c>
      <c r="AI104" s="90">
        <v>0</v>
      </c>
      <c r="AJ104" s="90"/>
      <c r="AK104" s="90" t="e">
        <f>VLOOKUP(B104,[3]总表!$B:$W,22,FALSE)</f>
        <v>#N/A</v>
      </c>
      <c r="AL104" s="171"/>
      <c r="AM104" s="171"/>
      <c r="AN104" s="171"/>
      <c r="AO104" s="171"/>
      <c r="AP104" s="171"/>
      <c r="AQ104" s="171"/>
      <c r="AR104" s="171"/>
      <c r="AS104" s="171"/>
    </row>
    <row r="105" s="139" customFormat="1" spans="1:45">
      <c r="A105" s="99">
        <v>103</v>
      </c>
      <c r="B105" s="98" t="s">
        <v>334</v>
      </c>
      <c r="C105" s="97" t="s">
        <v>148</v>
      </c>
      <c r="D105" s="98" t="s">
        <v>162</v>
      </c>
      <c r="E105" s="92" t="s">
        <v>68</v>
      </c>
      <c r="F105" s="168">
        <v>3</v>
      </c>
      <c r="G105" s="92" t="s">
        <v>69</v>
      </c>
      <c r="H105" s="92" t="s">
        <v>335</v>
      </c>
      <c r="I105" s="114"/>
      <c r="J105" s="111"/>
      <c r="K105" s="111"/>
      <c r="L105" s="94">
        <v>1</v>
      </c>
      <c r="M105" s="94" t="s">
        <v>151</v>
      </c>
      <c r="N105" s="94" t="s">
        <v>62</v>
      </c>
      <c r="O105" s="169"/>
      <c r="P105" s="169"/>
      <c r="Q105" s="169"/>
      <c r="R105" s="169"/>
      <c r="S105" s="156">
        <f>VLOOKUP(B105,'[2]62人'!$B:$R,17,FALSE)</f>
        <v>12</v>
      </c>
      <c r="T105" s="37">
        <v>0</v>
      </c>
      <c r="U105" s="170"/>
      <c r="V105" s="169"/>
      <c r="W105" s="169"/>
      <c r="X105" s="158">
        <f>VLOOKUP(B105,[4]考勤分析!$A:$I,4,FALSE)</f>
        <v>1.1671493624816</v>
      </c>
      <c r="Y105" s="90" t="b">
        <f>VLOOKUP(B105,[4]考勤分析!$A:$I,5,FALSE)</f>
        <v>0</v>
      </c>
      <c r="Z105" s="90">
        <f>VLOOKUP(B105,[4]考勤分析!$A:$I,6,FALSE)</f>
        <v>34</v>
      </c>
      <c r="AA105" s="90">
        <f>VLOOKUP(B105,[4]考勤分析!$A:$I,7,FALSE)</f>
        <v>14</v>
      </c>
      <c r="AB105" s="90">
        <f>VLOOKUP(B105,[4]考勤分析!$A:$I,8,FALSE)</f>
        <v>12</v>
      </c>
      <c r="AC105" s="90">
        <f>VLOOKUP(B105,[4]考勤分析!$A:$I,9,FALSE)</f>
        <v>1</v>
      </c>
      <c r="AD105" s="90">
        <v>0</v>
      </c>
      <c r="AE105" s="90">
        <v>8</v>
      </c>
      <c r="AF105" s="90">
        <v>0</v>
      </c>
      <c r="AG105" s="90">
        <v>0</v>
      </c>
      <c r="AH105" s="90">
        <v>0</v>
      </c>
      <c r="AI105" s="90">
        <v>0</v>
      </c>
      <c r="AJ105" s="90"/>
      <c r="AK105" s="90" t="e">
        <f>VLOOKUP(B105,[3]总表!$B:$W,22,FALSE)</f>
        <v>#N/A</v>
      </c>
      <c r="AL105" s="171"/>
      <c r="AM105" s="171"/>
      <c r="AN105" s="171"/>
      <c r="AO105" s="171"/>
      <c r="AP105" s="171"/>
      <c r="AQ105" s="171"/>
      <c r="AR105" s="171"/>
      <c r="AS105" s="171"/>
    </row>
    <row r="106" s="139" customFormat="1" ht="28.8" spans="1:45">
      <c r="A106" s="99">
        <v>104</v>
      </c>
      <c r="B106" s="98" t="s">
        <v>336</v>
      </c>
      <c r="C106" s="97" t="s">
        <v>148</v>
      </c>
      <c r="D106" s="98" t="s">
        <v>162</v>
      </c>
      <c r="E106" s="92" t="s">
        <v>56</v>
      </c>
      <c r="F106" s="168">
        <v>3</v>
      </c>
      <c r="G106" s="92" t="s">
        <v>69</v>
      </c>
      <c r="H106" s="92" t="s">
        <v>337</v>
      </c>
      <c r="I106" s="114"/>
      <c r="J106" s="111"/>
      <c r="K106" s="111"/>
      <c r="L106" s="94">
        <v>0</v>
      </c>
      <c r="M106" s="94" t="s">
        <v>151</v>
      </c>
      <c r="N106" s="94" t="s">
        <v>62</v>
      </c>
      <c r="O106" s="169"/>
      <c r="P106" s="169"/>
      <c r="Q106" s="169"/>
      <c r="R106" s="169" t="s">
        <v>338</v>
      </c>
      <c r="S106" s="156">
        <f>VLOOKUP(B106,'[2]62人'!$B:$R,17,FALSE)</f>
        <v>18</v>
      </c>
      <c r="T106" s="37">
        <v>2</v>
      </c>
      <c r="U106" s="170"/>
      <c r="V106" s="169"/>
      <c r="W106" s="169"/>
      <c r="X106" s="158">
        <f>VLOOKUP(B106,[4]考勤分析!$A:$I,4,FALSE)</f>
        <v>2.7824074074031</v>
      </c>
      <c r="Y106" s="90" t="b">
        <f>VLOOKUP(B106,[4]考勤分析!$A:$I,5,FALSE)</f>
        <v>1</v>
      </c>
      <c r="Z106" s="90">
        <f>VLOOKUP(B106,[4]考勤分析!$A:$I,6,FALSE)</f>
        <v>27</v>
      </c>
      <c r="AA106" s="90">
        <f>VLOOKUP(B106,[4]考勤分析!$A:$I,7,FALSE)</f>
        <v>6</v>
      </c>
      <c r="AB106" s="90">
        <f>VLOOKUP(B106,[4]考勤分析!$A:$I,8,FALSE)</f>
        <v>25</v>
      </c>
      <c r="AC106" s="90">
        <f>VLOOKUP(B106,[4]考勤分析!$A:$I,9,FALSE)</f>
        <v>14</v>
      </c>
      <c r="AD106" s="90">
        <v>0</v>
      </c>
      <c r="AE106" s="90">
        <v>1</v>
      </c>
      <c r="AF106" s="90">
        <v>0</v>
      </c>
      <c r="AG106" s="90">
        <v>0</v>
      </c>
      <c r="AH106" s="90">
        <v>0</v>
      </c>
      <c r="AI106" s="90">
        <v>0</v>
      </c>
      <c r="AJ106" s="90"/>
      <c r="AK106" s="90" t="e">
        <f>VLOOKUP(B106,[3]总表!$B:$W,22,FALSE)</f>
        <v>#N/A</v>
      </c>
      <c r="AL106" s="171"/>
      <c r="AM106" s="171"/>
      <c r="AN106" s="171"/>
      <c r="AO106" s="171"/>
      <c r="AP106" s="171"/>
      <c r="AQ106" s="171"/>
      <c r="AR106" s="171"/>
      <c r="AS106" s="171"/>
    </row>
    <row r="107" s="139" customFormat="1" spans="1:45">
      <c r="A107" s="99">
        <v>105</v>
      </c>
      <c r="B107" s="98" t="s">
        <v>339</v>
      </c>
      <c r="C107" s="97" t="s">
        <v>148</v>
      </c>
      <c r="D107" s="98" t="s">
        <v>162</v>
      </c>
      <c r="E107" s="92" t="s">
        <v>68</v>
      </c>
      <c r="F107" s="168">
        <v>6</v>
      </c>
      <c r="G107" s="92" t="s">
        <v>69</v>
      </c>
      <c r="H107" s="92" t="s">
        <v>103</v>
      </c>
      <c r="I107" s="114"/>
      <c r="J107" s="111"/>
      <c r="K107" s="111"/>
      <c r="L107" s="94">
        <v>0</v>
      </c>
      <c r="M107" s="94" t="s">
        <v>151</v>
      </c>
      <c r="N107" s="94" t="s">
        <v>71</v>
      </c>
      <c r="O107" s="169"/>
      <c r="P107" s="169"/>
      <c r="Q107" s="169"/>
      <c r="R107" s="169"/>
      <c r="S107" s="156">
        <f>VLOOKUP(B107,'[2]62人'!$B:$R,17,FALSE)</f>
        <v>1</v>
      </c>
      <c r="T107" s="37">
        <v>3</v>
      </c>
      <c r="U107" s="170"/>
      <c r="V107" s="169"/>
      <c r="W107" s="169"/>
      <c r="X107" s="158">
        <f>VLOOKUP(B107,[4]考勤分析!$A:$I,4,FALSE)</f>
        <v>1.94587499999616</v>
      </c>
      <c r="Y107" s="90" t="b">
        <f>VLOOKUP(B107,[4]考勤分析!$A:$I,5,FALSE)</f>
        <v>1</v>
      </c>
      <c r="Z107" s="90">
        <f>VLOOKUP(B107,[4]考勤分析!$A:$I,6,FALSE)</f>
        <v>15</v>
      </c>
      <c r="AA107" s="90">
        <f>VLOOKUP(B107,[4]考勤分析!$A:$I,7,FALSE)</f>
        <v>24</v>
      </c>
      <c r="AB107" s="90">
        <f>VLOOKUP(B107,[4]考勤分析!$A:$I,8,FALSE)</f>
        <v>16</v>
      </c>
      <c r="AC107" s="90">
        <f>VLOOKUP(B107,[4]考勤分析!$A:$I,9,FALSE)</f>
        <v>5</v>
      </c>
      <c r="AD107" s="90">
        <v>0</v>
      </c>
      <c r="AE107" s="90">
        <v>0</v>
      </c>
      <c r="AF107" s="90">
        <v>0</v>
      </c>
      <c r="AG107" s="90">
        <v>0</v>
      </c>
      <c r="AH107" s="90">
        <v>0</v>
      </c>
      <c r="AI107" s="90">
        <v>0</v>
      </c>
      <c r="AJ107" s="90"/>
      <c r="AK107" s="90" t="e">
        <f>VLOOKUP(B107,[3]总表!$B:$W,22,FALSE)</f>
        <v>#N/A</v>
      </c>
      <c r="AL107" s="171"/>
      <c r="AM107" s="171"/>
      <c r="AN107" s="171"/>
      <c r="AO107" s="171"/>
      <c r="AP107" s="171"/>
      <c r="AQ107" s="171"/>
      <c r="AR107" s="171"/>
      <c r="AS107" s="171"/>
    </row>
    <row r="108" s="139" customFormat="1" spans="1:45">
      <c r="A108" s="99">
        <v>106</v>
      </c>
      <c r="B108" s="98" t="s">
        <v>340</v>
      </c>
      <c r="C108" s="97" t="s">
        <v>148</v>
      </c>
      <c r="D108" s="98" t="s">
        <v>162</v>
      </c>
      <c r="E108" s="92" t="s">
        <v>68</v>
      </c>
      <c r="F108" s="99">
        <f>VLOOKUP(B108,累计工龄!A:B,2,FALSE)</f>
        <v>0</v>
      </c>
      <c r="G108" s="92" t="s">
        <v>69</v>
      </c>
      <c r="H108" s="92" t="s">
        <v>154</v>
      </c>
      <c r="I108" s="114"/>
      <c r="J108" s="111"/>
      <c r="K108" s="111"/>
      <c r="L108" s="94">
        <v>0</v>
      </c>
      <c r="M108" s="94" t="s">
        <v>151</v>
      </c>
      <c r="N108" s="94" t="s">
        <v>62</v>
      </c>
      <c r="O108" s="169"/>
      <c r="P108" s="169"/>
      <c r="Q108" s="169"/>
      <c r="R108" s="169"/>
      <c r="S108" s="156">
        <f>VLOOKUP(B108,'[2]62人'!$B:$R,17,FALSE)</f>
        <v>4</v>
      </c>
      <c r="T108" s="37">
        <v>0</v>
      </c>
      <c r="U108" s="170"/>
      <c r="V108" s="169"/>
      <c r="W108" s="169"/>
      <c r="X108" s="158">
        <f>VLOOKUP(B108,[4]考勤分析!$A:$I,4,FALSE)</f>
        <v>0.732163978494599</v>
      </c>
      <c r="Y108" s="90" t="b">
        <f>VLOOKUP(B108,[4]考勤分析!$A:$I,5,FALSE)</f>
        <v>0</v>
      </c>
      <c r="Z108" s="90">
        <f>VLOOKUP(B108,[4]考勤分析!$A:$I,6,FALSE)</f>
        <v>45</v>
      </c>
      <c r="AA108" s="90">
        <f>VLOOKUP(B108,[4]考勤分析!$A:$I,7,FALSE)</f>
        <v>16</v>
      </c>
      <c r="AB108" s="90">
        <f>VLOOKUP(B108,[4]考勤分析!$A:$I,8,FALSE)</f>
        <v>1</v>
      </c>
      <c r="AC108" s="90">
        <f>VLOOKUP(B108,[4]考勤分析!$A:$I,9,FALSE)</f>
        <v>0</v>
      </c>
      <c r="AD108" s="90">
        <v>0</v>
      </c>
      <c r="AE108" s="90">
        <v>1</v>
      </c>
      <c r="AF108" s="90">
        <v>0</v>
      </c>
      <c r="AG108" s="90">
        <v>0</v>
      </c>
      <c r="AH108" s="90">
        <v>0</v>
      </c>
      <c r="AI108" s="90">
        <v>0</v>
      </c>
      <c r="AJ108" s="90"/>
      <c r="AK108" s="90" t="e">
        <f>VLOOKUP(B108,[3]总表!$B:$W,22,FALSE)</f>
        <v>#N/A</v>
      </c>
      <c r="AL108" s="171"/>
      <c r="AM108" s="171"/>
      <c r="AN108" s="171"/>
      <c r="AO108" s="171"/>
      <c r="AP108" s="171"/>
      <c r="AQ108" s="171"/>
      <c r="AR108" s="171"/>
      <c r="AS108" s="171"/>
    </row>
    <row r="109" s="139" customFormat="1" spans="1:45">
      <c r="A109" s="99">
        <v>107</v>
      </c>
      <c r="B109" s="98" t="s">
        <v>341</v>
      </c>
      <c r="C109" s="97" t="s">
        <v>148</v>
      </c>
      <c r="D109" s="98" t="s">
        <v>162</v>
      </c>
      <c r="E109" s="92" t="s">
        <v>56</v>
      </c>
      <c r="F109" s="168">
        <v>3</v>
      </c>
      <c r="G109" s="92" t="s">
        <v>69</v>
      </c>
      <c r="H109" s="92" t="s">
        <v>342</v>
      </c>
      <c r="I109" s="114"/>
      <c r="J109" s="111"/>
      <c r="K109" s="111"/>
      <c r="L109" s="94">
        <v>0</v>
      </c>
      <c r="M109" s="94" t="s">
        <v>151</v>
      </c>
      <c r="N109" s="94" t="s">
        <v>62</v>
      </c>
      <c r="O109" s="169"/>
      <c r="P109" s="169"/>
      <c r="Q109" s="169"/>
      <c r="R109" s="169"/>
      <c r="S109" s="156">
        <f>VLOOKUP(B109,'[2]62人'!$B:$R,17,FALSE)</f>
        <v>8</v>
      </c>
      <c r="T109" s="37">
        <v>0</v>
      </c>
      <c r="U109" s="170"/>
      <c r="V109" s="169"/>
      <c r="W109" s="169"/>
      <c r="X109" s="158">
        <f>VLOOKUP(B109,[4]考勤分析!$A:$I,4,FALSE)</f>
        <v>1.58145161289271</v>
      </c>
      <c r="Y109" s="90" t="b">
        <f>VLOOKUP(B109,[4]考勤分析!$A:$I,5,FALSE)</f>
        <v>1</v>
      </c>
      <c r="Z109" s="90">
        <f>VLOOKUP(B109,[4]考勤分析!$A:$I,6,FALSE)</f>
        <v>27</v>
      </c>
      <c r="AA109" s="90">
        <f>VLOOKUP(B109,[4]考勤分析!$A:$I,7,FALSE)</f>
        <v>19</v>
      </c>
      <c r="AB109" s="90">
        <f>VLOOKUP(B109,[4]考勤分析!$A:$I,8,FALSE)</f>
        <v>10</v>
      </c>
      <c r="AC109" s="90">
        <f>VLOOKUP(B109,[4]考勤分析!$A:$I,9,FALSE)</f>
        <v>6</v>
      </c>
      <c r="AD109" s="90">
        <v>0</v>
      </c>
      <c r="AE109" s="90">
        <v>0</v>
      </c>
      <c r="AF109" s="90">
        <v>0</v>
      </c>
      <c r="AG109" s="90">
        <v>0</v>
      </c>
      <c r="AH109" s="90">
        <v>0</v>
      </c>
      <c r="AI109" s="90">
        <v>0</v>
      </c>
      <c r="AJ109" s="90"/>
      <c r="AK109" s="90" t="e">
        <f>VLOOKUP(B109,[3]总表!$B:$W,22,FALSE)</f>
        <v>#N/A</v>
      </c>
      <c r="AL109" s="171"/>
      <c r="AM109" s="171"/>
      <c r="AN109" s="171"/>
      <c r="AO109" s="171"/>
      <c r="AP109" s="171"/>
      <c r="AQ109" s="171"/>
      <c r="AR109" s="171"/>
      <c r="AS109" s="171"/>
    </row>
    <row r="110" s="139" customFormat="1" spans="1:45">
      <c r="A110" s="99">
        <v>108</v>
      </c>
      <c r="B110" s="96" t="s">
        <v>343</v>
      </c>
      <c r="C110" s="97" t="s">
        <v>148</v>
      </c>
      <c r="D110" s="98" t="s">
        <v>162</v>
      </c>
      <c r="E110" s="133"/>
      <c r="F110" s="168" t="e">
        <v>#N/A</v>
      </c>
      <c r="G110" s="99"/>
      <c r="H110" s="99"/>
      <c r="I110" s="114"/>
      <c r="J110" s="111" t="s">
        <v>95</v>
      </c>
      <c r="K110" s="111">
        <v>1</v>
      </c>
      <c r="L110" s="152">
        <v>3</v>
      </c>
      <c r="M110" s="94" t="s">
        <v>151</v>
      </c>
      <c r="N110" s="94" t="s">
        <v>71</v>
      </c>
      <c r="O110" s="169"/>
      <c r="P110" s="169"/>
      <c r="Q110" s="169"/>
      <c r="R110" s="169"/>
      <c r="S110" s="156">
        <f>VLOOKUP(B110,'[2]62人'!$B:$R,17,FALSE)</f>
        <v>1</v>
      </c>
      <c r="T110" s="37">
        <v>0</v>
      </c>
      <c r="U110" s="170"/>
      <c r="V110" s="169"/>
      <c r="W110" s="169"/>
      <c r="X110" s="158">
        <f>VLOOKUP(B110,[4]考勤分析!$A:$I,4,FALSE)</f>
        <v>2.28154846335058</v>
      </c>
      <c r="Y110" s="90" t="b">
        <f>VLOOKUP(B110,[4]考勤分析!$A:$I,5,FALSE)</f>
        <v>1</v>
      </c>
      <c r="Z110" s="90">
        <f>VLOOKUP(B110,[4]考勤分析!$A:$I,6,FALSE)</f>
        <v>6</v>
      </c>
      <c r="AA110" s="90">
        <f>VLOOKUP(B110,[4]考勤分析!$A:$I,7,FALSE)</f>
        <v>14</v>
      </c>
      <c r="AB110" s="90">
        <f>VLOOKUP(B110,[4]考勤分析!$A:$I,8,FALSE)</f>
        <v>22</v>
      </c>
      <c r="AC110" s="90">
        <f>VLOOKUP(B110,[4]考勤分析!$A:$I,9,FALSE)</f>
        <v>5</v>
      </c>
      <c r="AD110" s="90">
        <v>0</v>
      </c>
      <c r="AE110" s="90">
        <v>0</v>
      </c>
      <c r="AF110" s="90">
        <v>0</v>
      </c>
      <c r="AG110" s="90">
        <v>0</v>
      </c>
      <c r="AH110" s="90">
        <v>0</v>
      </c>
      <c r="AI110" s="90">
        <v>0</v>
      </c>
      <c r="AJ110" s="90"/>
      <c r="AK110" s="90" t="e">
        <f>VLOOKUP(B110,[3]总表!$B:$W,22,FALSE)</f>
        <v>#N/A</v>
      </c>
      <c r="AL110" s="171"/>
      <c r="AM110" s="171"/>
      <c r="AN110" s="171"/>
      <c r="AO110" s="171"/>
      <c r="AP110" s="171"/>
      <c r="AQ110" s="171"/>
      <c r="AR110" s="171"/>
      <c r="AS110" s="171"/>
    </row>
    <row r="111" s="139" customFormat="1" ht="18" customHeight="1" spans="1:45">
      <c r="A111" s="99">
        <v>109</v>
      </c>
      <c r="B111" s="98" t="s">
        <v>344</v>
      </c>
      <c r="C111" s="97" t="s">
        <v>148</v>
      </c>
      <c r="D111" s="98" t="s">
        <v>156</v>
      </c>
      <c r="E111" s="92" t="s">
        <v>68</v>
      </c>
      <c r="F111" s="99">
        <f>VLOOKUP(B111,累计工龄!A:B,2,FALSE)</f>
        <v>1</v>
      </c>
      <c r="G111" s="92" t="s">
        <v>69</v>
      </c>
      <c r="H111" s="92" t="s">
        <v>81</v>
      </c>
      <c r="I111" s="114"/>
      <c r="J111" s="111"/>
      <c r="K111" s="111"/>
      <c r="L111" s="94">
        <v>0</v>
      </c>
      <c r="M111" s="94" t="s">
        <v>151</v>
      </c>
      <c r="N111" s="94" t="s">
        <v>62</v>
      </c>
      <c r="O111" s="169"/>
      <c r="P111" s="169"/>
      <c r="Q111" s="169"/>
      <c r="R111" s="169" t="s">
        <v>211</v>
      </c>
      <c r="S111" s="156">
        <f>VLOOKUP(B111,'[2]62人'!$B:$R,17,FALSE)</f>
        <v>11</v>
      </c>
      <c r="T111" s="37">
        <v>15</v>
      </c>
      <c r="U111" s="170"/>
      <c r="V111" s="169"/>
      <c r="W111" s="169"/>
      <c r="X111" s="158">
        <f>VLOOKUP(B111,[4]考勤分析!$A:$I,4,FALSE)</f>
        <v>3.2266313932995</v>
      </c>
      <c r="Y111" s="90" t="b">
        <f>VLOOKUP(B111,[4]考勤分析!$A:$I,5,FALSE)</f>
        <v>1</v>
      </c>
      <c r="Z111" s="90">
        <f>VLOOKUP(B111,[4]考勤分析!$A:$I,6,FALSE)</f>
        <v>12</v>
      </c>
      <c r="AA111" s="90">
        <f>VLOOKUP(B111,[4]考勤分析!$A:$I,7,FALSE)</f>
        <v>0</v>
      </c>
      <c r="AB111" s="90">
        <f>VLOOKUP(B111,[4]考勤分析!$A:$I,8,FALSE)</f>
        <v>31</v>
      </c>
      <c r="AC111" s="90">
        <f>VLOOKUP(B111,[4]考勤分析!$A:$I,9,FALSE)</f>
        <v>20</v>
      </c>
      <c r="AD111" s="90">
        <v>0</v>
      </c>
      <c r="AE111" s="90">
        <v>3</v>
      </c>
      <c r="AF111" s="90">
        <v>0</v>
      </c>
      <c r="AG111" s="90">
        <v>1</v>
      </c>
      <c r="AH111" s="90">
        <v>0</v>
      </c>
      <c r="AI111" s="90">
        <v>0</v>
      </c>
      <c r="AJ111" s="90"/>
      <c r="AK111" s="90" t="e">
        <f>VLOOKUP(B111,[3]总表!$B:$W,22,FALSE)</f>
        <v>#N/A</v>
      </c>
      <c r="AL111" s="171"/>
      <c r="AM111" s="171"/>
      <c r="AN111" s="171"/>
      <c r="AO111" s="171"/>
      <c r="AP111" s="171"/>
      <c r="AQ111" s="171"/>
      <c r="AR111" s="171"/>
      <c r="AS111" s="171"/>
    </row>
    <row r="112" s="139" customFormat="1" spans="1:45">
      <c r="A112" s="99">
        <v>110</v>
      </c>
      <c r="B112" s="98" t="s">
        <v>345</v>
      </c>
      <c r="C112" s="97" t="s">
        <v>148</v>
      </c>
      <c r="D112" s="98" t="s">
        <v>156</v>
      </c>
      <c r="E112" s="92" t="s">
        <v>56</v>
      </c>
      <c r="F112" s="99">
        <f>VLOOKUP(B112,累计工龄!A:B,2,FALSE)</f>
        <v>1</v>
      </c>
      <c r="G112" s="92" t="s">
        <v>69</v>
      </c>
      <c r="H112" s="92" t="s">
        <v>194</v>
      </c>
      <c r="I112" s="114"/>
      <c r="J112" s="111" t="s">
        <v>95</v>
      </c>
      <c r="K112" s="111">
        <v>1</v>
      </c>
      <c r="L112" s="94">
        <v>1</v>
      </c>
      <c r="M112" s="94" t="s">
        <v>151</v>
      </c>
      <c r="N112" s="94" t="s">
        <v>62</v>
      </c>
      <c r="O112" s="169"/>
      <c r="P112" s="169"/>
      <c r="Q112" s="169"/>
      <c r="R112" s="169"/>
      <c r="S112" s="156">
        <f>VLOOKUP(B112,'[2]62人'!$B:$R,17,FALSE)</f>
        <v>16</v>
      </c>
      <c r="T112" s="37">
        <v>14</v>
      </c>
      <c r="U112" s="170"/>
      <c r="V112" s="169"/>
      <c r="W112" s="169">
        <v>1</v>
      </c>
      <c r="X112" s="158">
        <f>VLOOKUP(B112,[4]考勤分析!$A:$I,4,FALSE)</f>
        <v>0.873299808429096</v>
      </c>
      <c r="Y112" s="90" t="b">
        <f>VLOOKUP(B112,[4]考勤分析!$A:$I,5,FALSE)</f>
        <v>0</v>
      </c>
      <c r="Z112" s="90">
        <f>VLOOKUP(B112,[4]考勤分析!$A:$I,6,FALSE)</f>
        <v>41</v>
      </c>
      <c r="AA112" s="90">
        <f>VLOOKUP(B112,[4]考勤分析!$A:$I,7,FALSE)</f>
        <v>11</v>
      </c>
      <c r="AB112" s="90">
        <f>VLOOKUP(B112,[4]考勤分析!$A:$I,8,FALSE)</f>
        <v>5</v>
      </c>
      <c r="AC112" s="90">
        <f>VLOOKUP(B112,[4]考勤分析!$A:$I,9,FALSE)</f>
        <v>1</v>
      </c>
      <c r="AD112" s="90">
        <v>0</v>
      </c>
      <c r="AE112" s="90">
        <v>0</v>
      </c>
      <c r="AF112" s="90">
        <v>0</v>
      </c>
      <c r="AG112" s="90">
        <v>0</v>
      </c>
      <c r="AH112" s="90">
        <v>0</v>
      </c>
      <c r="AI112" s="90">
        <v>0</v>
      </c>
      <c r="AJ112" s="90"/>
      <c r="AK112" s="90" t="e">
        <f>VLOOKUP(B112,[3]总表!$B:$W,22,FALSE)</f>
        <v>#N/A</v>
      </c>
      <c r="AL112" s="133"/>
      <c r="AM112" s="133"/>
      <c r="AN112" s="133"/>
      <c r="AO112" s="133"/>
      <c r="AP112" s="133"/>
      <c r="AQ112" s="133"/>
      <c r="AR112" s="133"/>
      <c r="AS112" s="171"/>
    </row>
    <row r="113" s="139" customFormat="1" spans="1:45">
      <c r="A113" s="99">
        <v>111</v>
      </c>
      <c r="B113" s="98" t="s">
        <v>346</v>
      </c>
      <c r="C113" s="97" t="s">
        <v>148</v>
      </c>
      <c r="D113" s="98" t="s">
        <v>156</v>
      </c>
      <c r="E113" s="92" t="s">
        <v>56</v>
      </c>
      <c r="F113" s="168">
        <v>3</v>
      </c>
      <c r="G113" s="92" t="s">
        <v>69</v>
      </c>
      <c r="H113" s="92" t="s">
        <v>201</v>
      </c>
      <c r="I113" s="114"/>
      <c r="J113" s="111"/>
      <c r="K113" s="111"/>
      <c r="L113" s="94">
        <v>1</v>
      </c>
      <c r="M113" s="94" t="s">
        <v>151</v>
      </c>
      <c r="N113" s="94" t="s">
        <v>62</v>
      </c>
      <c r="O113" s="169"/>
      <c r="P113" s="169"/>
      <c r="Q113" s="169"/>
      <c r="R113" s="169"/>
      <c r="S113" s="156">
        <f>VLOOKUP(B113,'[2]62人'!$B:$R,17,FALSE)</f>
        <v>18</v>
      </c>
      <c r="T113" s="37">
        <v>8</v>
      </c>
      <c r="U113" s="170">
        <v>1</v>
      </c>
      <c r="V113" s="169"/>
      <c r="W113" s="169"/>
      <c r="X113" s="158">
        <f>VLOOKUP(B113,[4]考勤分析!$A:$I,4,FALSE)</f>
        <v>1.48971759259584</v>
      </c>
      <c r="Y113" s="90" t="b">
        <f>VLOOKUP(B113,[4]考勤分析!$A:$I,5,FALSE)</f>
        <v>1</v>
      </c>
      <c r="Z113" s="90">
        <f>VLOOKUP(B113,[4]考勤分析!$A:$I,6,FALSE)</f>
        <v>8</v>
      </c>
      <c r="AA113" s="90">
        <f>VLOOKUP(B113,[4]考勤分析!$A:$I,7,FALSE)</f>
        <v>46</v>
      </c>
      <c r="AB113" s="90">
        <f>VLOOKUP(B113,[4]考勤分析!$A:$I,8,FALSE)</f>
        <v>5</v>
      </c>
      <c r="AC113" s="90">
        <f>VLOOKUP(B113,[4]考勤分析!$A:$I,9,FALSE)</f>
        <v>1</v>
      </c>
      <c r="AD113" s="90">
        <v>0</v>
      </c>
      <c r="AE113" s="90">
        <v>1</v>
      </c>
      <c r="AF113" s="90">
        <v>0</v>
      </c>
      <c r="AG113" s="90">
        <v>0</v>
      </c>
      <c r="AH113" s="90">
        <v>0</v>
      </c>
      <c r="AI113" s="90">
        <v>0</v>
      </c>
      <c r="AJ113" s="90"/>
      <c r="AK113" s="90" t="e">
        <f>VLOOKUP(B113,[3]总表!$B:$W,22,FALSE)</f>
        <v>#N/A</v>
      </c>
      <c r="AL113" s="171"/>
      <c r="AM113" s="171"/>
      <c r="AN113" s="171"/>
      <c r="AO113" s="171"/>
      <c r="AP113" s="171"/>
      <c r="AQ113" s="171"/>
      <c r="AR113" s="171"/>
      <c r="AS113" s="171"/>
    </row>
    <row r="114" s="139" customFormat="1" spans="1:45">
      <c r="A114" s="99">
        <v>112</v>
      </c>
      <c r="B114" s="98" t="s">
        <v>347</v>
      </c>
      <c r="C114" s="97" t="s">
        <v>148</v>
      </c>
      <c r="D114" s="98" t="s">
        <v>156</v>
      </c>
      <c r="E114" s="92" t="s">
        <v>68</v>
      </c>
      <c r="F114" s="168" t="e">
        <v>#N/A</v>
      </c>
      <c r="G114" s="92" t="s">
        <v>69</v>
      </c>
      <c r="H114" s="92" t="s">
        <v>294</v>
      </c>
      <c r="I114" s="114"/>
      <c r="J114" s="111"/>
      <c r="K114" s="111"/>
      <c r="L114" s="94">
        <v>1</v>
      </c>
      <c r="M114" s="94" t="s">
        <v>151</v>
      </c>
      <c r="N114" s="94" t="s">
        <v>62</v>
      </c>
      <c r="O114" s="169"/>
      <c r="P114" s="169"/>
      <c r="Q114" s="169"/>
      <c r="R114" s="169"/>
      <c r="S114" s="156">
        <f>VLOOKUP(B114,'[2]62人'!$B:$R,17,FALSE)</f>
        <v>2</v>
      </c>
      <c r="T114" s="37">
        <v>0</v>
      </c>
      <c r="U114" s="170"/>
      <c r="V114" s="169"/>
      <c r="W114" s="169"/>
      <c r="X114" s="158">
        <f>VLOOKUP(B114,[4]考勤分析!$A:$I,4,FALSE)</f>
        <v>1.91887962960852</v>
      </c>
      <c r="Y114" s="90" t="b">
        <f>VLOOKUP(B114,[4]考勤分析!$A:$I,5,FALSE)</f>
        <v>1</v>
      </c>
      <c r="Z114" s="90">
        <f>VLOOKUP(B114,[4]考勤分析!$A:$I,6,FALSE)</f>
        <v>7</v>
      </c>
      <c r="AA114" s="90">
        <f>VLOOKUP(B114,[4]考勤分析!$A:$I,7,FALSE)</f>
        <v>22</v>
      </c>
      <c r="AB114" s="90">
        <f>VLOOKUP(B114,[4]考勤分析!$A:$I,8,FALSE)</f>
        <v>31</v>
      </c>
      <c r="AC114" s="90">
        <f>VLOOKUP(B114,[4]考勤分析!$A:$I,9,FALSE)</f>
        <v>0</v>
      </c>
      <c r="AD114" s="90">
        <v>0</v>
      </c>
      <c r="AE114" s="90">
        <v>0</v>
      </c>
      <c r="AF114" s="90">
        <v>0</v>
      </c>
      <c r="AG114" s="90">
        <v>0</v>
      </c>
      <c r="AH114" s="90">
        <v>0</v>
      </c>
      <c r="AI114" s="90">
        <v>0</v>
      </c>
      <c r="AJ114" s="90"/>
      <c r="AK114" s="90" t="e">
        <f>VLOOKUP(B114,[3]总表!$B:$W,22,FALSE)</f>
        <v>#N/A</v>
      </c>
      <c r="AL114" s="171"/>
      <c r="AM114" s="171"/>
      <c r="AN114" s="171"/>
      <c r="AO114" s="171"/>
      <c r="AP114" s="171"/>
      <c r="AQ114" s="171"/>
      <c r="AR114" s="171"/>
      <c r="AS114" s="171"/>
    </row>
    <row r="115" s="139" customFormat="1" spans="1:45">
      <c r="A115" s="99">
        <v>113</v>
      </c>
      <c r="B115" s="98" t="s">
        <v>348</v>
      </c>
      <c r="C115" s="97" t="s">
        <v>98</v>
      </c>
      <c r="D115" s="98" t="s">
        <v>349</v>
      </c>
      <c r="E115" s="92" t="s">
        <v>56</v>
      </c>
      <c r="F115" s="168">
        <v>7</v>
      </c>
      <c r="G115" s="92" t="s">
        <v>69</v>
      </c>
      <c r="H115" s="92" t="s">
        <v>194</v>
      </c>
      <c r="I115" s="114"/>
      <c r="J115" s="111"/>
      <c r="K115" s="111"/>
      <c r="L115" s="94">
        <v>0</v>
      </c>
      <c r="M115" s="94" t="s">
        <v>61</v>
      </c>
      <c r="N115" s="94" t="s">
        <v>62</v>
      </c>
      <c r="O115" s="169"/>
      <c r="P115" s="169"/>
      <c r="Q115" s="169"/>
      <c r="R115" s="169"/>
      <c r="S115" s="156">
        <f>VLOOKUP(B115,'[2]62人'!$B:$R,17,FALSE)</f>
        <v>8</v>
      </c>
      <c r="T115" s="37">
        <v>0</v>
      </c>
      <c r="U115" s="170">
        <v>1</v>
      </c>
      <c r="V115" s="169"/>
      <c r="W115" s="169"/>
      <c r="X115" s="158">
        <f>VLOOKUP(B115,[4]考勤分析!$A:$I,4,FALSE)</f>
        <v>1.95347442681576</v>
      </c>
      <c r="Y115" s="90" t="b">
        <f>VLOOKUP(B115,[4]考勤分析!$A:$I,5,FALSE)</f>
        <v>0</v>
      </c>
      <c r="Z115" s="90">
        <f>VLOOKUP(B115,[4]考勤分析!$A:$I,6,FALSE)</f>
        <v>11</v>
      </c>
      <c r="AA115" s="90">
        <f>VLOOKUP(B115,[4]考勤分析!$A:$I,7,FALSE)</f>
        <v>39</v>
      </c>
      <c r="AB115" s="90">
        <f>VLOOKUP(B115,[4]考勤分析!$A:$I,8,FALSE)</f>
        <v>3</v>
      </c>
      <c r="AC115" s="90">
        <f>VLOOKUP(B115,[4]考勤分析!$A:$I,9,FALSE)</f>
        <v>10</v>
      </c>
      <c r="AD115" s="90">
        <v>0</v>
      </c>
      <c r="AE115" s="90">
        <v>0</v>
      </c>
      <c r="AF115" s="90">
        <v>0</v>
      </c>
      <c r="AG115" s="90">
        <v>0</v>
      </c>
      <c r="AH115" s="90">
        <v>0</v>
      </c>
      <c r="AI115" s="90">
        <v>0</v>
      </c>
      <c r="AJ115" s="90"/>
      <c r="AK115" s="90">
        <f>VLOOKUP(B115,[3]总表!$B:$W,22,FALSE)</f>
        <v>0</v>
      </c>
      <c r="AL115" s="171"/>
      <c r="AM115" s="171"/>
      <c r="AN115" s="171"/>
      <c r="AO115" s="171"/>
      <c r="AP115" s="171"/>
      <c r="AQ115" s="171"/>
      <c r="AR115" s="171"/>
      <c r="AS115" s="171"/>
    </row>
    <row r="116" s="139" customFormat="1" spans="1:45">
      <c r="A116" s="99">
        <v>114</v>
      </c>
      <c r="B116" s="98" t="s">
        <v>350</v>
      </c>
      <c r="C116" s="97" t="s">
        <v>98</v>
      </c>
      <c r="D116" s="98" t="s">
        <v>107</v>
      </c>
      <c r="E116" s="92" t="s">
        <v>68</v>
      </c>
      <c r="F116" s="168">
        <v>5</v>
      </c>
      <c r="G116" s="92" t="s">
        <v>69</v>
      </c>
      <c r="H116" s="92" t="s">
        <v>81</v>
      </c>
      <c r="I116" s="114"/>
      <c r="J116" s="111"/>
      <c r="K116" s="111"/>
      <c r="L116" s="94">
        <v>0</v>
      </c>
      <c r="M116" s="94" t="s">
        <v>61</v>
      </c>
      <c r="N116" s="94" t="s">
        <v>62</v>
      </c>
      <c r="O116" s="169"/>
      <c r="P116" s="169"/>
      <c r="Q116" s="169"/>
      <c r="R116" s="169"/>
      <c r="S116" s="156">
        <f>VLOOKUP(B116,'[2]62人'!$B:$R,17,FALSE)</f>
        <v>16</v>
      </c>
      <c r="T116" s="37">
        <v>0</v>
      </c>
      <c r="U116" s="170"/>
      <c r="V116" s="169"/>
      <c r="W116" s="169"/>
      <c r="X116" s="158">
        <f>VLOOKUP(B116,[4]考勤分析!$A:$I,4,FALSE)</f>
        <v>0.550550925928595</v>
      </c>
      <c r="Y116" s="90" t="b">
        <f>VLOOKUP(B116,[4]考勤分析!$A:$I,5,FALSE)</f>
        <v>0</v>
      </c>
      <c r="Z116" s="90">
        <f>VLOOKUP(B116,[4]考勤分析!$A:$I,6,FALSE)</f>
        <v>58</v>
      </c>
      <c r="AA116" s="90">
        <f>VLOOKUP(B116,[4]考勤分析!$A:$I,7,FALSE)</f>
        <v>2</v>
      </c>
      <c r="AB116" s="90">
        <f>VLOOKUP(B116,[4]考勤分析!$A:$I,8,FALSE)</f>
        <v>0</v>
      </c>
      <c r="AC116" s="90">
        <f>VLOOKUP(B116,[4]考勤分析!$A:$I,9,FALSE)</f>
        <v>0</v>
      </c>
      <c r="AD116" s="90">
        <v>0</v>
      </c>
      <c r="AE116" s="90">
        <v>0</v>
      </c>
      <c r="AF116" s="90">
        <v>1</v>
      </c>
      <c r="AG116" s="90">
        <v>2</v>
      </c>
      <c r="AH116" s="90">
        <v>2</v>
      </c>
      <c r="AI116" s="90">
        <v>0</v>
      </c>
      <c r="AJ116" s="90"/>
      <c r="AK116" s="90" t="str">
        <f>VLOOKUP(B116,[3]总表!$B:$W,22,FALSE)</f>
        <v>不饱和</v>
      </c>
      <c r="AL116" s="171"/>
      <c r="AM116" s="171"/>
      <c r="AN116" s="171"/>
      <c r="AO116" s="171"/>
      <c r="AP116" s="171"/>
      <c r="AQ116" s="171"/>
      <c r="AR116" s="171"/>
      <c r="AS116" s="171"/>
    </row>
    <row r="117" s="139" customFormat="1" spans="1:45">
      <c r="A117" s="99">
        <v>115</v>
      </c>
      <c r="B117" s="98" t="s">
        <v>351</v>
      </c>
      <c r="C117" s="97" t="s">
        <v>98</v>
      </c>
      <c r="D117" s="98" t="s">
        <v>107</v>
      </c>
      <c r="E117" s="92" t="s">
        <v>56</v>
      </c>
      <c r="F117" s="168">
        <v>3</v>
      </c>
      <c r="G117" s="92" t="s">
        <v>57</v>
      </c>
      <c r="H117" s="92" t="s">
        <v>122</v>
      </c>
      <c r="I117" s="114"/>
      <c r="J117" s="111"/>
      <c r="K117" s="111"/>
      <c r="L117" s="94">
        <v>0</v>
      </c>
      <c r="M117" s="94" t="s">
        <v>61</v>
      </c>
      <c r="N117" s="94" t="s">
        <v>62</v>
      </c>
      <c r="O117" s="169"/>
      <c r="P117" s="169"/>
      <c r="Q117" s="169"/>
      <c r="R117" s="169"/>
      <c r="S117" s="156">
        <f>VLOOKUP(B117,'[2]62人'!$B:$R,17,FALSE)</f>
        <v>14</v>
      </c>
      <c r="T117" s="37">
        <v>11</v>
      </c>
      <c r="U117" s="170"/>
      <c r="V117" s="169"/>
      <c r="W117" s="169"/>
      <c r="X117" s="158">
        <f>VLOOKUP(B117,[4]考勤分析!$A:$I,4,FALSE)</f>
        <v>1.13954545454048</v>
      </c>
      <c r="Y117" s="90" t="b">
        <f>VLOOKUP(B117,[4]考勤分析!$A:$I,5,FALSE)</f>
        <v>0</v>
      </c>
      <c r="Z117" s="90">
        <f>VLOOKUP(B117,[4]考勤分析!$A:$I,6,FALSE)</f>
        <v>27</v>
      </c>
      <c r="AA117" s="90">
        <f>VLOOKUP(B117,[4]考勤分析!$A:$I,7,FALSE)</f>
        <v>36</v>
      </c>
      <c r="AB117" s="90">
        <f>VLOOKUP(B117,[4]考勤分析!$A:$I,8,FALSE)</f>
        <v>1</v>
      </c>
      <c r="AC117" s="90">
        <f>VLOOKUP(B117,[4]考勤分析!$A:$I,9,FALSE)</f>
        <v>2</v>
      </c>
      <c r="AD117" s="90">
        <v>0</v>
      </c>
      <c r="AE117" s="90">
        <v>2</v>
      </c>
      <c r="AF117" s="90">
        <v>1</v>
      </c>
      <c r="AG117" s="90">
        <v>1</v>
      </c>
      <c r="AH117" s="90">
        <v>1</v>
      </c>
      <c r="AI117" s="90">
        <v>3</v>
      </c>
      <c r="AJ117" s="90"/>
      <c r="AK117" s="90" t="str">
        <f>VLOOKUP(B117,[3]总表!$B:$W,22,FALSE)</f>
        <v>适中</v>
      </c>
      <c r="AL117" s="171"/>
      <c r="AM117" s="171"/>
      <c r="AN117" s="171"/>
      <c r="AO117" s="171"/>
      <c r="AP117" s="171"/>
      <c r="AQ117" s="171"/>
      <c r="AR117" s="171"/>
      <c r="AS117" s="171"/>
    </row>
    <row r="118" s="139" customFormat="1" spans="1:45">
      <c r="A118" s="99">
        <v>116</v>
      </c>
      <c r="B118" s="98" t="s">
        <v>352</v>
      </c>
      <c r="C118" s="97" t="s">
        <v>98</v>
      </c>
      <c r="D118" s="98" t="s">
        <v>107</v>
      </c>
      <c r="E118" s="92" t="s">
        <v>68</v>
      </c>
      <c r="F118" s="168">
        <v>3</v>
      </c>
      <c r="G118" s="92" t="s">
        <v>69</v>
      </c>
      <c r="H118" s="92" t="s">
        <v>353</v>
      </c>
      <c r="I118" s="114"/>
      <c r="J118" s="111"/>
      <c r="K118" s="111"/>
      <c r="L118" s="94">
        <v>0</v>
      </c>
      <c r="M118" s="94" t="s">
        <v>61</v>
      </c>
      <c r="N118" s="94" t="s">
        <v>62</v>
      </c>
      <c r="O118" s="169"/>
      <c r="P118" s="169"/>
      <c r="Q118" s="169"/>
      <c r="R118" s="169"/>
      <c r="S118" s="156">
        <f>VLOOKUP(B118,'[2]62人'!$B:$R,17,FALSE)</f>
        <v>15</v>
      </c>
      <c r="T118" s="37">
        <v>0</v>
      </c>
      <c r="U118" s="170"/>
      <c r="V118" s="169"/>
      <c r="W118" s="169"/>
      <c r="X118" s="158">
        <f>VLOOKUP(B118,[4]考勤分析!$A:$I,4,FALSE)</f>
        <v>0.942661290312366</v>
      </c>
      <c r="Y118" s="90" t="b">
        <f>VLOOKUP(B118,[4]考勤分析!$A:$I,5,FALSE)</f>
        <v>0</v>
      </c>
      <c r="Z118" s="90">
        <f>VLOOKUP(B118,[4]考勤分析!$A:$I,6,FALSE)</f>
        <v>45</v>
      </c>
      <c r="AA118" s="90">
        <f>VLOOKUP(B118,[4]考勤分析!$A:$I,7,FALSE)</f>
        <v>15</v>
      </c>
      <c r="AB118" s="90">
        <f>VLOOKUP(B118,[4]考勤分析!$A:$I,8,FALSE)</f>
        <v>0</v>
      </c>
      <c r="AC118" s="90">
        <f>VLOOKUP(B118,[4]考勤分析!$A:$I,9,FALSE)</f>
        <v>2</v>
      </c>
      <c r="AD118" s="90">
        <v>0</v>
      </c>
      <c r="AE118" s="90">
        <v>1</v>
      </c>
      <c r="AF118" s="90">
        <v>0</v>
      </c>
      <c r="AG118" s="90">
        <v>1</v>
      </c>
      <c r="AH118" s="90">
        <v>1</v>
      </c>
      <c r="AI118" s="90">
        <v>3</v>
      </c>
      <c r="AJ118" s="90"/>
      <c r="AK118" s="90" t="str">
        <f>VLOOKUP(B118,[3]总表!$B:$W,22,FALSE)</f>
        <v>不饱和</v>
      </c>
      <c r="AL118" s="171"/>
      <c r="AM118" s="171"/>
      <c r="AN118" s="171"/>
      <c r="AO118" s="171"/>
      <c r="AP118" s="171"/>
      <c r="AQ118" s="171"/>
      <c r="AR118" s="171"/>
      <c r="AS118" s="171"/>
    </row>
    <row r="119" s="139" customFormat="1" spans="1:45">
      <c r="A119" s="99">
        <v>117</v>
      </c>
      <c r="B119" s="98" t="s">
        <v>354</v>
      </c>
      <c r="C119" s="97" t="s">
        <v>98</v>
      </c>
      <c r="D119" s="98" t="s">
        <v>107</v>
      </c>
      <c r="E119" s="92" t="s">
        <v>68</v>
      </c>
      <c r="F119" s="168">
        <v>3</v>
      </c>
      <c r="G119" s="92" t="s">
        <v>69</v>
      </c>
      <c r="H119" s="92" t="s">
        <v>355</v>
      </c>
      <c r="I119" s="114"/>
      <c r="J119" s="111"/>
      <c r="K119" s="111"/>
      <c r="L119" s="94">
        <v>0</v>
      </c>
      <c r="M119" s="94" t="s">
        <v>61</v>
      </c>
      <c r="N119" s="94" t="s">
        <v>62</v>
      </c>
      <c r="O119" s="169"/>
      <c r="P119" s="169"/>
      <c r="Q119" s="169"/>
      <c r="R119" s="169"/>
      <c r="S119" s="156">
        <f>VLOOKUP(B119,'[2]62人'!$B:$R,17,FALSE)</f>
        <v>11</v>
      </c>
      <c r="T119" s="37">
        <v>0</v>
      </c>
      <c r="U119" s="170"/>
      <c r="V119" s="169"/>
      <c r="W119" s="169"/>
      <c r="X119" s="158">
        <f>VLOOKUP(B119,[4]考勤分析!$A:$I,4,FALSE)</f>
        <v>0.843915343913804</v>
      </c>
      <c r="Y119" s="90" t="b">
        <f>VLOOKUP(B119,[4]考勤分析!$A:$I,5,FALSE)</f>
        <v>0</v>
      </c>
      <c r="Z119" s="90">
        <f>VLOOKUP(B119,[4]考勤分析!$A:$I,6,FALSE)</f>
        <v>49</v>
      </c>
      <c r="AA119" s="90">
        <f>VLOOKUP(B119,[4]考勤分析!$A:$I,7,FALSE)</f>
        <v>13</v>
      </c>
      <c r="AB119" s="90">
        <f>VLOOKUP(B119,[4]考勤分析!$A:$I,8,FALSE)</f>
        <v>0</v>
      </c>
      <c r="AC119" s="90">
        <f>VLOOKUP(B119,[4]考勤分析!$A:$I,9,FALSE)</f>
        <v>1</v>
      </c>
      <c r="AD119" s="90">
        <v>0</v>
      </c>
      <c r="AE119" s="90">
        <v>0</v>
      </c>
      <c r="AF119" s="90">
        <v>0</v>
      </c>
      <c r="AG119" s="90">
        <v>2</v>
      </c>
      <c r="AH119" s="90">
        <v>0</v>
      </c>
      <c r="AI119" s="90">
        <v>0</v>
      </c>
      <c r="AJ119" s="90"/>
      <c r="AK119" s="90" t="str">
        <f>VLOOKUP(B119,[3]总表!$B:$W,22,FALSE)</f>
        <v>不饱和</v>
      </c>
      <c r="AL119" s="171"/>
      <c r="AM119" s="171"/>
      <c r="AN119" s="171"/>
      <c r="AO119" s="171"/>
      <c r="AP119" s="171"/>
      <c r="AQ119" s="171"/>
      <c r="AR119" s="171"/>
      <c r="AS119" s="171"/>
    </row>
    <row r="120" s="139" customFormat="1" spans="1:45">
      <c r="A120" s="99">
        <v>118</v>
      </c>
      <c r="B120" s="98" t="s">
        <v>356</v>
      </c>
      <c r="C120" s="97" t="s">
        <v>98</v>
      </c>
      <c r="D120" s="98" t="s">
        <v>107</v>
      </c>
      <c r="E120" s="92" t="s">
        <v>68</v>
      </c>
      <c r="F120" s="99">
        <f>VLOOKUP(B120,累计工龄!A:B,2,FALSE)</f>
        <v>1</v>
      </c>
      <c r="G120" s="92" t="s">
        <v>69</v>
      </c>
      <c r="H120" s="92" t="s">
        <v>357</v>
      </c>
      <c r="I120" s="114"/>
      <c r="J120" s="111"/>
      <c r="K120" s="111"/>
      <c r="L120" s="94">
        <v>1</v>
      </c>
      <c r="M120" s="94" t="s">
        <v>61</v>
      </c>
      <c r="N120" s="94" t="s">
        <v>62</v>
      </c>
      <c r="O120" s="169"/>
      <c r="P120" s="169"/>
      <c r="Q120" s="169"/>
      <c r="R120" s="169"/>
      <c r="S120" s="156">
        <f>VLOOKUP(B120,'[2]62人'!$B:$R,17,FALSE)</f>
        <v>12</v>
      </c>
      <c r="T120" s="37">
        <v>0</v>
      </c>
      <c r="U120" s="170"/>
      <c r="V120" s="169"/>
      <c r="W120" s="169"/>
      <c r="X120" s="158">
        <f>VLOOKUP(B120,[4]考勤分析!$A:$I,4,FALSE)</f>
        <v>1.26271402548625</v>
      </c>
      <c r="Y120" s="90" t="b">
        <f>VLOOKUP(B120,[4]考勤分析!$A:$I,5,FALSE)</f>
        <v>0</v>
      </c>
      <c r="Z120" s="90">
        <f>VLOOKUP(B120,[4]考勤分析!$A:$I,6,FALSE)</f>
        <v>38</v>
      </c>
      <c r="AA120" s="90">
        <f>VLOOKUP(B120,[4]考勤分析!$A:$I,7,FALSE)</f>
        <v>18</v>
      </c>
      <c r="AB120" s="90">
        <f>VLOOKUP(B120,[4]考勤分析!$A:$I,8,FALSE)</f>
        <v>1</v>
      </c>
      <c r="AC120" s="90">
        <f>VLOOKUP(B120,[4]考勤分析!$A:$I,9,FALSE)</f>
        <v>4</v>
      </c>
      <c r="AD120" s="90">
        <v>0</v>
      </c>
      <c r="AE120" s="90">
        <v>0</v>
      </c>
      <c r="AF120" s="90">
        <v>0</v>
      </c>
      <c r="AG120" s="90">
        <v>2</v>
      </c>
      <c r="AH120" s="90">
        <v>0</v>
      </c>
      <c r="AI120" s="90">
        <v>1</v>
      </c>
      <c r="AJ120" s="90"/>
      <c r="AK120" s="90" t="str">
        <f>VLOOKUP(B120,[3]总表!$B:$W,22,FALSE)</f>
        <v>适中</v>
      </c>
      <c r="AL120" s="171"/>
      <c r="AM120" s="171"/>
      <c r="AN120" s="171"/>
      <c r="AO120" s="171"/>
      <c r="AP120" s="171"/>
      <c r="AQ120" s="171"/>
      <c r="AR120" s="171"/>
      <c r="AS120" s="171"/>
    </row>
    <row r="121" s="139" customFormat="1" ht="129.6" spans="1:45">
      <c r="A121" s="99">
        <v>119</v>
      </c>
      <c r="B121" s="98" t="s">
        <v>358</v>
      </c>
      <c r="C121" s="97" t="s">
        <v>98</v>
      </c>
      <c r="D121" s="98" t="s">
        <v>121</v>
      </c>
      <c r="E121" s="92" t="s">
        <v>56</v>
      </c>
      <c r="F121" s="168">
        <v>6</v>
      </c>
      <c r="G121" s="92" t="s">
        <v>69</v>
      </c>
      <c r="H121" s="92" t="s">
        <v>359</v>
      </c>
      <c r="I121" s="114"/>
      <c r="J121" s="111"/>
      <c r="K121" s="111"/>
      <c r="L121" s="94">
        <v>1</v>
      </c>
      <c r="M121" s="94" t="s">
        <v>61</v>
      </c>
      <c r="N121" s="94" t="s">
        <v>62</v>
      </c>
      <c r="O121" s="169"/>
      <c r="P121" s="169"/>
      <c r="Q121" s="169"/>
      <c r="R121" s="169" t="s">
        <v>360</v>
      </c>
      <c r="S121" s="156">
        <f>VLOOKUP(B121,'[2]62人'!$B:$R,17,FALSE)</f>
        <v>11</v>
      </c>
      <c r="T121" s="37">
        <v>4</v>
      </c>
      <c r="U121" s="170"/>
      <c r="V121" s="169"/>
      <c r="W121" s="169"/>
      <c r="X121" s="158">
        <f>VLOOKUP(B121,[4]考勤分析!$A:$I,4,FALSE)</f>
        <v>2.7279999999766</v>
      </c>
      <c r="Y121" s="90" t="b">
        <f>VLOOKUP(B121,[4]考勤分析!$A:$I,5,FALSE)</f>
        <v>1</v>
      </c>
      <c r="Z121" s="90">
        <f>VLOOKUP(B121,[4]考勤分析!$A:$I,6,FALSE)</f>
        <v>9</v>
      </c>
      <c r="AA121" s="90">
        <f>VLOOKUP(B121,[4]考勤分析!$A:$I,7,FALSE)</f>
        <v>11</v>
      </c>
      <c r="AB121" s="90">
        <f>VLOOKUP(B121,[4]考勤分析!$A:$I,8,FALSE)</f>
        <v>24</v>
      </c>
      <c r="AC121" s="90">
        <f>VLOOKUP(B121,[4]考勤分析!$A:$I,9,FALSE)</f>
        <v>16</v>
      </c>
      <c r="AD121" s="90">
        <v>0</v>
      </c>
      <c r="AE121" s="90">
        <v>2</v>
      </c>
      <c r="AF121" s="90">
        <v>3</v>
      </c>
      <c r="AG121" s="90">
        <v>3</v>
      </c>
      <c r="AH121" s="90">
        <v>8</v>
      </c>
      <c r="AI121" s="90">
        <v>14</v>
      </c>
      <c r="AJ121" s="90"/>
      <c r="AK121" s="90" t="str">
        <f>VLOOKUP(B121,[3]总表!$B:$W,22,FALSE)</f>
        <v>超负荷</v>
      </c>
      <c r="AL121" s="171"/>
      <c r="AM121" s="171"/>
      <c r="AN121" s="171"/>
      <c r="AO121" s="171"/>
      <c r="AP121" s="171"/>
      <c r="AQ121" s="171"/>
      <c r="AR121" s="171"/>
      <c r="AS121" s="171"/>
    </row>
    <row r="122" s="139" customFormat="1" ht="43.2" spans="1:45">
      <c r="A122" s="99">
        <v>120</v>
      </c>
      <c r="B122" s="98" t="s">
        <v>361</v>
      </c>
      <c r="C122" s="97" t="s">
        <v>98</v>
      </c>
      <c r="D122" s="98" t="s">
        <v>121</v>
      </c>
      <c r="E122" s="92" t="s">
        <v>68</v>
      </c>
      <c r="F122" s="168">
        <v>3</v>
      </c>
      <c r="G122" s="92" t="s">
        <v>69</v>
      </c>
      <c r="H122" s="92" t="s">
        <v>210</v>
      </c>
      <c r="I122" s="114"/>
      <c r="J122" s="111"/>
      <c r="K122" s="111"/>
      <c r="L122" s="94">
        <v>1</v>
      </c>
      <c r="M122" s="94" t="s">
        <v>61</v>
      </c>
      <c r="N122" s="94" t="s">
        <v>62</v>
      </c>
      <c r="O122" s="169"/>
      <c r="P122" s="169"/>
      <c r="Q122" s="169"/>
      <c r="R122" s="169" t="s">
        <v>362</v>
      </c>
      <c r="S122" s="156">
        <f>VLOOKUP(B122,'[2]62人'!$B:$R,17,FALSE)</f>
        <v>14</v>
      </c>
      <c r="T122" s="37">
        <v>0</v>
      </c>
      <c r="U122" s="170"/>
      <c r="V122" s="169"/>
      <c r="W122" s="169"/>
      <c r="X122" s="158">
        <f>VLOOKUP(B122,[4]考勤分析!$A:$I,4,FALSE)</f>
        <v>3.02768214937723</v>
      </c>
      <c r="Y122" s="90" t="b">
        <f>VLOOKUP(B122,[4]考勤分析!$A:$I,5,FALSE)</f>
        <v>1</v>
      </c>
      <c r="Z122" s="90">
        <f>VLOOKUP(B122,[4]考勤分析!$A:$I,6,FALSE)</f>
        <v>15</v>
      </c>
      <c r="AA122" s="90">
        <f>VLOOKUP(B122,[4]考勤分析!$A:$I,7,FALSE)</f>
        <v>16</v>
      </c>
      <c r="AB122" s="90">
        <f>VLOOKUP(B122,[4]考勤分析!$A:$I,8,FALSE)</f>
        <v>5</v>
      </c>
      <c r="AC122" s="90">
        <f>VLOOKUP(B122,[4]考勤分析!$A:$I,9,FALSE)</f>
        <v>25</v>
      </c>
      <c r="AD122" s="90">
        <v>0</v>
      </c>
      <c r="AE122" s="90">
        <v>1</v>
      </c>
      <c r="AF122" s="90">
        <v>0</v>
      </c>
      <c r="AG122" s="90">
        <v>1</v>
      </c>
      <c r="AH122" s="90">
        <v>12</v>
      </c>
      <c r="AI122" s="90">
        <v>19</v>
      </c>
      <c r="AJ122" s="90"/>
      <c r="AK122" s="90" t="str">
        <f>VLOOKUP(B122,[3]总表!$B:$W,22,FALSE)</f>
        <v>超负荷</v>
      </c>
      <c r="AL122" s="171"/>
      <c r="AM122" s="171"/>
      <c r="AN122" s="171"/>
      <c r="AO122" s="171"/>
      <c r="AP122" s="171"/>
      <c r="AQ122" s="171"/>
      <c r="AR122" s="171"/>
      <c r="AS122" s="171"/>
    </row>
    <row r="123" s="139" customFormat="1" spans="1:45">
      <c r="A123" s="99">
        <v>121</v>
      </c>
      <c r="B123" s="98" t="s">
        <v>363</v>
      </c>
      <c r="C123" s="97" t="s">
        <v>98</v>
      </c>
      <c r="D123" s="98" t="s">
        <v>121</v>
      </c>
      <c r="E123" s="92" t="s">
        <v>56</v>
      </c>
      <c r="F123" s="168">
        <v>3</v>
      </c>
      <c r="G123" s="92" t="s">
        <v>69</v>
      </c>
      <c r="H123" s="92" t="s">
        <v>246</v>
      </c>
      <c r="I123" s="114"/>
      <c r="J123" s="111"/>
      <c r="K123" s="111"/>
      <c r="L123" s="94">
        <v>1</v>
      </c>
      <c r="M123" s="94" t="s">
        <v>61</v>
      </c>
      <c r="N123" s="94" t="s">
        <v>62</v>
      </c>
      <c r="O123" s="169"/>
      <c r="P123" s="169"/>
      <c r="Q123" s="169"/>
      <c r="R123" s="169"/>
      <c r="S123" s="156">
        <f>VLOOKUP(B123,'[2]62人'!$B:$R,17,FALSE)</f>
        <v>17</v>
      </c>
      <c r="T123" s="37">
        <v>0</v>
      </c>
      <c r="U123" s="170"/>
      <c r="V123" s="169"/>
      <c r="W123" s="169"/>
      <c r="X123" s="158">
        <f>VLOOKUP(B123,[4]考勤分析!$A:$I,4,FALSE)</f>
        <v>3.53113675214297</v>
      </c>
      <c r="Y123" s="90" t="b">
        <f>VLOOKUP(B123,[4]考勤分析!$A:$I,5,FALSE)</f>
        <v>1</v>
      </c>
      <c r="Z123" s="90">
        <f>VLOOKUP(B123,[4]考勤分析!$A:$I,6,FALSE)</f>
        <v>7</v>
      </c>
      <c r="AA123" s="90">
        <f>VLOOKUP(B123,[4]考勤分析!$A:$I,7,FALSE)</f>
        <v>17</v>
      </c>
      <c r="AB123" s="90">
        <f>VLOOKUP(B123,[4]考勤分析!$A:$I,8,FALSE)</f>
        <v>14</v>
      </c>
      <c r="AC123" s="90">
        <f>VLOOKUP(B123,[4]考勤分析!$A:$I,9,FALSE)</f>
        <v>27</v>
      </c>
      <c r="AD123" s="90">
        <v>1</v>
      </c>
      <c r="AE123" s="90">
        <v>3</v>
      </c>
      <c r="AF123" s="90">
        <v>2</v>
      </c>
      <c r="AG123" s="90">
        <v>1</v>
      </c>
      <c r="AH123" s="90">
        <v>21</v>
      </c>
      <c r="AI123" s="90">
        <v>27</v>
      </c>
      <c r="AJ123" s="90"/>
      <c r="AK123" s="90" t="str">
        <f>VLOOKUP(B123,[3]总表!$B:$W,22,FALSE)</f>
        <v>超负荷</v>
      </c>
      <c r="AL123" s="171"/>
      <c r="AM123" s="171"/>
      <c r="AN123" s="171"/>
      <c r="AO123" s="171"/>
      <c r="AP123" s="171"/>
      <c r="AQ123" s="171"/>
      <c r="AR123" s="171"/>
      <c r="AS123" s="171"/>
    </row>
    <row r="124" s="139" customFormat="1" spans="1:45">
      <c r="A124" s="99">
        <v>122</v>
      </c>
      <c r="B124" s="98" t="s">
        <v>364</v>
      </c>
      <c r="C124" s="97" t="s">
        <v>98</v>
      </c>
      <c r="D124" s="98" t="s">
        <v>121</v>
      </c>
      <c r="E124" s="92" t="s">
        <v>56</v>
      </c>
      <c r="F124" s="99">
        <v>1</v>
      </c>
      <c r="G124" s="92" t="s">
        <v>69</v>
      </c>
      <c r="H124" s="92" t="s">
        <v>365</v>
      </c>
      <c r="I124" s="114"/>
      <c r="J124" s="111"/>
      <c r="K124" s="111"/>
      <c r="L124" s="94">
        <v>0</v>
      </c>
      <c r="M124" s="94" t="s">
        <v>61</v>
      </c>
      <c r="N124" s="94" t="s">
        <v>62</v>
      </c>
      <c r="O124" s="169"/>
      <c r="P124" s="169"/>
      <c r="Q124" s="169"/>
      <c r="R124" s="169"/>
      <c r="S124" s="156">
        <f>VLOOKUP(B124,'[2]62人'!$B:$R,17,FALSE)</f>
        <v>17</v>
      </c>
      <c r="T124" s="37">
        <v>0</v>
      </c>
      <c r="U124" s="170"/>
      <c r="V124" s="169"/>
      <c r="W124" s="169"/>
      <c r="X124" s="158">
        <f>VLOOKUP(B124,[4]考勤分析!$A:$I,4,FALSE)</f>
        <v>2.34635521885304</v>
      </c>
      <c r="Y124" s="90" t="b">
        <f>VLOOKUP(B124,[4]考勤分析!$A:$I,5,FALSE)</f>
        <v>1</v>
      </c>
      <c r="Z124" s="90">
        <f>VLOOKUP(B124,[4]考勤分析!$A:$I,6,FALSE)</f>
        <v>27</v>
      </c>
      <c r="AA124" s="90">
        <f>VLOOKUP(B124,[4]考勤分析!$A:$I,7,FALSE)</f>
        <v>15</v>
      </c>
      <c r="AB124" s="90">
        <f>VLOOKUP(B124,[4]考勤分析!$A:$I,8,FALSE)</f>
        <v>6</v>
      </c>
      <c r="AC124" s="90">
        <f>VLOOKUP(B124,[4]考勤分析!$A:$I,9,FALSE)</f>
        <v>18</v>
      </c>
      <c r="AD124" s="90">
        <v>0</v>
      </c>
      <c r="AE124" s="90">
        <v>1</v>
      </c>
      <c r="AF124" s="90">
        <v>0</v>
      </c>
      <c r="AG124" s="90">
        <v>1</v>
      </c>
      <c r="AH124" s="90">
        <v>23</v>
      </c>
      <c r="AI124" s="90">
        <v>36</v>
      </c>
      <c r="AJ124" s="90"/>
      <c r="AK124" s="90" t="str">
        <f>VLOOKUP(B124,[3]总表!$B:$W,22,FALSE)</f>
        <v>超负荷</v>
      </c>
      <c r="AL124" s="171"/>
      <c r="AM124" s="171"/>
      <c r="AN124" s="171"/>
      <c r="AO124" s="171"/>
      <c r="AP124" s="171"/>
      <c r="AQ124" s="171"/>
      <c r="AR124" s="171"/>
      <c r="AS124" s="171"/>
    </row>
    <row r="125" s="139" customFormat="1" spans="1:45">
      <c r="A125" s="99">
        <v>123</v>
      </c>
      <c r="B125" s="98" t="s">
        <v>366</v>
      </c>
      <c r="C125" s="97" t="s">
        <v>98</v>
      </c>
      <c r="D125" s="98" t="s">
        <v>121</v>
      </c>
      <c r="E125" s="92" t="s">
        <v>56</v>
      </c>
      <c r="F125" s="168">
        <v>13</v>
      </c>
      <c r="G125" s="92" t="s">
        <v>69</v>
      </c>
      <c r="H125" s="92" t="s">
        <v>367</v>
      </c>
      <c r="I125" s="114"/>
      <c r="J125" s="111" t="s">
        <v>60</v>
      </c>
      <c r="K125" s="111">
        <v>11</v>
      </c>
      <c r="L125" s="94">
        <v>0</v>
      </c>
      <c r="M125" s="94" t="s">
        <v>61</v>
      </c>
      <c r="N125" s="94" t="s">
        <v>71</v>
      </c>
      <c r="O125" s="169"/>
      <c r="P125" s="169"/>
      <c r="Q125" s="169"/>
      <c r="R125" s="169"/>
      <c r="S125" s="156">
        <f>VLOOKUP(B125,'[2]62人'!$B:$R,17,FALSE)</f>
        <v>2</v>
      </c>
      <c r="T125" s="37">
        <v>0</v>
      </c>
      <c r="U125" s="170"/>
      <c r="V125" s="169"/>
      <c r="W125" s="169"/>
      <c r="X125" s="158">
        <f>VLOOKUP(B125,[4]考勤分析!$A:$I,4,FALSE)</f>
        <v>2.26006272401109</v>
      </c>
      <c r="Y125" s="90" t="b">
        <f>VLOOKUP(B125,[4]考勤分析!$A:$I,5,FALSE)</f>
        <v>1</v>
      </c>
      <c r="Z125" s="90">
        <f>VLOOKUP(B125,[4]考勤分析!$A:$I,6,FALSE)</f>
        <v>14</v>
      </c>
      <c r="AA125" s="90">
        <f>VLOOKUP(B125,[4]考勤分析!$A:$I,7,FALSE)</f>
        <v>8</v>
      </c>
      <c r="AB125" s="90">
        <f>VLOOKUP(B125,[4]考勤分析!$A:$I,8,FALSE)</f>
        <v>36</v>
      </c>
      <c r="AC125" s="90">
        <f>VLOOKUP(B125,[4]考勤分析!$A:$I,9,FALSE)</f>
        <v>4</v>
      </c>
      <c r="AD125" s="90">
        <v>0</v>
      </c>
      <c r="AE125" s="90">
        <v>0</v>
      </c>
      <c r="AF125" s="90">
        <v>1</v>
      </c>
      <c r="AG125" s="90">
        <v>3</v>
      </c>
      <c r="AH125" s="90">
        <v>1</v>
      </c>
      <c r="AI125" s="90">
        <v>2</v>
      </c>
      <c r="AJ125" s="90"/>
      <c r="AK125" s="90" t="str">
        <f>VLOOKUP(B125,[3]总表!$B:$W,22,FALSE)</f>
        <v>适中</v>
      </c>
      <c r="AL125" s="171"/>
      <c r="AM125" s="171"/>
      <c r="AN125" s="171"/>
      <c r="AO125" s="171"/>
      <c r="AP125" s="171"/>
      <c r="AQ125" s="171"/>
      <c r="AR125" s="171"/>
      <c r="AS125" s="171"/>
    </row>
    <row r="126" s="139" customFormat="1" spans="1:45">
      <c r="A126" s="99">
        <v>124</v>
      </c>
      <c r="B126" s="98" t="s">
        <v>368</v>
      </c>
      <c r="C126" s="97" t="s">
        <v>98</v>
      </c>
      <c r="D126" s="98" t="s">
        <v>369</v>
      </c>
      <c r="E126" s="92" t="s">
        <v>56</v>
      </c>
      <c r="F126" s="168">
        <v>18</v>
      </c>
      <c r="G126" s="92" t="s">
        <v>69</v>
      </c>
      <c r="H126" s="92" t="s">
        <v>329</v>
      </c>
      <c r="I126" s="114" t="s">
        <v>275</v>
      </c>
      <c r="J126" s="111"/>
      <c r="K126" s="111"/>
      <c r="L126" s="94">
        <v>0</v>
      </c>
      <c r="M126" s="94" t="s">
        <v>61</v>
      </c>
      <c r="N126" s="94" t="s">
        <v>71</v>
      </c>
      <c r="O126" s="169"/>
      <c r="P126" s="169"/>
      <c r="Q126" s="169"/>
      <c r="R126" s="169"/>
      <c r="S126" s="156">
        <f>VLOOKUP(B126,'[2]62人'!$B:$R,17,FALSE)</f>
        <v>11</v>
      </c>
      <c r="T126" s="37">
        <v>0</v>
      </c>
      <c r="U126" s="170">
        <v>1</v>
      </c>
      <c r="V126" s="169"/>
      <c r="W126" s="169"/>
      <c r="X126" s="158">
        <f>VLOOKUP(B126,[4]考勤分析!$A:$I,4,FALSE)</f>
        <v>2.04114754099044</v>
      </c>
      <c r="Y126" s="90" t="b">
        <f>VLOOKUP(B126,[4]考勤分析!$A:$I,5,FALSE)</f>
        <v>0</v>
      </c>
      <c r="Z126" s="90">
        <f>VLOOKUP(B126,[4]考勤分析!$A:$I,6,FALSE)</f>
        <v>14</v>
      </c>
      <c r="AA126" s="90">
        <f>VLOOKUP(B126,[4]考勤分析!$A:$I,7,FALSE)</f>
        <v>24</v>
      </c>
      <c r="AB126" s="90">
        <f>VLOOKUP(B126,[4]考勤分析!$A:$I,8,FALSE)</f>
        <v>19</v>
      </c>
      <c r="AC126" s="90">
        <f>VLOOKUP(B126,[4]考勤分析!$A:$I,9,FALSE)</f>
        <v>4</v>
      </c>
      <c r="AD126" s="90">
        <v>0</v>
      </c>
      <c r="AE126" s="90">
        <v>0</v>
      </c>
      <c r="AF126" s="90">
        <v>0</v>
      </c>
      <c r="AG126" s="90">
        <v>0</v>
      </c>
      <c r="AH126" s="90">
        <v>0</v>
      </c>
      <c r="AI126" s="90">
        <v>0</v>
      </c>
      <c r="AJ126" s="90"/>
      <c r="AK126" s="90">
        <f>VLOOKUP(B126,[3]总表!$B:$W,22,FALSE)</f>
        <v>0</v>
      </c>
      <c r="AL126" s="171"/>
      <c r="AM126" s="171"/>
      <c r="AN126" s="171"/>
      <c r="AO126" s="171"/>
      <c r="AP126" s="171"/>
      <c r="AQ126" s="171"/>
      <c r="AR126" s="171"/>
      <c r="AS126" s="171"/>
    </row>
    <row r="127" s="139" customFormat="1" spans="1:45">
      <c r="A127" s="99">
        <v>125</v>
      </c>
      <c r="B127" s="98" t="s">
        <v>370</v>
      </c>
      <c r="C127" s="97" t="s">
        <v>98</v>
      </c>
      <c r="D127" s="98" t="s">
        <v>93</v>
      </c>
      <c r="E127" s="92" t="s">
        <v>56</v>
      </c>
      <c r="F127" s="168">
        <v>4</v>
      </c>
      <c r="G127" s="92" t="s">
        <v>69</v>
      </c>
      <c r="H127" s="92" t="s">
        <v>81</v>
      </c>
      <c r="I127" s="114"/>
      <c r="J127" s="111"/>
      <c r="K127" s="111"/>
      <c r="L127" s="94">
        <v>1</v>
      </c>
      <c r="M127" s="94" t="s">
        <v>61</v>
      </c>
      <c r="N127" s="94" t="s">
        <v>62</v>
      </c>
      <c r="O127" s="169"/>
      <c r="P127" s="169"/>
      <c r="Q127" s="169"/>
      <c r="R127" s="169"/>
      <c r="S127" s="156">
        <f>VLOOKUP(B127,'[2]62人'!$B:$R,17,FALSE)</f>
        <v>11</v>
      </c>
      <c r="T127" s="37">
        <v>9</v>
      </c>
      <c r="U127" s="170"/>
      <c r="V127" s="169"/>
      <c r="W127" s="169"/>
      <c r="X127" s="158">
        <f>VLOOKUP(B127,[4]考勤分析!$A:$I,4,FALSE)</f>
        <v>1.48038194443922</v>
      </c>
      <c r="Y127" s="90" t="b">
        <f>VLOOKUP(B127,[4]考勤分析!$A:$I,5,FALSE)</f>
        <v>0</v>
      </c>
      <c r="Z127" s="90">
        <f>VLOOKUP(B127,[4]考勤分析!$A:$I,6,FALSE)</f>
        <v>32</v>
      </c>
      <c r="AA127" s="90">
        <f>VLOOKUP(B127,[4]考勤分析!$A:$I,7,FALSE)</f>
        <v>17</v>
      </c>
      <c r="AB127" s="90">
        <f>VLOOKUP(B127,[4]考勤分析!$A:$I,8,FALSE)</f>
        <v>1</v>
      </c>
      <c r="AC127" s="90">
        <f>VLOOKUP(B127,[4]考勤分析!$A:$I,9,FALSE)</f>
        <v>6</v>
      </c>
      <c r="AD127" s="90">
        <v>2</v>
      </c>
      <c r="AE127" s="90">
        <v>4</v>
      </c>
      <c r="AF127" s="90">
        <v>2</v>
      </c>
      <c r="AG127" s="90">
        <v>2</v>
      </c>
      <c r="AH127" s="90">
        <v>9</v>
      </c>
      <c r="AI127" s="90">
        <v>13</v>
      </c>
      <c r="AJ127" s="90"/>
      <c r="AK127" s="90" t="str">
        <f>VLOOKUP(B127,[3]总表!$B:$W,22,FALSE)</f>
        <v>适中</v>
      </c>
      <c r="AL127" s="171"/>
      <c r="AM127" s="171"/>
      <c r="AN127" s="171"/>
      <c r="AO127" s="171"/>
      <c r="AP127" s="171"/>
      <c r="AQ127" s="171"/>
      <c r="AR127" s="171"/>
      <c r="AS127" s="171"/>
    </row>
    <row r="128" s="139" customFormat="1" spans="1:45">
      <c r="A128" s="99">
        <v>126</v>
      </c>
      <c r="B128" s="98" t="s">
        <v>371</v>
      </c>
      <c r="C128" s="97" t="s">
        <v>98</v>
      </c>
      <c r="D128" s="98" t="s">
        <v>93</v>
      </c>
      <c r="E128" s="92" t="s">
        <v>56</v>
      </c>
      <c r="F128" s="99">
        <f>VLOOKUP(B128,累计工龄!A:B,2,FALSE)</f>
        <v>1</v>
      </c>
      <c r="G128" s="92" t="s">
        <v>69</v>
      </c>
      <c r="H128" s="92" t="s">
        <v>81</v>
      </c>
      <c r="I128" s="114"/>
      <c r="J128" s="111"/>
      <c r="K128" s="111"/>
      <c r="L128" s="94">
        <v>1</v>
      </c>
      <c r="M128" s="94" t="s">
        <v>61</v>
      </c>
      <c r="N128" s="94" t="s">
        <v>62</v>
      </c>
      <c r="O128" s="169"/>
      <c r="P128" s="169"/>
      <c r="Q128" s="169"/>
      <c r="R128" s="169"/>
      <c r="S128" s="156">
        <f>VLOOKUP(B128,'[2]62人'!$B:$R,17,FALSE)</f>
        <v>15</v>
      </c>
      <c r="T128" s="37">
        <v>0</v>
      </c>
      <c r="U128" s="170">
        <v>1</v>
      </c>
      <c r="V128" s="169"/>
      <c r="W128" s="169"/>
      <c r="X128" s="158">
        <f>VLOOKUP(B128,[4]考勤分析!$A:$I,4,FALSE)</f>
        <v>2.49472222222964</v>
      </c>
      <c r="Y128" s="90" t="b">
        <f>VLOOKUP(B128,[4]考勤分析!$A:$I,5,FALSE)</f>
        <v>1</v>
      </c>
      <c r="Z128" s="90">
        <f>VLOOKUP(B128,[4]考勤分析!$A:$I,6,FALSE)</f>
        <v>14</v>
      </c>
      <c r="AA128" s="90">
        <f>VLOOKUP(B128,[4]考勤分析!$A:$I,7,FALSE)</f>
        <v>18</v>
      </c>
      <c r="AB128" s="90">
        <f>VLOOKUP(B128,[4]考勤分析!$A:$I,8,FALSE)</f>
        <v>16</v>
      </c>
      <c r="AC128" s="90">
        <f>VLOOKUP(B128,[4]考勤分析!$A:$I,9,FALSE)</f>
        <v>17</v>
      </c>
      <c r="AD128" s="90">
        <v>1</v>
      </c>
      <c r="AE128" s="90">
        <v>3</v>
      </c>
      <c r="AF128" s="90">
        <v>3</v>
      </c>
      <c r="AG128" s="90">
        <v>3</v>
      </c>
      <c r="AH128" s="90">
        <v>5</v>
      </c>
      <c r="AI128" s="90">
        <v>5</v>
      </c>
      <c r="AJ128" s="90"/>
      <c r="AK128" s="90" t="str">
        <f>VLOOKUP(B128,[3]总表!$B:$W,22,FALSE)</f>
        <v>超负荷</v>
      </c>
      <c r="AL128" s="171"/>
      <c r="AM128" s="171"/>
      <c r="AN128" s="171"/>
      <c r="AO128" s="171"/>
      <c r="AP128" s="171"/>
      <c r="AQ128" s="171"/>
      <c r="AR128" s="171"/>
      <c r="AS128" s="171"/>
    </row>
    <row r="129" s="139" customFormat="1" spans="1:45">
      <c r="A129" s="99">
        <v>127</v>
      </c>
      <c r="B129" s="98" t="s">
        <v>372</v>
      </c>
      <c r="C129" s="97" t="s">
        <v>98</v>
      </c>
      <c r="D129" s="98" t="s">
        <v>93</v>
      </c>
      <c r="E129" s="92" t="s">
        <v>68</v>
      </c>
      <c r="F129" s="168">
        <v>5</v>
      </c>
      <c r="G129" s="92" t="s">
        <v>69</v>
      </c>
      <c r="H129" s="92" t="s">
        <v>335</v>
      </c>
      <c r="I129" s="114"/>
      <c r="J129" s="111"/>
      <c r="K129" s="111"/>
      <c r="L129" s="94">
        <v>0</v>
      </c>
      <c r="M129" s="94" t="s">
        <v>61</v>
      </c>
      <c r="N129" s="94" t="s">
        <v>62</v>
      </c>
      <c r="O129" s="169"/>
      <c r="P129" s="169"/>
      <c r="Q129" s="169"/>
      <c r="R129" s="169"/>
      <c r="S129" s="156">
        <f>VLOOKUP(B129,'[2]62人'!$B:$R,17,FALSE)</f>
        <v>6</v>
      </c>
      <c r="T129" s="37">
        <v>0</v>
      </c>
      <c r="U129" s="170"/>
      <c r="V129" s="169"/>
      <c r="W129" s="169"/>
      <c r="X129" s="158">
        <f>VLOOKUP(B129,[4]考勤分析!$A:$I,4,FALSE)</f>
        <v>3.4093813131454</v>
      </c>
      <c r="Y129" s="90" t="b">
        <f>VLOOKUP(B129,[4]考勤分析!$A:$I,5,FALSE)</f>
        <v>1</v>
      </c>
      <c r="Z129" s="90">
        <f>VLOOKUP(B129,[4]考勤分析!$A:$I,6,FALSE)</f>
        <v>21</v>
      </c>
      <c r="AA129" s="90">
        <f>VLOOKUP(B129,[4]考勤分析!$A:$I,7,FALSE)</f>
        <v>12</v>
      </c>
      <c r="AB129" s="90">
        <f>VLOOKUP(B129,[4]考勤分析!$A:$I,8,FALSE)</f>
        <v>7</v>
      </c>
      <c r="AC129" s="90">
        <f>VLOOKUP(B129,[4]考勤分析!$A:$I,9,FALSE)</f>
        <v>26</v>
      </c>
      <c r="AD129" s="90">
        <v>0</v>
      </c>
      <c r="AE129" s="90">
        <v>1</v>
      </c>
      <c r="AF129" s="90">
        <v>2</v>
      </c>
      <c r="AG129" s="90">
        <v>1</v>
      </c>
      <c r="AH129" s="90">
        <v>15</v>
      </c>
      <c r="AI129" s="90">
        <v>19</v>
      </c>
      <c r="AJ129" s="90"/>
      <c r="AK129" s="90" t="str">
        <f>VLOOKUP(B129,[3]总表!$B:$W,22,FALSE)</f>
        <v>超负荷</v>
      </c>
      <c r="AL129" s="171"/>
      <c r="AM129" s="171"/>
      <c r="AN129" s="171"/>
      <c r="AO129" s="171"/>
      <c r="AP129" s="171"/>
      <c r="AQ129" s="171"/>
      <c r="AR129" s="171"/>
      <c r="AS129" s="171"/>
    </row>
    <row r="130" s="139" customFormat="1" spans="1:45">
      <c r="A130" s="99">
        <v>128</v>
      </c>
      <c r="B130" s="99" t="s">
        <v>373</v>
      </c>
      <c r="C130" s="97" t="s">
        <v>98</v>
      </c>
      <c r="D130" s="98" t="s">
        <v>93</v>
      </c>
      <c r="E130" s="92" t="s">
        <v>68</v>
      </c>
      <c r="F130" s="168">
        <v>9</v>
      </c>
      <c r="G130" s="92" t="s">
        <v>69</v>
      </c>
      <c r="H130" s="92" t="s">
        <v>374</v>
      </c>
      <c r="I130" s="114"/>
      <c r="J130" s="111"/>
      <c r="K130" s="111"/>
      <c r="L130" s="94">
        <v>1</v>
      </c>
      <c r="M130" s="94" t="s">
        <v>61</v>
      </c>
      <c r="N130" s="94" t="s">
        <v>71</v>
      </c>
      <c r="O130" s="169"/>
      <c r="P130" s="169"/>
      <c r="Q130" s="169"/>
      <c r="R130" s="169"/>
      <c r="S130" s="156">
        <f>VLOOKUP(B130,'[2]62人'!$B:$R,17,FALSE)</f>
        <v>14</v>
      </c>
      <c r="T130" s="37">
        <v>3</v>
      </c>
      <c r="U130" s="170"/>
      <c r="V130" s="169"/>
      <c r="W130" s="169"/>
      <c r="X130" s="158">
        <f>VLOOKUP(B130,[4]考勤分析!$A:$I,4,FALSE)</f>
        <v>0.934136904767781</v>
      </c>
      <c r="Y130" s="90" t="b">
        <f>VLOOKUP(B130,[4]考勤分析!$A:$I,5,FALSE)</f>
        <v>0</v>
      </c>
      <c r="Z130" s="90">
        <f>VLOOKUP(B130,[4]考勤分析!$A:$I,6,FALSE)</f>
        <v>49</v>
      </c>
      <c r="AA130" s="90">
        <f>VLOOKUP(B130,[4]考勤分析!$A:$I,7,FALSE)</f>
        <v>2</v>
      </c>
      <c r="AB130" s="90">
        <f>VLOOKUP(B130,[4]考勤分析!$A:$I,8,FALSE)</f>
        <v>1</v>
      </c>
      <c r="AC130" s="90">
        <f>VLOOKUP(B130,[4]考勤分析!$A:$I,9,FALSE)</f>
        <v>4</v>
      </c>
      <c r="AD130" s="90">
        <v>1</v>
      </c>
      <c r="AE130" s="90">
        <v>2</v>
      </c>
      <c r="AF130" s="90">
        <v>1</v>
      </c>
      <c r="AG130" s="90">
        <v>2</v>
      </c>
      <c r="AH130" s="90">
        <v>3</v>
      </c>
      <c r="AI130" s="90">
        <v>2</v>
      </c>
      <c r="AJ130" s="90"/>
      <c r="AK130" s="90" t="str">
        <f>VLOOKUP(B130,[3]总表!$B:$W,22,FALSE)</f>
        <v>不饱和</v>
      </c>
      <c r="AL130" s="171"/>
      <c r="AM130" s="171"/>
      <c r="AN130" s="171"/>
      <c r="AO130" s="171"/>
      <c r="AP130" s="171"/>
      <c r="AQ130" s="171"/>
      <c r="AR130" s="171"/>
      <c r="AS130" s="171"/>
    </row>
    <row r="131" s="139" customFormat="1" spans="1:45">
      <c r="A131" s="99">
        <v>129</v>
      </c>
      <c r="B131" s="98" t="s">
        <v>375</v>
      </c>
      <c r="C131" s="97" t="s">
        <v>98</v>
      </c>
      <c r="D131" s="98" t="s">
        <v>93</v>
      </c>
      <c r="E131" s="92" t="s">
        <v>68</v>
      </c>
      <c r="F131" s="99">
        <v>1</v>
      </c>
      <c r="G131" s="92" t="s">
        <v>69</v>
      </c>
      <c r="H131" s="92" t="s">
        <v>81</v>
      </c>
      <c r="I131" s="114"/>
      <c r="J131" s="111"/>
      <c r="K131" s="111"/>
      <c r="L131" s="94">
        <v>0</v>
      </c>
      <c r="M131" s="94" t="s">
        <v>61</v>
      </c>
      <c r="N131" s="94" t="s">
        <v>62</v>
      </c>
      <c r="O131" s="169"/>
      <c r="P131" s="169"/>
      <c r="Q131" s="169"/>
      <c r="R131" s="169"/>
      <c r="S131" s="156">
        <f>VLOOKUP(B131,'[2]62人'!$B:$R,17,FALSE)</f>
        <v>13</v>
      </c>
      <c r="T131" s="37">
        <v>0</v>
      </c>
      <c r="U131" s="170"/>
      <c r="V131" s="169"/>
      <c r="W131" s="169"/>
      <c r="X131" s="158">
        <f>VLOOKUP(B131,[4]考勤分析!$A:$I,4,FALSE)</f>
        <v>2.17156810037258</v>
      </c>
      <c r="Y131" s="90" t="b">
        <f>VLOOKUP(B131,[4]考勤分析!$A:$I,5,FALSE)</f>
        <v>1</v>
      </c>
      <c r="Z131" s="90">
        <f>VLOOKUP(B131,[4]考勤分析!$A:$I,6,FALSE)</f>
        <v>23</v>
      </c>
      <c r="AA131" s="90">
        <f>VLOOKUP(B131,[4]考勤分析!$A:$I,7,FALSE)</f>
        <v>20</v>
      </c>
      <c r="AB131" s="90">
        <f>VLOOKUP(B131,[4]考勤分析!$A:$I,8,FALSE)</f>
        <v>5</v>
      </c>
      <c r="AC131" s="90">
        <f>VLOOKUP(B131,[4]考勤分析!$A:$I,9,FALSE)</f>
        <v>14</v>
      </c>
      <c r="AD131" s="90">
        <v>0</v>
      </c>
      <c r="AE131" s="90">
        <v>11</v>
      </c>
      <c r="AF131" s="90">
        <v>0</v>
      </c>
      <c r="AG131" s="90">
        <v>1</v>
      </c>
      <c r="AH131" s="90">
        <v>3</v>
      </c>
      <c r="AI131" s="90">
        <v>10</v>
      </c>
      <c r="AJ131" s="90"/>
      <c r="AK131" s="90" t="str">
        <f>VLOOKUP(B131,[3]总表!$B:$W,22,FALSE)</f>
        <v>适中</v>
      </c>
      <c r="AL131" s="171"/>
      <c r="AM131" s="171"/>
      <c r="AN131" s="171"/>
      <c r="AO131" s="171"/>
      <c r="AP131" s="171"/>
      <c r="AQ131" s="171"/>
      <c r="AR131" s="171"/>
      <c r="AS131" s="171"/>
    </row>
    <row r="132" s="139" customFormat="1" spans="1:45">
      <c r="A132" s="99">
        <v>130</v>
      </c>
      <c r="B132" s="98" t="s">
        <v>376</v>
      </c>
      <c r="C132" s="97" t="s">
        <v>98</v>
      </c>
      <c r="D132" s="98" t="s">
        <v>93</v>
      </c>
      <c r="E132" s="92" t="s">
        <v>68</v>
      </c>
      <c r="F132" s="99">
        <v>1</v>
      </c>
      <c r="G132" s="92" t="s">
        <v>69</v>
      </c>
      <c r="H132" s="92" t="s">
        <v>327</v>
      </c>
      <c r="I132" s="114"/>
      <c r="J132" s="111"/>
      <c r="K132" s="111"/>
      <c r="L132" s="94">
        <v>0</v>
      </c>
      <c r="M132" s="94" t="s">
        <v>61</v>
      </c>
      <c r="N132" s="94" t="s">
        <v>62</v>
      </c>
      <c r="O132" s="169"/>
      <c r="P132" s="169"/>
      <c r="Q132" s="169"/>
      <c r="R132" s="169"/>
      <c r="S132" s="156">
        <f>VLOOKUP(B132,'[2]62人'!$B:$R,17,FALSE)</f>
        <v>21</v>
      </c>
      <c r="T132" s="37">
        <v>0</v>
      </c>
      <c r="U132" s="170"/>
      <c r="V132" s="169"/>
      <c r="W132" s="169"/>
      <c r="X132" s="158">
        <f>VLOOKUP(B132,[4]考勤分析!$A:$I,4,FALSE)</f>
        <v>1.18844618056391</v>
      </c>
      <c r="Y132" s="90" t="b">
        <f>VLOOKUP(B132,[4]考勤分析!$A:$I,5,FALSE)</f>
        <v>0</v>
      </c>
      <c r="Z132" s="90">
        <f>VLOOKUP(B132,[4]考勤分析!$A:$I,6,FALSE)</f>
        <v>30</v>
      </c>
      <c r="AA132" s="90">
        <f>VLOOKUP(B132,[4]考勤分析!$A:$I,7,FALSE)</f>
        <v>31</v>
      </c>
      <c r="AB132" s="90">
        <f>VLOOKUP(B132,[4]考勤分析!$A:$I,8,FALSE)</f>
        <v>1</v>
      </c>
      <c r="AC132" s="90">
        <f>VLOOKUP(B132,[4]考勤分析!$A:$I,9,FALSE)</f>
        <v>2</v>
      </c>
      <c r="AD132" s="90">
        <v>0</v>
      </c>
      <c r="AE132" s="90">
        <v>0</v>
      </c>
      <c r="AF132" s="90">
        <v>0</v>
      </c>
      <c r="AG132" s="90">
        <v>1</v>
      </c>
      <c r="AH132" s="90">
        <v>3</v>
      </c>
      <c r="AI132" s="90">
        <v>0</v>
      </c>
      <c r="AJ132" s="90"/>
      <c r="AK132" s="90" t="str">
        <f>VLOOKUP(B132,[3]总表!$B:$W,22,FALSE)</f>
        <v>适中</v>
      </c>
      <c r="AL132" s="171"/>
      <c r="AM132" s="171"/>
      <c r="AN132" s="171"/>
      <c r="AO132" s="171"/>
      <c r="AP132" s="171"/>
      <c r="AQ132" s="171"/>
      <c r="AR132" s="171"/>
      <c r="AS132" s="171"/>
    </row>
    <row r="133" s="139" customFormat="1" spans="1:45">
      <c r="A133" s="99">
        <v>131</v>
      </c>
      <c r="B133" s="98" t="s">
        <v>377</v>
      </c>
      <c r="C133" s="97" t="s">
        <v>98</v>
      </c>
      <c r="D133" s="98" t="s">
        <v>99</v>
      </c>
      <c r="E133" s="92" t="s">
        <v>56</v>
      </c>
      <c r="F133" s="168">
        <v>6</v>
      </c>
      <c r="G133" s="92" t="s">
        <v>69</v>
      </c>
      <c r="H133" s="92" t="s">
        <v>194</v>
      </c>
      <c r="I133" s="114"/>
      <c r="J133" s="111"/>
      <c r="K133" s="111"/>
      <c r="L133" s="94">
        <v>0</v>
      </c>
      <c r="M133" s="94" t="s">
        <v>61</v>
      </c>
      <c r="N133" s="94" t="s">
        <v>62</v>
      </c>
      <c r="O133" s="169"/>
      <c r="P133" s="169"/>
      <c r="Q133" s="169"/>
      <c r="R133" s="169"/>
      <c r="S133" s="156">
        <f>VLOOKUP(B133,'[2]62人'!$B:$R,17,FALSE)</f>
        <v>14</v>
      </c>
      <c r="T133" s="37">
        <v>0</v>
      </c>
      <c r="U133" s="170"/>
      <c r="V133" s="169"/>
      <c r="W133" s="169"/>
      <c r="X133" s="158">
        <f>VLOOKUP(B133,[4]考勤分析!$A:$I,4,FALSE)</f>
        <v>1.80117283950538</v>
      </c>
      <c r="Y133" s="90" t="b">
        <f>VLOOKUP(B133,[4]考勤分析!$A:$I,5,FALSE)</f>
        <v>0</v>
      </c>
      <c r="Z133" s="90">
        <f>VLOOKUP(B133,[4]考勤分析!$A:$I,6,FALSE)</f>
        <v>18</v>
      </c>
      <c r="AA133" s="90">
        <f>VLOOKUP(B133,[4]考勤分析!$A:$I,7,FALSE)</f>
        <v>34</v>
      </c>
      <c r="AB133" s="90">
        <f>VLOOKUP(B133,[4]考勤分析!$A:$I,8,FALSE)</f>
        <v>5</v>
      </c>
      <c r="AC133" s="90">
        <f>VLOOKUP(B133,[4]考勤分析!$A:$I,9,FALSE)</f>
        <v>6</v>
      </c>
      <c r="AD133" s="90">
        <v>0</v>
      </c>
      <c r="AE133" s="90">
        <v>0</v>
      </c>
      <c r="AF133" s="90">
        <v>0</v>
      </c>
      <c r="AG133" s="90">
        <v>1</v>
      </c>
      <c r="AH133" s="90">
        <v>1</v>
      </c>
      <c r="AI133" s="90">
        <v>2</v>
      </c>
      <c r="AJ133" s="90"/>
      <c r="AK133" s="90" t="str">
        <f>VLOOKUP(B133,[3]总表!$B:$W,22,FALSE)</f>
        <v>超负荷</v>
      </c>
      <c r="AL133" s="171"/>
      <c r="AM133" s="171"/>
      <c r="AN133" s="171"/>
      <c r="AO133" s="171"/>
      <c r="AP133" s="171"/>
      <c r="AQ133" s="171"/>
      <c r="AR133" s="171"/>
      <c r="AS133" s="171"/>
    </row>
    <row r="134" s="139" customFormat="1" spans="1:45">
      <c r="A134" s="99">
        <v>132</v>
      </c>
      <c r="B134" s="98" t="s">
        <v>378</v>
      </c>
      <c r="C134" s="97" t="s">
        <v>98</v>
      </c>
      <c r="D134" s="98" t="s">
        <v>99</v>
      </c>
      <c r="E134" s="92" t="s">
        <v>68</v>
      </c>
      <c r="F134" s="168">
        <v>5</v>
      </c>
      <c r="G134" s="92" t="s">
        <v>69</v>
      </c>
      <c r="H134" s="92" t="s">
        <v>81</v>
      </c>
      <c r="I134" s="114"/>
      <c r="J134" s="111"/>
      <c r="K134" s="111"/>
      <c r="L134" s="94">
        <v>0</v>
      </c>
      <c r="M134" s="94" t="s">
        <v>61</v>
      </c>
      <c r="N134" s="94" t="s">
        <v>62</v>
      </c>
      <c r="O134" s="169"/>
      <c r="P134" s="169"/>
      <c r="Q134" s="169"/>
      <c r="R134" s="169"/>
      <c r="S134" s="156">
        <f>VLOOKUP(B134,'[2]62人'!$B:$R,17,FALSE)</f>
        <v>16</v>
      </c>
      <c r="T134" s="37">
        <v>0</v>
      </c>
      <c r="U134" s="170"/>
      <c r="V134" s="169"/>
      <c r="W134" s="169"/>
      <c r="X134" s="158">
        <f>VLOOKUP(B134,[4]考勤分析!$A:$I,4,FALSE)</f>
        <v>2.29902973396025</v>
      </c>
      <c r="Y134" s="90" t="b">
        <f>VLOOKUP(B134,[4]考勤分析!$A:$I,5,FALSE)</f>
        <v>1</v>
      </c>
      <c r="Z134" s="90">
        <f>VLOOKUP(B134,[4]考勤分析!$A:$I,6,FALSE)</f>
        <v>24</v>
      </c>
      <c r="AA134" s="90">
        <f>VLOOKUP(B134,[4]考勤分析!$A:$I,7,FALSE)</f>
        <v>25</v>
      </c>
      <c r="AB134" s="90">
        <f>VLOOKUP(B134,[4]考勤分析!$A:$I,8,FALSE)</f>
        <v>10</v>
      </c>
      <c r="AC134" s="90">
        <f>VLOOKUP(B134,[4]考勤分析!$A:$I,9,FALSE)</f>
        <v>12</v>
      </c>
      <c r="AD134" s="90">
        <v>1</v>
      </c>
      <c r="AE134" s="90">
        <v>0</v>
      </c>
      <c r="AF134" s="90">
        <v>1</v>
      </c>
      <c r="AG134" s="90">
        <v>2</v>
      </c>
      <c r="AH134" s="90">
        <v>3</v>
      </c>
      <c r="AI134" s="90">
        <v>5</v>
      </c>
      <c r="AJ134" s="90"/>
      <c r="AK134" s="90" t="str">
        <f>VLOOKUP(B134,[3]总表!$B:$W,22,FALSE)</f>
        <v>适中</v>
      </c>
      <c r="AL134" s="171"/>
      <c r="AM134" s="171"/>
      <c r="AN134" s="171"/>
      <c r="AO134" s="171"/>
      <c r="AP134" s="171"/>
      <c r="AQ134" s="171"/>
      <c r="AR134" s="171"/>
      <c r="AS134" s="171"/>
    </row>
    <row r="135" s="139" customFormat="1" spans="1:45">
      <c r="A135" s="99">
        <v>133</v>
      </c>
      <c r="B135" s="98" t="s">
        <v>379</v>
      </c>
      <c r="C135" s="97" t="s">
        <v>98</v>
      </c>
      <c r="D135" s="98" t="s">
        <v>99</v>
      </c>
      <c r="E135" s="92" t="s">
        <v>56</v>
      </c>
      <c r="F135" s="99">
        <f>VLOOKUP(B135,累计工龄!A:B,2,FALSE)</f>
        <v>1</v>
      </c>
      <c r="G135" s="92" t="s">
        <v>57</v>
      </c>
      <c r="H135" s="92" t="s">
        <v>239</v>
      </c>
      <c r="I135" s="114"/>
      <c r="J135" s="111"/>
      <c r="K135" s="111"/>
      <c r="L135" s="94">
        <v>0</v>
      </c>
      <c r="M135" s="94" t="s">
        <v>61</v>
      </c>
      <c r="N135" s="94" t="s">
        <v>62</v>
      </c>
      <c r="O135" s="169"/>
      <c r="P135" s="169"/>
      <c r="Q135" s="169"/>
      <c r="R135" s="169"/>
      <c r="S135" s="156">
        <f>VLOOKUP(B135,'[2]62人'!$B:$R,17,FALSE)</f>
        <v>16</v>
      </c>
      <c r="T135" s="37">
        <v>0</v>
      </c>
      <c r="U135" s="170"/>
      <c r="V135" s="169"/>
      <c r="W135" s="169"/>
      <c r="X135" s="158">
        <f>VLOOKUP(B135,[4]考勤分析!$A:$I,4,FALSE)</f>
        <v>1.26503418802391</v>
      </c>
      <c r="Y135" s="90" t="b">
        <f>VLOOKUP(B135,[4]考勤分析!$A:$I,5,FALSE)</f>
        <v>0</v>
      </c>
      <c r="Z135" s="90">
        <f>VLOOKUP(B135,[4]考勤分析!$A:$I,6,FALSE)</f>
        <v>34</v>
      </c>
      <c r="AA135" s="90">
        <f>VLOOKUP(B135,[4]考勤分析!$A:$I,7,FALSE)</f>
        <v>22</v>
      </c>
      <c r="AB135" s="90">
        <f>VLOOKUP(B135,[4]考勤分析!$A:$I,8,FALSE)</f>
        <v>7</v>
      </c>
      <c r="AC135" s="90">
        <f>VLOOKUP(B135,[4]考勤分析!$A:$I,9,FALSE)</f>
        <v>2</v>
      </c>
      <c r="AD135" s="90">
        <v>1</v>
      </c>
      <c r="AE135" s="90">
        <v>0</v>
      </c>
      <c r="AF135" s="90">
        <v>1</v>
      </c>
      <c r="AG135" s="90">
        <v>1</v>
      </c>
      <c r="AH135" s="90">
        <v>7</v>
      </c>
      <c r="AI135" s="90">
        <v>7</v>
      </c>
      <c r="AJ135" s="90"/>
      <c r="AK135" s="90" t="str">
        <f>VLOOKUP(B135,[3]总表!$B:$W,22,FALSE)</f>
        <v>适中</v>
      </c>
      <c r="AL135" s="171"/>
      <c r="AM135" s="171"/>
      <c r="AN135" s="171"/>
      <c r="AO135" s="171"/>
      <c r="AP135" s="171"/>
      <c r="AQ135" s="171"/>
      <c r="AR135" s="171"/>
      <c r="AS135" s="171"/>
    </row>
    <row r="136" s="140" customFormat="1" spans="1:45">
      <c r="A136" s="172">
        <v>134</v>
      </c>
      <c r="B136" s="173" t="s">
        <v>380</v>
      </c>
      <c r="C136" s="174" t="s">
        <v>98</v>
      </c>
      <c r="D136" s="173" t="s">
        <v>381</v>
      </c>
      <c r="E136" s="175" t="s">
        <v>68</v>
      </c>
      <c r="F136" s="172">
        <f>VLOOKUP(B136,累计工龄!A:B,2,FALSE)</f>
        <v>1</v>
      </c>
      <c r="G136" s="175" t="s">
        <v>69</v>
      </c>
      <c r="H136" s="175" t="s">
        <v>118</v>
      </c>
      <c r="I136" s="172"/>
      <c r="J136" s="176"/>
      <c r="K136" s="176"/>
      <c r="L136" s="177">
        <v>0</v>
      </c>
      <c r="M136" s="177" t="s">
        <v>61</v>
      </c>
      <c r="N136" s="177" t="s">
        <v>62</v>
      </c>
      <c r="O136" s="178"/>
      <c r="P136" s="178"/>
      <c r="Q136" s="178"/>
      <c r="R136" s="178"/>
      <c r="S136" s="180">
        <f>VLOOKUP(B136,'[2]62人'!$B:$R,17,FALSE)</f>
        <v>0</v>
      </c>
      <c r="T136" s="181">
        <v>0</v>
      </c>
      <c r="U136" s="182"/>
      <c r="V136" s="178"/>
      <c r="W136" s="178"/>
      <c r="X136" s="183" t="e">
        <f>VLOOKUP(B136,[4]考勤分析!$A:$I,4,FALSE)</f>
        <v>#N/A</v>
      </c>
      <c r="Y136" s="184" t="e">
        <f>VLOOKUP(B136,[4]考勤分析!$A:$I,5,FALSE)</f>
        <v>#N/A</v>
      </c>
      <c r="Z136" s="184" t="e">
        <f>VLOOKUP(B136,[4]考勤分析!$A:$I,6,FALSE)</f>
        <v>#N/A</v>
      </c>
      <c r="AA136" s="184" t="e">
        <f>VLOOKUP(B136,[4]考勤分析!$A:$I,7,FALSE)</f>
        <v>#N/A</v>
      </c>
      <c r="AB136" s="184" t="e">
        <f>VLOOKUP(B136,[4]考勤分析!$A:$I,8,FALSE)</f>
        <v>#N/A</v>
      </c>
      <c r="AC136" s="184" t="e">
        <f>VLOOKUP(B136,[4]考勤分析!$A:$I,9,FALSE)</f>
        <v>#N/A</v>
      </c>
      <c r="AD136" s="184">
        <v>0</v>
      </c>
      <c r="AE136" s="184">
        <v>0</v>
      </c>
      <c r="AF136" s="184">
        <v>0</v>
      </c>
      <c r="AG136" s="184">
        <v>0</v>
      </c>
      <c r="AH136" s="184">
        <v>0</v>
      </c>
      <c r="AI136" s="184">
        <v>0</v>
      </c>
      <c r="AJ136" s="184"/>
      <c r="AK136" s="184" t="s">
        <v>382</v>
      </c>
      <c r="AL136" s="185"/>
      <c r="AM136" s="185"/>
      <c r="AN136" s="185"/>
      <c r="AO136" s="185"/>
      <c r="AP136" s="185"/>
      <c r="AQ136" s="185"/>
      <c r="AR136" s="185"/>
      <c r="AS136" s="185"/>
    </row>
    <row r="137" s="139" customFormat="1" spans="1:45">
      <c r="A137" s="99">
        <v>135</v>
      </c>
      <c r="B137" s="98" t="s">
        <v>383</v>
      </c>
      <c r="C137" s="97" t="s">
        <v>54</v>
      </c>
      <c r="D137" s="98" t="s">
        <v>273</v>
      </c>
      <c r="E137" s="92" t="s">
        <v>56</v>
      </c>
      <c r="F137" s="168">
        <v>20</v>
      </c>
      <c r="G137" s="92" t="s">
        <v>57</v>
      </c>
      <c r="H137" s="92" t="s">
        <v>194</v>
      </c>
      <c r="I137" s="114" t="s">
        <v>275</v>
      </c>
      <c r="J137" s="111"/>
      <c r="K137" s="111"/>
      <c r="L137" s="94">
        <v>2</v>
      </c>
      <c r="M137" s="94" t="s">
        <v>273</v>
      </c>
      <c r="N137" s="94" t="s">
        <v>71</v>
      </c>
      <c r="O137" s="169"/>
      <c r="P137" s="169"/>
      <c r="Q137" s="169"/>
      <c r="R137" s="169"/>
      <c r="S137" s="156">
        <f>VLOOKUP(B137,'[2]62人'!$B:$R,17,FALSE)</f>
        <v>4</v>
      </c>
      <c r="T137" s="37">
        <v>0</v>
      </c>
      <c r="U137" s="170">
        <v>2</v>
      </c>
      <c r="V137" s="169"/>
      <c r="W137" s="169"/>
      <c r="X137" s="158">
        <f>VLOOKUP(B137,[4]考勤分析!$A:$I,4,FALSE)</f>
        <v>3.75801824212488</v>
      </c>
      <c r="Y137" s="90" t="b">
        <f>VLOOKUP(B137,[4]考勤分析!$A:$I,5,FALSE)</f>
        <v>1</v>
      </c>
      <c r="Z137" s="90">
        <f>VLOOKUP(B137,[4]考勤分析!$A:$I,6,FALSE)</f>
        <v>4</v>
      </c>
      <c r="AA137" s="90">
        <f>VLOOKUP(B137,[4]考勤分析!$A:$I,7,FALSE)</f>
        <v>14</v>
      </c>
      <c r="AB137" s="90">
        <f>VLOOKUP(B137,[4]考勤分析!$A:$I,8,FALSE)</f>
        <v>23</v>
      </c>
      <c r="AC137" s="90">
        <f>VLOOKUP(B137,[4]考勤分析!$A:$I,9,FALSE)</f>
        <v>26</v>
      </c>
      <c r="AD137" s="90">
        <v>0</v>
      </c>
      <c r="AE137" s="90">
        <v>0</v>
      </c>
      <c r="AF137" s="90">
        <v>0</v>
      </c>
      <c r="AG137" s="90">
        <v>0</v>
      </c>
      <c r="AH137" s="90">
        <v>0</v>
      </c>
      <c r="AI137" s="90">
        <v>0</v>
      </c>
      <c r="AJ137" s="90"/>
      <c r="AK137" s="90">
        <f>VLOOKUP(B137,[3]总表!$B:$W,22,FALSE)</f>
        <v>0</v>
      </c>
      <c r="AL137" s="171"/>
      <c r="AM137" s="171"/>
      <c r="AN137" s="171"/>
      <c r="AO137" s="171"/>
      <c r="AP137" s="171"/>
      <c r="AQ137" s="171"/>
      <c r="AR137" s="171"/>
      <c r="AS137" s="171"/>
    </row>
    <row r="138" s="139" customFormat="1" ht="72" spans="1:45">
      <c r="A138" s="99">
        <v>136</v>
      </c>
      <c r="B138" s="98" t="s">
        <v>384</v>
      </c>
      <c r="C138" s="97" t="s">
        <v>54</v>
      </c>
      <c r="D138" s="98" t="s">
        <v>273</v>
      </c>
      <c r="E138" s="92" t="s">
        <v>68</v>
      </c>
      <c r="F138" s="168">
        <v>15</v>
      </c>
      <c r="G138" s="92" t="s">
        <v>69</v>
      </c>
      <c r="H138" s="92" t="s">
        <v>194</v>
      </c>
      <c r="I138" s="114"/>
      <c r="J138" s="111"/>
      <c r="K138" s="111"/>
      <c r="L138" s="94">
        <v>0</v>
      </c>
      <c r="M138" s="94" t="s">
        <v>61</v>
      </c>
      <c r="N138" s="94" t="s">
        <v>71</v>
      </c>
      <c r="O138" s="169" t="s">
        <v>385</v>
      </c>
      <c r="P138" s="169" t="s">
        <v>168</v>
      </c>
      <c r="Q138" s="169"/>
      <c r="R138" s="169"/>
      <c r="S138" s="156">
        <f>VLOOKUP(B138,'[2]62人'!$B:$R,17,FALSE)</f>
        <v>4</v>
      </c>
      <c r="T138" s="37">
        <v>0</v>
      </c>
      <c r="U138" s="170">
        <v>1</v>
      </c>
      <c r="V138" s="169"/>
      <c r="W138" s="169"/>
      <c r="X138" s="158">
        <f>VLOOKUP(B138,[4]考勤分析!$A:$I,4,FALSE)</f>
        <v>3.36539162113141</v>
      </c>
      <c r="Y138" s="90" t="b">
        <f>VLOOKUP(B138,[4]考勤分析!$A:$I,5,FALSE)</f>
        <v>1</v>
      </c>
      <c r="Z138" s="90">
        <f>VLOOKUP(B138,[4]考勤分析!$A:$I,6,FALSE)</f>
        <v>9</v>
      </c>
      <c r="AA138" s="90">
        <f>VLOOKUP(B138,[4]考勤分析!$A:$I,7,FALSE)</f>
        <v>9</v>
      </c>
      <c r="AB138" s="90">
        <f>VLOOKUP(B138,[4]考勤分析!$A:$I,8,FALSE)</f>
        <v>22</v>
      </c>
      <c r="AC138" s="90">
        <f>VLOOKUP(B138,[4]考勤分析!$A:$I,9,FALSE)</f>
        <v>21</v>
      </c>
      <c r="AD138" s="90">
        <v>0</v>
      </c>
      <c r="AE138" s="90">
        <v>0</v>
      </c>
      <c r="AF138" s="90">
        <v>0</v>
      </c>
      <c r="AG138" s="90">
        <v>0</v>
      </c>
      <c r="AH138" s="90">
        <v>0</v>
      </c>
      <c r="AI138" s="90">
        <v>0</v>
      </c>
      <c r="AJ138" s="90"/>
      <c r="AK138" s="90">
        <f>VLOOKUP(B138,[3]总表!$B:$W,22,FALSE)</f>
        <v>0</v>
      </c>
      <c r="AL138" s="171"/>
      <c r="AM138" s="171"/>
      <c r="AN138" s="171"/>
      <c r="AO138" s="171"/>
      <c r="AP138" s="171"/>
      <c r="AQ138" s="171"/>
      <c r="AR138" s="171"/>
      <c r="AS138" s="171"/>
    </row>
    <row r="139" s="139" customFormat="1" spans="1:45">
      <c r="A139" s="99">
        <v>137</v>
      </c>
      <c r="B139" s="98" t="s">
        <v>386</v>
      </c>
      <c r="C139" s="97" t="s">
        <v>54</v>
      </c>
      <c r="D139" s="98" t="s">
        <v>55</v>
      </c>
      <c r="E139" s="92" t="s">
        <v>56</v>
      </c>
      <c r="F139" s="168">
        <v>3</v>
      </c>
      <c r="G139" s="92" t="s">
        <v>69</v>
      </c>
      <c r="H139" s="92" t="s">
        <v>122</v>
      </c>
      <c r="I139" s="114"/>
      <c r="J139" s="111"/>
      <c r="K139" s="111"/>
      <c r="L139" s="94">
        <v>1</v>
      </c>
      <c r="M139" s="94" t="s">
        <v>61</v>
      </c>
      <c r="N139" s="94" t="s">
        <v>62</v>
      </c>
      <c r="O139" s="169"/>
      <c r="P139" s="169"/>
      <c r="Q139" s="169"/>
      <c r="R139" s="169"/>
      <c r="S139" s="156">
        <f>VLOOKUP(B139,'[2]62人'!$B:$R,17,FALSE)</f>
        <v>14</v>
      </c>
      <c r="T139" s="37">
        <v>0</v>
      </c>
      <c r="U139" s="170"/>
      <c r="V139" s="169"/>
      <c r="W139" s="169"/>
      <c r="X139" s="158">
        <f>VLOOKUP(B139,[4]考勤分析!$A:$I,4,FALSE)</f>
        <v>2.05905458089802</v>
      </c>
      <c r="Y139" s="90" t="b">
        <f>VLOOKUP(B139,[4]考勤分析!$A:$I,5,FALSE)</f>
        <v>0</v>
      </c>
      <c r="Z139" s="90">
        <f>VLOOKUP(B139,[4]考勤分析!$A:$I,6,FALSE)</f>
        <v>8</v>
      </c>
      <c r="AA139" s="90">
        <f>VLOOKUP(B139,[4]考勤分析!$A:$I,7,FALSE)</f>
        <v>17</v>
      </c>
      <c r="AB139" s="90">
        <f>VLOOKUP(B139,[4]考勤分析!$A:$I,8,FALSE)</f>
        <v>31</v>
      </c>
      <c r="AC139" s="90">
        <f>VLOOKUP(B139,[4]考勤分析!$A:$I,9,FALSE)</f>
        <v>1</v>
      </c>
      <c r="AD139" s="90">
        <v>0</v>
      </c>
      <c r="AE139" s="90">
        <v>0</v>
      </c>
      <c r="AF139" s="90">
        <v>0</v>
      </c>
      <c r="AG139" s="90">
        <v>1</v>
      </c>
      <c r="AH139" s="90">
        <v>3</v>
      </c>
      <c r="AI139" s="90">
        <v>0</v>
      </c>
      <c r="AJ139" s="90"/>
      <c r="AK139" s="90" t="str">
        <f>VLOOKUP(B139,[3]总表!$B:$W,22,FALSE)</f>
        <v>适中</v>
      </c>
      <c r="AL139" s="171"/>
      <c r="AM139" s="171"/>
      <c r="AN139" s="171"/>
      <c r="AO139" s="171"/>
      <c r="AP139" s="171"/>
      <c r="AQ139" s="171"/>
      <c r="AR139" s="171"/>
      <c r="AS139" s="171"/>
    </row>
    <row r="140" s="139" customFormat="1" ht="43.2" spans="1:45">
      <c r="A140" s="99">
        <v>138</v>
      </c>
      <c r="B140" s="98" t="s">
        <v>387</v>
      </c>
      <c r="C140" s="97" t="s">
        <v>54</v>
      </c>
      <c r="D140" s="98" t="s">
        <v>388</v>
      </c>
      <c r="E140" s="92" t="s">
        <v>68</v>
      </c>
      <c r="F140" s="168">
        <v>6</v>
      </c>
      <c r="G140" s="92" t="s">
        <v>57</v>
      </c>
      <c r="H140" s="92" t="s">
        <v>389</v>
      </c>
      <c r="I140" s="114"/>
      <c r="J140" s="111"/>
      <c r="K140" s="111"/>
      <c r="L140" s="94">
        <v>1</v>
      </c>
      <c r="M140" s="94" t="s">
        <v>61</v>
      </c>
      <c r="N140" s="94" t="s">
        <v>62</v>
      </c>
      <c r="O140" s="169"/>
      <c r="P140" s="169"/>
      <c r="Q140" s="169" t="s">
        <v>390</v>
      </c>
      <c r="R140" s="169"/>
      <c r="S140" s="156">
        <f>VLOOKUP(B140,'[2]62人'!$B:$R,17,FALSE)</f>
        <v>17</v>
      </c>
      <c r="T140" s="37">
        <v>8</v>
      </c>
      <c r="U140" s="170"/>
      <c r="V140" s="169"/>
      <c r="W140" s="169"/>
      <c r="X140" s="158">
        <f>VLOOKUP(B140,[4]考勤分析!$A:$I,4,FALSE)</f>
        <v>3.26518162393432</v>
      </c>
      <c r="Y140" s="90" t="b">
        <f>VLOOKUP(B140,[4]考勤分析!$A:$I,5,FALSE)</f>
        <v>1</v>
      </c>
      <c r="Z140" s="90">
        <f>VLOOKUP(B140,[4]考勤分析!$A:$I,6,FALSE)</f>
        <v>1</v>
      </c>
      <c r="AA140" s="90">
        <f>VLOOKUP(B140,[4]考勤分析!$A:$I,7,FALSE)</f>
        <v>14</v>
      </c>
      <c r="AB140" s="90">
        <f>VLOOKUP(B140,[4]考勤分析!$A:$I,8,FALSE)</f>
        <v>18</v>
      </c>
      <c r="AC140" s="90">
        <f>VLOOKUP(B140,[4]考勤分析!$A:$I,9,FALSE)</f>
        <v>19</v>
      </c>
      <c r="AD140" s="90">
        <v>0</v>
      </c>
      <c r="AE140" s="90">
        <v>0</v>
      </c>
      <c r="AF140" s="90">
        <v>0</v>
      </c>
      <c r="AG140" s="90">
        <v>1</v>
      </c>
      <c r="AH140" s="90">
        <v>2</v>
      </c>
      <c r="AI140" s="90">
        <v>3</v>
      </c>
      <c r="AJ140" s="90"/>
      <c r="AK140" s="90" t="str">
        <f>VLOOKUP(B140,[3]总表!$B:$W,22,FALSE)</f>
        <v>适中</v>
      </c>
      <c r="AL140" s="171"/>
      <c r="AM140" s="171"/>
      <c r="AN140" s="171"/>
      <c r="AO140" s="171"/>
      <c r="AP140" s="171"/>
      <c r="AQ140" s="171"/>
      <c r="AR140" s="171"/>
      <c r="AS140" s="171"/>
    </row>
    <row r="141" s="139" customFormat="1" ht="57.6" spans="1:45">
      <c r="A141" s="99">
        <v>139</v>
      </c>
      <c r="B141" s="98" t="s">
        <v>391</v>
      </c>
      <c r="C141" s="97" t="s">
        <v>54</v>
      </c>
      <c r="D141" s="98" t="s">
        <v>388</v>
      </c>
      <c r="E141" s="92" t="s">
        <v>56</v>
      </c>
      <c r="F141" s="168">
        <v>3</v>
      </c>
      <c r="G141" s="92" t="s">
        <v>69</v>
      </c>
      <c r="H141" s="92" t="s">
        <v>183</v>
      </c>
      <c r="I141" s="114"/>
      <c r="J141" s="111"/>
      <c r="K141" s="111"/>
      <c r="L141" s="94">
        <v>0</v>
      </c>
      <c r="M141" s="94" t="s">
        <v>61</v>
      </c>
      <c r="N141" s="94" t="s">
        <v>62</v>
      </c>
      <c r="O141" s="169"/>
      <c r="P141" s="169"/>
      <c r="Q141" s="169"/>
      <c r="R141" s="169" t="s">
        <v>392</v>
      </c>
      <c r="S141" s="156">
        <f>VLOOKUP(B141,'[2]62人'!$B:$R,17,FALSE)</f>
        <v>13</v>
      </c>
      <c r="T141" s="37">
        <v>0</v>
      </c>
      <c r="U141" s="170"/>
      <c r="V141" s="169"/>
      <c r="W141" s="169"/>
      <c r="X141" s="158">
        <f>VLOOKUP(B141,[4]考勤分析!$A:$I,4,FALSE)</f>
        <v>2.86199074073176</v>
      </c>
      <c r="Y141" s="90" t="b">
        <f>VLOOKUP(B141,[4]考勤分析!$A:$I,5,FALSE)</f>
        <v>1</v>
      </c>
      <c r="Z141" s="90">
        <f>VLOOKUP(B141,[4]考勤分析!$A:$I,6,FALSE)</f>
        <v>5</v>
      </c>
      <c r="AA141" s="90">
        <f>VLOOKUP(B141,[4]考勤分析!$A:$I,7,FALSE)</f>
        <v>15</v>
      </c>
      <c r="AB141" s="90">
        <f>VLOOKUP(B141,[4]考勤分析!$A:$I,8,FALSE)</f>
        <v>32</v>
      </c>
      <c r="AC141" s="90">
        <f>VLOOKUP(B141,[4]考勤分析!$A:$I,9,FALSE)</f>
        <v>14</v>
      </c>
      <c r="AD141" s="90">
        <v>0</v>
      </c>
      <c r="AE141" s="90">
        <v>1</v>
      </c>
      <c r="AF141" s="90">
        <v>0</v>
      </c>
      <c r="AG141" s="90">
        <v>1</v>
      </c>
      <c r="AH141" s="90">
        <v>7</v>
      </c>
      <c r="AI141" s="90">
        <v>3</v>
      </c>
      <c r="AJ141" s="90"/>
      <c r="AK141" s="90" t="str">
        <f>VLOOKUP(B141,[3]总表!$B:$W,22,FALSE)</f>
        <v>适中</v>
      </c>
      <c r="AL141" s="171"/>
      <c r="AM141" s="171"/>
      <c r="AN141" s="171"/>
      <c r="AO141" s="171"/>
      <c r="AP141" s="171"/>
      <c r="AQ141" s="171"/>
      <c r="AR141" s="171"/>
      <c r="AS141" s="171"/>
    </row>
    <row r="142" s="139" customFormat="1" spans="1:45">
      <c r="A142" s="99">
        <v>140</v>
      </c>
      <c r="B142" s="98" t="s">
        <v>393</v>
      </c>
      <c r="C142" s="97" t="s">
        <v>54</v>
      </c>
      <c r="D142" s="98" t="s">
        <v>388</v>
      </c>
      <c r="E142" s="92" t="s">
        <v>68</v>
      </c>
      <c r="F142" s="168">
        <v>3</v>
      </c>
      <c r="G142" s="92" t="s">
        <v>69</v>
      </c>
      <c r="H142" s="92" t="s">
        <v>325</v>
      </c>
      <c r="I142" s="114"/>
      <c r="J142" s="111"/>
      <c r="K142" s="111"/>
      <c r="L142" s="94">
        <v>0</v>
      </c>
      <c r="M142" s="94" t="s">
        <v>61</v>
      </c>
      <c r="N142" s="94" t="s">
        <v>62</v>
      </c>
      <c r="O142" s="169"/>
      <c r="P142" s="169"/>
      <c r="Q142" s="169"/>
      <c r="R142" s="169"/>
      <c r="S142" s="156">
        <f>VLOOKUP(B142,'[2]62人'!$B:$R,17,FALSE)</f>
        <v>9</v>
      </c>
      <c r="T142" s="37">
        <v>0</v>
      </c>
      <c r="U142" s="170"/>
      <c r="V142" s="169"/>
      <c r="W142" s="169"/>
      <c r="X142" s="158">
        <f>VLOOKUP(B142,[4]考勤分析!$A:$I,4,FALSE)</f>
        <v>2.28623504274113</v>
      </c>
      <c r="Y142" s="90" t="b">
        <f>VLOOKUP(B142,[4]考勤分析!$A:$I,5,FALSE)</f>
        <v>0</v>
      </c>
      <c r="Z142" s="90">
        <f>VLOOKUP(B142,[4]考勤分析!$A:$I,6,FALSE)</f>
        <v>4</v>
      </c>
      <c r="AA142" s="90">
        <f>VLOOKUP(B142,[4]考勤分析!$A:$I,7,FALSE)</f>
        <v>38</v>
      </c>
      <c r="AB142" s="90">
        <f>VLOOKUP(B142,[4]考勤分析!$A:$I,8,FALSE)</f>
        <v>20</v>
      </c>
      <c r="AC142" s="90">
        <f>VLOOKUP(B142,[4]考勤分析!$A:$I,9,FALSE)</f>
        <v>3</v>
      </c>
      <c r="AD142" s="90">
        <v>0</v>
      </c>
      <c r="AE142" s="90">
        <v>2</v>
      </c>
      <c r="AF142" s="90">
        <v>0</v>
      </c>
      <c r="AG142" s="90">
        <v>1</v>
      </c>
      <c r="AH142" s="90">
        <v>6</v>
      </c>
      <c r="AI142" s="90">
        <v>9</v>
      </c>
      <c r="AJ142" s="90"/>
      <c r="AK142" s="90" t="str">
        <f>VLOOKUP(B142,[3]总表!$B:$W,22,FALSE)</f>
        <v>适中</v>
      </c>
      <c r="AL142" s="171"/>
      <c r="AM142" s="171"/>
      <c r="AN142" s="171"/>
      <c r="AO142" s="171"/>
      <c r="AP142" s="171"/>
      <c r="AQ142" s="171"/>
      <c r="AR142" s="171"/>
      <c r="AS142" s="171"/>
    </row>
    <row r="143" s="139" customFormat="1" spans="1:45">
      <c r="A143" s="99">
        <v>141</v>
      </c>
      <c r="B143" s="98" t="s">
        <v>394</v>
      </c>
      <c r="C143" s="97" t="s">
        <v>54</v>
      </c>
      <c r="D143" s="98" t="s">
        <v>395</v>
      </c>
      <c r="E143" s="92" t="s">
        <v>56</v>
      </c>
      <c r="F143" s="168">
        <v>3</v>
      </c>
      <c r="G143" s="92" t="s">
        <v>69</v>
      </c>
      <c r="H143" s="92" t="s">
        <v>396</v>
      </c>
      <c r="I143" s="114"/>
      <c r="J143" s="111"/>
      <c r="K143" s="111"/>
      <c r="L143" s="94">
        <v>1</v>
      </c>
      <c r="M143" s="94" t="s">
        <v>61</v>
      </c>
      <c r="N143" s="94" t="s">
        <v>62</v>
      </c>
      <c r="O143" s="169"/>
      <c r="P143" s="169"/>
      <c r="Q143" s="169"/>
      <c r="R143" s="169"/>
      <c r="S143" s="156">
        <f>VLOOKUP(B143,'[2]62人'!$B:$R,17,FALSE)</f>
        <v>12</v>
      </c>
      <c r="T143" s="37">
        <v>0</v>
      </c>
      <c r="U143" s="170"/>
      <c r="V143" s="169"/>
      <c r="W143" s="169"/>
      <c r="X143" s="158">
        <f>VLOOKUP(B143,[4]考勤分析!$A:$I,4,FALSE)</f>
        <v>2.59334201388356</v>
      </c>
      <c r="Y143" s="90" t="b">
        <f>VLOOKUP(B143,[4]考勤分析!$A:$I,5,FALSE)</f>
        <v>0</v>
      </c>
      <c r="Z143" s="90">
        <f>VLOOKUP(B143,[4]考勤分析!$A:$I,6,FALSE)</f>
        <v>5</v>
      </c>
      <c r="AA143" s="90">
        <f>VLOOKUP(B143,[4]考勤分析!$A:$I,7,FALSE)</f>
        <v>11</v>
      </c>
      <c r="AB143" s="90">
        <f>VLOOKUP(B143,[4]考勤分析!$A:$I,8,FALSE)</f>
        <v>41</v>
      </c>
      <c r="AC143" s="90">
        <f>VLOOKUP(B143,[4]考勤分析!$A:$I,9,FALSE)</f>
        <v>7</v>
      </c>
      <c r="AD143" s="90">
        <v>1</v>
      </c>
      <c r="AE143" s="90">
        <v>7</v>
      </c>
      <c r="AF143" s="90">
        <v>1</v>
      </c>
      <c r="AG143" s="90">
        <v>2</v>
      </c>
      <c r="AH143" s="90">
        <v>17</v>
      </c>
      <c r="AI143" s="90">
        <v>11</v>
      </c>
      <c r="AJ143" s="90"/>
      <c r="AK143" s="90" t="str">
        <f>VLOOKUP(B143,[3]总表!$B:$W,22,FALSE)</f>
        <v>超负荷</v>
      </c>
      <c r="AL143" s="171"/>
      <c r="AM143" s="171"/>
      <c r="AN143" s="171"/>
      <c r="AO143" s="171"/>
      <c r="AP143" s="171"/>
      <c r="AQ143" s="171"/>
      <c r="AR143" s="171"/>
      <c r="AS143" s="171"/>
    </row>
    <row r="144" s="139" customFormat="1" spans="1:45">
      <c r="A144" s="99">
        <v>142</v>
      </c>
      <c r="B144" s="98" t="s">
        <v>397</v>
      </c>
      <c r="C144" s="97" t="s">
        <v>54</v>
      </c>
      <c r="D144" s="98" t="s">
        <v>395</v>
      </c>
      <c r="E144" s="92" t="s">
        <v>68</v>
      </c>
      <c r="F144" s="168">
        <v>7</v>
      </c>
      <c r="G144" s="92" t="s">
        <v>57</v>
      </c>
      <c r="H144" s="92" t="s">
        <v>398</v>
      </c>
      <c r="I144" s="114"/>
      <c r="J144" s="111"/>
      <c r="K144" s="111"/>
      <c r="L144" s="94">
        <v>1</v>
      </c>
      <c r="M144" s="94" t="s">
        <v>61</v>
      </c>
      <c r="N144" s="94" t="s">
        <v>71</v>
      </c>
      <c r="O144" s="169"/>
      <c r="P144" s="169"/>
      <c r="Q144" s="169"/>
      <c r="R144" s="169"/>
      <c r="S144" s="156">
        <f>VLOOKUP(B144,'[2]62人'!$B:$R,17,FALSE)</f>
        <v>16</v>
      </c>
      <c r="T144" s="37">
        <v>0</v>
      </c>
      <c r="U144" s="170"/>
      <c r="V144" s="169"/>
      <c r="W144" s="169">
        <v>1</v>
      </c>
      <c r="X144" s="158">
        <f>VLOOKUP(B144,[4]考勤分析!$A:$I,4,FALSE)</f>
        <v>2.36982204861579</v>
      </c>
      <c r="Y144" s="90" t="b">
        <f>VLOOKUP(B144,[4]考勤分析!$A:$I,5,FALSE)</f>
        <v>0</v>
      </c>
      <c r="Z144" s="90">
        <f>VLOOKUP(B144,[4]考勤分析!$A:$I,6,FALSE)</f>
        <v>13</v>
      </c>
      <c r="AA144" s="90">
        <f>VLOOKUP(B144,[4]考勤分析!$A:$I,7,FALSE)</f>
        <v>17</v>
      </c>
      <c r="AB144" s="90">
        <f>VLOOKUP(B144,[4]考勤分析!$A:$I,8,FALSE)</f>
        <v>24</v>
      </c>
      <c r="AC144" s="90">
        <f>VLOOKUP(B144,[4]考勤分析!$A:$I,9,FALSE)</f>
        <v>10</v>
      </c>
      <c r="AD144" s="90">
        <v>1</v>
      </c>
      <c r="AE144" s="90">
        <v>28</v>
      </c>
      <c r="AF144" s="90">
        <v>1</v>
      </c>
      <c r="AG144" s="90">
        <v>5</v>
      </c>
      <c r="AH144" s="90">
        <v>9</v>
      </c>
      <c r="AI144" s="90">
        <v>22</v>
      </c>
      <c r="AJ144" s="90"/>
      <c r="AK144" s="90" t="str">
        <f>VLOOKUP(B144,[3]总表!$B:$W,22,FALSE)</f>
        <v>适中</v>
      </c>
      <c r="AL144" s="133"/>
      <c r="AM144" s="133"/>
      <c r="AN144" s="133"/>
      <c r="AO144" s="133"/>
      <c r="AP144" s="133"/>
      <c r="AQ144" s="133"/>
      <c r="AR144" s="133"/>
      <c r="AS144" s="171"/>
    </row>
    <row r="145" s="139" customFormat="1" spans="1:45">
      <c r="A145" s="99">
        <v>143</v>
      </c>
      <c r="B145" s="98" t="s">
        <v>399</v>
      </c>
      <c r="C145" s="97" t="s">
        <v>54</v>
      </c>
      <c r="D145" s="98" t="s">
        <v>395</v>
      </c>
      <c r="E145" s="92" t="s">
        <v>68</v>
      </c>
      <c r="F145" s="168">
        <v>7</v>
      </c>
      <c r="G145" s="92" t="s">
        <v>69</v>
      </c>
      <c r="H145" s="92" t="s">
        <v>122</v>
      </c>
      <c r="I145" s="114"/>
      <c r="J145" s="111"/>
      <c r="K145" s="111"/>
      <c r="L145" s="94">
        <v>1</v>
      </c>
      <c r="M145" s="94" t="s">
        <v>61</v>
      </c>
      <c r="N145" s="94" t="s">
        <v>71</v>
      </c>
      <c r="O145" s="169"/>
      <c r="P145" s="169"/>
      <c r="Q145" s="169"/>
      <c r="R145" s="169"/>
      <c r="S145" s="156">
        <f>VLOOKUP(B145,'[2]62人'!$B:$R,17,FALSE)</f>
        <v>16</v>
      </c>
      <c r="T145" s="37">
        <v>0</v>
      </c>
      <c r="U145" s="170"/>
      <c r="V145" s="169"/>
      <c r="W145" s="169"/>
      <c r="X145" s="158">
        <f>VLOOKUP(B145,[4]考勤分析!$A:$I,4,FALSE)</f>
        <v>2.51042328042806</v>
      </c>
      <c r="Y145" s="90" t="b">
        <f>VLOOKUP(B145,[4]考勤分析!$A:$I,5,FALSE)</f>
        <v>0</v>
      </c>
      <c r="Z145" s="90">
        <f>VLOOKUP(B145,[4]考勤分析!$A:$I,6,FALSE)</f>
        <v>6</v>
      </c>
      <c r="AA145" s="90">
        <f>VLOOKUP(B145,[4]考勤分析!$A:$I,7,FALSE)</f>
        <v>10</v>
      </c>
      <c r="AB145" s="90">
        <f>VLOOKUP(B145,[4]考勤分析!$A:$I,8,FALSE)</f>
        <v>41</v>
      </c>
      <c r="AC145" s="90">
        <f>VLOOKUP(B145,[4]考勤分析!$A:$I,9,FALSE)</f>
        <v>6</v>
      </c>
      <c r="AD145" s="90">
        <v>2</v>
      </c>
      <c r="AE145" s="90">
        <v>8</v>
      </c>
      <c r="AF145" s="90">
        <v>2</v>
      </c>
      <c r="AG145" s="90">
        <v>1</v>
      </c>
      <c r="AH145" s="90">
        <v>0</v>
      </c>
      <c r="AI145" s="90">
        <v>12</v>
      </c>
      <c r="AJ145" s="90"/>
      <c r="AK145" s="90" t="str">
        <f>VLOOKUP(B145,[3]总表!$B:$W,22,FALSE)</f>
        <v>超负荷</v>
      </c>
      <c r="AL145" s="171"/>
      <c r="AM145" s="171"/>
      <c r="AN145" s="171"/>
      <c r="AO145" s="171"/>
      <c r="AP145" s="171"/>
      <c r="AQ145" s="171"/>
      <c r="AR145" s="171"/>
      <c r="AS145" s="171"/>
    </row>
    <row r="146" s="139" customFormat="1" spans="1:45">
      <c r="A146" s="99">
        <v>144</v>
      </c>
      <c r="B146" s="98" t="s">
        <v>400</v>
      </c>
      <c r="C146" s="97" t="s">
        <v>54</v>
      </c>
      <c r="D146" s="98" t="s">
        <v>395</v>
      </c>
      <c r="E146" s="92" t="s">
        <v>56</v>
      </c>
      <c r="F146" s="168">
        <v>10</v>
      </c>
      <c r="G146" s="92" t="s">
        <v>57</v>
      </c>
      <c r="H146" s="92" t="s">
        <v>401</v>
      </c>
      <c r="I146" s="114"/>
      <c r="J146" s="111"/>
      <c r="K146" s="111"/>
      <c r="L146" s="94">
        <v>1</v>
      </c>
      <c r="M146" s="94" t="s">
        <v>61</v>
      </c>
      <c r="N146" s="94" t="s">
        <v>71</v>
      </c>
      <c r="O146" s="169"/>
      <c r="P146" s="169"/>
      <c r="Q146" s="169"/>
      <c r="R146" s="169"/>
      <c r="S146" s="156">
        <f>VLOOKUP(B146,'[2]62人'!$B:$R,17,FALSE)</f>
        <v>14</v>
      </c>
      <c r="T146" s="37">
        <v>0</v>
      </c>
      <c r="U146" s="170"/>
      <c r="V146" s="169"/>
      <c r="W146" s="169"/>
      <c r="X146" s="158">
        <f>VLOOKUP(B146,[4]考勤分析!$A:$I,4,FALSE)</f>
        <v>4.35773757309959</v>
      </c>
      <c r="Y146" s="90" t="b">
        <f>VLOOKUP(B146,[4]考勤分析!$A:$I,5,FALSE)</f>
        <v>1</v>
      </c>
      <c r="Z146" s="90">
        <f>VLOOKUP(B146,[4]考勤分析!$A:$I,6,FALSE)</f>
        <v>8</v>
      </c>
      <c r="AA146" s="90">
        <f>VLOOKUP(B146,[4]考勤分析!$A:$I,7,FALSE)</f>
        <v>7</v>
      </c>
      <c r="AB146" s="90">
        <f>VLOOKUP(B146,[4]考勤分析!$A:$I,8,FALSE)</f>
        <v>16</v>
      </c>
      <c r="AC146" s="90">
        <f>VLOOKUP(B146,[4]考勤分析!$A:$I,9,FALSE)</f>
        <v>45</v>
      </c>
      <c r="AD146" s="90">
        <v>1</v>
      </c>
      <c r="AE146" s="90">
        <v>7</v>
      </c>
      <c r="AF146" s="90">
        <v>1</v>
      </c>
      <c r="AG146" s="90">
        <v>1</v>
      </c>
      <c r="AH146" s="90">
        <v>1</v>
      </c>
      <c r="AI146" s="90">
        <v>8</v>
      </c>
      <c r="AJ146" s="90"/>
      <c r="AK146" s="90" t="str">
        <f>VLOOKUP(B146,[3]总表!$B:$W,22,FALSE)</f>
        <v>超负荷</v>
      </c>
      <c r="AL146" s="171"/>
      <c r="AM146" s="171"/>
      <c r="AN146" s="171"/>
      <c r="AO146" s="171"/>
      <c r="AP146" s="171"/>
      <c r="AQ146" s="171"/>
      <c r="AR146" s="171"/>
      <c r="AS146" s="171"/>
    </row>
    <row r="147" s="139" customFormat="1" spans="1:45">
      <c r="A147" s="99">
        <v>145</v>
      </c>
      <c r="B147" s="98" t="s">
        <v>402</v>
      </c>
      <c r="C147" s="97" t="s">
        <v>54</v>
      </c>
      <c r="D147" s="98" t="s">
        <v>395</v>
      </c>
      <c r="E147" s="92" t="s">
        <v>56</v>
      </c>
      <c r="F147" s="168">
        <v>3</v>
      </c>
      <c r="G147" s="92" t="s">
        <v>57</v>
      </c>
      <c r="H147" s="92" t="s">
        <v>103</v>
      </c>
      <c r="I147" s="114"/>
      <c r="J147" s="111"/>
      <c r="K147" s="111"/>
      <c r="L147" s="94">
        <v>0</v>
      </c>
      <c r="M147" s="94" t="s">
        <v>61</v>
      </c>
      <c r="N147" s="94" t="s">
        <v>62</v>
      </c>
      <c r="O147" s="169"/>
      <c r="P147" s="169"/>
      <c r="Q147" s="169"/>
      <c r="R147" s="169"/>
      <c r="S147" s="156">
        <f>VLOOKUP(B147,'[2]62人'!$B:$R,17,FALSE)</f>
        <v>17</v>
      </c>
      <c r="T147" s="37">
        <v>0</v>
      </c>
      <c r="U147" s="170"/>
      <c r="V147" s="169"/>
      <c r="W147" s="169"/>
      <c r="X147" s="158">
        <f>VLOOKUP(B147,[4]考勤分析!$A:$I,4,FALSE)</f>
        <v>3.18950980392487</v>
      </c>
      <c r="Y147" s="90" t="b">
        <f>VLOOKUP(B147,[4]考勤分析!$A:$I,5,FALSE)</f>
        <v>1</v>
      </c>
      <c r="Z147" s="90">
        <f>VLOOKUP(B147,[4]考勤分析!$A:$I,6,FALSE)</f>
        <v>8</v>
      </c>
      <c r="AA147" s="90">
        <f>VLOOKUP(B147,[4]考勤分析!$A:$I,7,FALSE)</f>
        <v>17</v>
      </c>
      <c r="AB147" s="90">
        <f>VLOOKUP(B147,[4]考勤分析!$A:$I,8,FALSE)</f>
        <v>26</v>
      </c>
      <c r="AC147" s="90">
        <f>VLOOKUP(B147,[4]考勤分析!$A:$I,9,FALSE)</f>
        <v>17</v>
      </c>
      <c r="AD147" s="90">
        <v>0</v>
      </c>
      <c r="AE147" s="90">
        <v>0</v>
      </c>
      <c r="AF147" s="90">
        <v>0</v>
      </c>
      <c r="AG147" s="90">
        <v>0</v>
      </c>
      <c r="AH147" s="90">
        <v>8</v>
      </c>
      <c r="AI147" s="90">
        <v>3</v>
      </c>
      <c r="AJ147" s="90"/>
      <c r="AK147" s="90" t="str">
        <f>VLOOKUP(B147,[3]总表!$B:$W,22,FALSE)</f>
        <v>适中</v>
      </c>
      <c r="AL147" s="171"/>
      <c r="AM147" s="171"/>
      <c r="AN147" s="171"/>
      <c r="AO147" s="171"/>
      <c r="AP147" s="171"/>
      <c r="AQ147" s="171"/>
      <c r="AR147" s="171"/>
      <c r="AS147" s="171"/>
    </row>
    <row r="148" s="139" customFormat="1" spans="1:45">
      <c r="A148" s="99">
        <v>146</v>
      </c>
      <c r="B148" s="98" t="s">
        <v>403</v>
      </c>
      <c r="C148" s="97" t="s">
        <v>54</v>
      </c>
      <c r="D148" s="98" t="s">
        <v>395</v>
      </c>
      <c r="E148" s="92" t="s">
        <v>68</v>
      </c>
      <c r="F148" s="99">
        <f>VLOOKUP(B148,累计工龄!A:B,2,FALSE)</f>
        <v>1</v>
      </c>
      <c r="G148" s="92" t="s">
        <v>69</v>
      </c>
      <c r="H148" s="92" t="s">
        <v>194</v>
      </c>
      <c r="I148" s="114"/>
      <c r="J148" s="111"/>
      <c r="K148" s="111"/>
      <c r="L148" s="94">
        <v>1</v>
      </c>
      <c r="M148" s="94" t="s">
        <v>61</v>
      </c>
      <c r="N148" s="94" t="s">
        <v>62</v>
      </c>
      <c r="O148" s="169"/>
      <c r="P148" s="169"/>
      <c r="Q148" s="169"/>
      <c r="R148" s="169"/>
      <c r="S148" s="156">
        <f>VLOOKUP(B148,'[2]62人'!$B:$R,17,FALSE)</f>
        <v>18</v>
      </c>
      <c r="T148" s="37">
        <v>0</v>
      </c>
      <c r="U148" s="170"/>
      <c r="V148" s="169"/>
      <c r="W148" s="169"/>
      <c r="X148" s="158">
        <f>VLOOKUP(B148,[4]考勤分析!$A:$I,4,FALSE)</f>
        <v>2.4625793650824</v>
      </c>
      <c r="Y148" s="90" t="b">
        <f>VLOOKUP(B148,[4]考勤分析!$A:$I,5,FALSE)</f>
        <v>0</v>
      </c>
      <c r="Z148" s="90">
        <f>VLOOKUP(B148,[4]考勤分析!$A:$I,6,FALSE)</f>
        <v>11</v>
      </c>
      <c r="AA148" s="90">
        <f>VLOOKUP(B148,[4]考勤分析!$A:$I,7,FALSE)</f>
        <v>19</v>
      </c>
      <c r="AB148" s="90">
        <f>VLOOKUP(B148,[4]考勤分析!$A:$I,8,FALSE)</f>
        <v>20</v>
      </c>
      <c r="AC148" s="90">
        <f>VLOOKUP(B148,[4]考勤分析!$A:$I,9,FALSE)</f>
        <v>13</v>
      </c>
      <c r="AD148" s="90">
        <v>1</v>
      </c>
      <c r="AE148" s="90">
        <v>2</v>
      </c>
      <c r="AF148" s="90">
        <v>0</v>
      </c>
      <c r="AG148" s="90">
        <v>7</v>
      </c>
      <c r="AH148" s="90">
        <v>14</v>
      </c>
      <c r="AI148" s="90">
        <v>17</v>
      </c>
      <c r="AJ148" s="90"/>
      <c r="AK148" s="90" t="str">
        <f>VLOOKUP(B148,[3]总表!$B:$W,22,FALSE)</f>
        <v>超负荷</v>
      </c>
      <c r="AL148" s="171"/>
      <c r="AM148" s="171"/>
      <c r="AN148" s="171"/>
      <c r="AO148" s="171"/>
      <c r="AP148" s="171"/>
      <c r="AQ148" s="171"/>
      <c r="AR148" s="171"/>
      <c r="AS148" s="171"/>
    </row>
    <row r="149" s="139" customFormat="1" spans="1:45">
      <c r="A149" s="99">
        <v>147</v>
      </c>
      <c r="B149" s="98" t="s">
        <v>404</v>
      </c>
      <c r="C149" s="97" t="s">
        <v>54</v>
      </c>
      <c r="D149" s="98" t="s">
        <v>395</v>
      </c>
      <c r="E149" s="92" t="s">
        <v>68</v>
      </c>
      <c r="F149" s="168">
        <v>4</v>
      </c>
      <c r="G149" s="92" t="s">
        <v>57</v>
      </c>
      <c r="H149" s="92" t="s">
        <v>405</v>
      </c>
      <c r="I149" s="114"/>
      <c r="J149" s="111"/>
      <c r="K149" s="111"/>
      <c r="L149" s="94">
        <v>1</v>
      </c>
      <c r="M149" s="94" t="s">
        <v>61</v>
      </c>
      <c r="N149" s="94" t="s">
        <v>62</v>
      </c>
      <c r="O149" s="169"/>
      <c r="P149" s="169"/>
      <c r="Q149" s="169"/>
      <c r="R149" s="169"/>
      <c r="S149" s="156">
        <f>VLOOKUP(B149,'[2]62人'!$B:$R,17,FALSE)</f>
        <v>8</v>
      </c>
      <c r="T149" s="37">
        <v>0</v>
      </c>
      <c r="U149" s="170"/>
      <c r="V149" s="169"/>
      <c r="W149" s="169"/>
      <c r="X149" s="158">
        <f>VLOOKUP(B149,[4]考勤分析!$A:$I,4,FALSE)</f>
        <v>2.73512786594755</v>
      </c>
      <c r="Y149" s="90" t="b">
        <f>VLOOKUP(B149,[4]考勤分析!$A:$I,5,FALSE)</f>
        <v>1</v>
      </c>
      <c r="Z149" s="90">
        <f>VLOOKUP(B149,[4]考勤分析!$A:$I,6,FALSE)</f>
        <v>17</v>
      </c>
      <c r="AA149" s="90">
        <f>VLOOKUP(B149,[4]考勤分析!$A:$I,7,FALSE)</f>
        <v>11</v>
      </c>
      <c r="AB149" s="90">
        <f>VLOOKUP(B149,[4]考勤分析!$A:$I,8,FALSE)</f>
        <v>15</v>
      </c>
      <c r="AC149" s="90">
        <f>VLOOKUP(B149,[4]考勤分析!$A:$I,9,FALSE)</f>
        <v>20</v>
      </c>
      <c r="AD149" s="90">
        <v>2</v>
      </c>
      <c r="AE149" s="90">
        <v>5</v>
      </c>
      <c r="AF149" s="90">
        <v>1</v>
      </c>
      <c r="AG149" s="90">
        <v>2</v>
      </c>
      <c r="AH149" s="90">
        <v>0</v>
      </c>
      <c r="AI149" s="90">
        <v>14</v>
      </c>
      <c r="AJ149" s="90"/>
      <c r="AK149" s="90" t="str">
        <f>VLOOKUP(B149,[3]总表!$B:$W,22,FALSE)</f>
        <v>超负荷</v>
      </c>
      <c r="AL149" s="171"/>
      <c r="AM149" s="171"/>
      <c r="AN149" s="171"/>
      <c r="AO149" s="171"/>
      <c r="AP149" s="171"/>
      <c r="AQ149" s="171"/>
      <c r="AR149" s="171"/>
      <c r="AS149" s="171"/>
    </row>
    <row r="150" s="139" customFormat="1" spans="1:45">
      <c r="A150" s="99">
        <v>148</v>
      </c>
      <c r="B150" s="98" t="s">
        <v>406</v>
      </c>
      <c r="C150" s="97" t="s">
        <v>54</v>
      </c>
      <c r="D150" s="98" t="s">
        <v>395</v>
      </c>
      <c r="E150" s="92" t="s">
        <v>68</v>
      </c>
      <c r="F150" s="168">
        <v>5</v>
      </c>
      <c r="G150" s="92" t="s">
        <v>69</v>
      </c>
      <c r="H150" s="92" t="s">
        <v>407</v>
      </c>
      <c r="I150" s="114"/>
      <c r="J150" s="111"/>
      <c r="K150" s="111"/>
      <c r="L150" s="94">
        <v>0</v>
      </c>
      <c r="M150" s="94" t="s">
        <v>61</v>
      </c>
      <c r="N150" s="94" t="s">
        <v>62</v>
      </c>
      <c r="O150" s="169"/>
      <c r="P150" s="169"/>
      <c r="Q150" s="169"/>
      <c r="R150" s="169"/>
      <c r="S150" s="156">
        <f>VLOOKUP(B150,'[2]62人'!$B:$R,17,FALSE)</f>
        <v>24</v>
      </c>
      <c r="T150" s="37">
        <v>0</v>
      </c>
      <c r="U150" s="170"/>
      <c r="V150" s="169"/>
      <c r="W150" s="169"/>
      <c r="X150" s="158">
        <f>VLOOKUP(B150,[4]考勤分析!$A:$I,4,FALSE)</f>
        <v>0.938736559124663</v>
      </c>
      <c r="Y150" s="90" t="b">
        <f>VLOOKUP(B150,[4]考勤分析!$A:$I,5,FALSE)</f>
        <v>0</v>
      </c>
      <c r="Z150" s="90">
        <f>VLOOKUP(B150,[4]考勤分析!$A:$I,6,FALSE)</f>
        <v>43</v>
      </c>
      <c r="AA150" s="90">
        <f>VLOOKUP(B150,[4]考勤分析!$A:$I,7,FALSE)</f>
        <v>12</v>
      </c>
      <c r="AB150" s="90">
        <f>VLOOKUP(B150,[4]考勤分析!$A:$I,8,FALSE)</f>
        <v>6</v>
      </c>
      <c r="AC150" s="90">
        <f>VLOOKUP(B150,[4]考勤分析!$A:$I,9,FALSE)</f>
        <v>1</v>
      </c>
      <c r="AD150" s="90">
        <v>0</v>
      </c>
      <c r="AE150" s="90">
        <v>3</v>
      </c>
      <c r="AF150" s="90">
        <v>0</v>
      </c>
      <c r="AG150" s="90">
        <v>1</v>
      </c>
      <c r="AH150" s="90">
        <v>0</v>
      </c>
      <c r="AI150" s="90">
        <v>0</v>
      </c>
      <c r="AJ150" s="90"/>
      <c r="AK150" s="90" t="str">
        <f>VLOOKUP(B150,[3]总表!$B:$W,22,FALSE)</f>
        <v>适中</v>
      </c>
      <c r="AL150" s="171"/>
      <c r="AM150" s="171"/>
      <c r="AN150" s="171"/>
      <c r="AO150" s="171"/>
      <c r="AP150" s="171"/>
      <c r="AQ150" s="171"/>
      <c r="AR150" s="171"/>
      <c r="AS150" s="171"/>
    </row>
    <row r="151" s="139" customFormat="1" spans="1:45">
      <c r="A151" s="99">
        <v>149</v>
      </c>
      <c r="B151" s="98" t="s">
        <v>408</v>
      </c>
      <c r="C151" s="97" t="s">
        <v>54</v>
      </c>
      <c r="D151" s="98" t="s">
        <v>409</v>
      </c>
      <c r="E151" s="92" t="s">
        <v>68</v>
      </c>
      <c r="F151" s="99">
        <v>1</v>
      </c>
      <c r="G151" s="92" t="s">
        <v>69</v>
      </c>
      <c r="H151" s="92" t="s">
        <v>410</v>
      </c>
      <c r="I151" s="114"/>
      <c r="J151" s="111"/>
      <c r="K151" s="111"/>
      <c r="L151" s="94">
        <v>0</v>
      </c>
      <c r="M151" s="94" t="s">
        <v>61</v>
      </c>
      <c r="N151" s="94" t="s">
        <v>62</v>
      </c>
      <c r="O151" s="169"/>
      <c r="P151" s="169"/>
      <c r="Q151" s="169"/>
      <c r="R151" s="169"/>
      <c r="S151" s="156">
        <f>VLOOKUP(B151,'[2]62人'!$B:$R,17,FALSE)</f>
        <v>18</v>
      </c>
      <c r="T151" s="37">
        <v>0</v>
      </c>
      <c r="U151" s="170"/>
      <c r="V151" s="169"/>
      <c r="W151" s="169"/>
      <c r="X151" s="158">
        <f>VLOOKUP(B151,[4]考勤分析!$A:$I,4,FALSE)</f>
        <v>1.89807598040052</v>
      </c>
      <c r="Y151" s="90" t="b">
        <f>VLOOKUP(B151,[4]考勤分析!$A:$I,5,FALSE)</f>
        <v>0</v>
      </c>
      <c r="Z151" s="90">
        <f>VLOOKUP(B151,[4]考勤分析!$A:$I,6,FALSE)</f>
        <v>32</v>
      </c>
      <c r="AA151" s="90">
        <f>VLOOKUP(B151,[4]考勤分析!$A:$I,7,FALSE)</f>
        <v>13</v>
      </c>
      <c r="AB151" s="90">
        <f>VLOOKUP(B151,[4]考勤分析!$A:$I,8,FALSE)</f>
        <v>18</v>
      </c>
      <c r="AC151" s="90">
        <f>VLOOKUP(B151,[4]考勤分析!$A:$I,9,FALSE)</f>
        <v>5</v>
      </c>
      <c r="AD151" s="90">
        <v>0</v>
      </c>
      <c r="AE151" s="90">
        <v>0</v>
      </c>
      <c r="AF151" s="90">
        <v>0</v>
      </c>
      <c r="AG151" s="90">
        <v>1</v>
      </c>
      <c r="AH151" s="90">
        <v>0</v>
      </c>
      <c r="AI151" s="90">
        <v>0</v>
      </c>
      <c r="AJ151" s="90"/>
      <c r="AK151" s="90" t="str">
        <f>VLOOKUP(B151,[3]总表!$B:$W,22,FALSE)</f>
        <v>不饱和</v>
      </c>
      <c r="AL151" s="171"/>
      <c r="AM151" s="171"/>
      <c r="AN151" s="171"/>
      <c r="AO151" s="171"/>
      <c r="AP151" s="171"/>
      <c r="AQ151" s="171"/>
      <c r="AR151" s="171"/>
      <c r="AS151" s="171"/>
    </row>
    <row r="152" s="139" customFormat="1" ht="43.2" spans="1:45">
      <c r="A152" s="99">
        <v>150</v>
      </c>
      <c r="B152" s="98" t="s">
        <v>411</v>
      </c>
      <c r="C152" s="97" t="s">
        <v>54</v>
      </c>
      <c r="D152" s="98" t="s">
        <v>409</v>
      </c>
      <c r="E152" s="92" t="s">
        <v>68</v>
      </c>
      <c r="F152" s="168">
        <v>4</v>
      </c>
      <c r="G152" s="92" t="s">
        <v>69</v>
      </c>
      <c r="H152" s="92" t="s">
        <v>154</v>
      </c>
      <c r="I152" s="114"/>
      <c r="J152" s="111"/>
      <c r="K152" s="111"/>
      <c r="L152" s="94">
        <v>2</v>
      </c>
      <c r="M152" s="94" t="s">
        <v>61</v>
      </c>
      <c r="N152" s="94" t="s">
        <v>62</v>
      </c>
      <c r="O152" s="169"/>
      <c r="P152" s="169"/>
      <c r="Q152" s="169" t="s">
        <v>412</v>
      </c>
      <c r="R152" s="169"/>
      <c r="S152" s="156">
        <f>VLOOKUP(B152,'[2]62人'!$B:$R,17,FALSE)</f>
        <v>16</v>
      </c>
      <c r="T152" s="37">
        <v>0</v>
      </c>
      <c r="U152" s="170"/>
      <c r="V152" s="169"/>
      <c r="W152" s="169"/>
      <c r="X152" s="158">
        <f>VLOOKUP(B152,[4]考勤分析!$A:$I,4,FALSE)</f>
        <v>1.62991319444245</v>
      </c>
      <c r="Y152" s="90" t="b">
        <f>VLOOKUP(B152,[4]考勤分析!$A:$I,5,FALSE)</f>
        <v>0</v>
      </c>
      <c r="Z152" s="90">
        <f>VLOOKUP(B152,[4]考勤分析!$A:$I,6,FALSE)</f>
        <v>23</v>
      </c>
      <c r="AA152" s="90">
        <f>VLOOKUP(B152,[4]考勤分析!$A:$I,7,FALSE)</f>
        <v>31</v>
      </c>
      <c r="AB152" s="90">
        <f>VLOOKUP(B152,[4]考勤分析!$A:$I,8,FALSE)</f>
        <v>7</v>
      </c>
      <c r="AC152" s="90">
        <f>VLOOKUP(B152,[4]考勤分析!$A:$I,9,FALSE)</f>
        <v>3</v>
      </c>
      <c r="AD152" s="90">
        <v>0</v>
      </c>
      <c r="AE152" s="90">
        <v>1</v>
      </c>
      <c r="AF152" s="90">
        <v>0</v>
      </c>
      <c r="AG152" s="90">
        <v>1</v>
      </c>
      <c r="AH152" s="90">
        <v>7</v>
      </c>
      <c r="AI152" s="90">
        <v>1</v>
      </c>
      <c r="AJ152" s="90"/>
      <c r="AK152" s="90" t="str">
        <f>VLOOKUP(B152,[3]总表!$B:$W,22,FALSE)</f>
        <v>适中</v>
      </c>
      <c r="AL152" s="171"/>
      <c r="AM152" s="171"/>
      <c r="AN152" s="171"/>
      <c r="AO152" s="171"/>
      <c r="AP152" s="171"/>
      <c r="AQ152" s="171"/>
      <c r="AR152" s="171"/>
      <c r="AS152" s="171"/>
    </row>
    <row r="153" s="139" customFormat="1" spans="1:45">
      <c r="A153" s="99">
        <v>151</v>
      </c>
      <c r="B153" s="98" t="s">
        <v>413</v>
      </c>
      <c r="C153" s="97" t="s">
        <v>54</v>
      </c>
      <c r="D153" s="98" t="s">
        <v>409</v>
      </c>
      <c r="E153" s="92" t="s">
        <v>68</v>
      </c>
      <c r="F153" s="168">
        <v>4</v>
      </c>
      <c r="G153" s="92" t="s">
        <v>57</v>
      </c>
      <c r="H153" s="92" t="s">
        <v>325</v>
      </c>
      <c r="I153" s="99"/>
      <c r="J153" s="91"/>
      <c r="K153" s="91"/>
      <c r="L153" s="94">
        <v>2</v>
      </c>
      <c r="M153" s="94" t="s">
        <v>61</v>
      </c>
      <c r="N153" s="94" t="s">
        <v>62</v>
      </c>
      <c r="O153" s="169"/>
      <c r="P153" s="169"/>
      <c r="Q153" s="169"/>
      <c r="R153" s="169"/>
      <c r="S153" s="156">
        <f>VLOOKUP(B153,'[2]62人'!$B:$R,17,FALSE)</f>
        <v>14</v>
      </c>
      <c r="T153" s="37">
        <v>2</v>
      </c>
      <c r="U153" s="170"/>
      <c r="V153" s="169"/>
      <c r="W153" s="169"/>
      <c r="X153" s="158">
        <f>VLOOKUP(B153,[4]考勤分析!$A:$I,4,FALSE)</f>
        <v>1.66551470587472</v>
      </c>
      <c r="Y153" s="90" t="b">
        <f>VLOOKUP(B153,[4]考勤分析!$A:$I,5,FALSE)</f>
        <v>0</v>
      </c>
      <c r="Z153" s="90">
        <f>VLOOKUP(B153,[4]考勤分析!$A:$I,6,FALSE)</f>
        <v>20</v>
      </c>
      <c r="AA153" s="90">
        <f>VLOOKUP(B153,[4]考勤分析!$A:$I,7,FALSE)</f>
        <v>34</v>
      </c>
      <c r="AB153" s="90">
        <f>VLOOKUP(B153,[4]考勤分析!$A:$I,8,FALSE)</f>
        <v>8</v>
      </c>
      <c r="AC153" s="90">
        <f>VLOOKUP(B153,[4]考勤分析!$A:$I,9,FALSE)</f>
        <v>6</v>
      </c>
      <c r="AD153" s="90">
        <v>0</v>
      </c>
      <c r="AE153" s="90">
        <v>25</v>
      </c>
      <c r="AF153" s="90">
        <v>0</v>
      </c>
      <c r="AG153" s="90">
        <v>1</v>
      </c>
      <c r="AH153" s="90">
        <v>10</v>
      </c>
      <c r="AI153" s="90">
        <v>4</v>
      </c>
      <c r="AJ153" s="90"/>
      <c r="AK153" s="90" t="str">
        <f>VLOOKUP(B153,[3]总表!$B:$W,22,FALSE)</f>
        <v>适中</v>
      </c>
      <c r="AL153" s="171"/>
      <c r="AM153" s="171"/>
      <c r="AN153" s="171"/>
      <c r="AO153" s="171"/>
      <c r="AP153" s="171"/>
      <c r="AQ153" s="171"/>
      <c r="AR153" s="171"/>
      <c r="AS153" s="171"/>
    </row>
    <row r="154" s="139" customFormat="1" spans="1:45">
      <c r="A154" s="99">
        <v>152</v>
      </c>
      <c r="B154" s="98" t="s">
        <v>414</v>
      </c>
      <c r="C154" s="97" t="s">
        <v>54</v>
      </c>
      <c r="D154" s="98" t="s">
        <v>409</v>
      </c>
      <c r="E154" s="92" t="s">
        <v>56</v>
      </c>
      <c r="F154" s="99">
        <f>VLOOKUP(B154,累计工龄!A:B,2,FALSE)</f>
        <v>1</v>
      </c>
      <c r="G154" s="92" t="s">
        <v>69</v>
      </c>
      <c r="H154" s="92" t="s">
        <v>137</v>
      </c>
      <c r="I154" s="114"/>
      <c r="J154" s="111"/>
      <c r="K154" s="111"/>
      <c r="L154" s="94">
        <v>1</v>
      </c>
      <c r="M154" s="94" t="s">
        <v>61</v>
      </c>
      <c r="N154" s="94" t="s">
        <v>62</v>
      </c>
      <c r="O154" s="169"/>
      <c r="P154" s="169"/>
      <c r="Q154" s="169"/>
      <c r="R154" s="169"/>
      <c r="S154" s="156">
        <f>VLOOKUP(B154,'[2]62人'!$B:$R,17,FALSE)</f>
        <v>15</v>
      </c>
      <c r="T154" s="37">
        <v>3</v>
      </c>
      <c r="U154" s="170"/>
      <c r="V154" s="169"/>
      <c r="W154" s="169"/>
      <c r="X154" s="158">
        <f>VLOOKUP(B154,[4]考勤分析!$A:$I,4,FALSE)</f>
        <v>1.76844527364323</v>
      </c>
      <c r="Y154" s="90" t="b">
        <f>VLOOKUP(B154,[4]考勤分析!$A:$I,5,FALSE)</f>
        <v>0</v>
      </c>
      <c r="Z154" s="90">
        <f>VLOOKUP(B154,[4]考勤分析!$A:$I,6,FALSE)</f>
        <v>13</v>
      </c>
      <c r="AA154" s="90">
        <f>VLOOKUP(B154,[4]考勤分析!$A:$I,7,FALSE)</f>
        <v>45</v>
      </c>
      <c r="AB154" s="90">
        <f>VLOOKUP(B154,[4]考勤分析!$A:$I,8,FALSE)</f>
        <v>5</v>
      </c>
      <c r="AC154" s="90">
        <f>VLOOKUP(B154,[4]考勤分析!$A:$I,9,FALSE)</f>
        <v>4</v>
      </c>
      <c r="AD154" s="90">
        <v>0</v>
      </c>
      <c r="AE154" s="90">
        <v>12</v>
      </c>
      <c r="AF154" s="90">
        <v>0</v>
      </c>
      <c r="AG154" s="90">
        <v>1</v>
      </c>
      <c r="AH154" s="90">
        <v>11</v>
      </c>
      <c r="AI154" s="90">
        <v>3</v>
      </c>
      <c r="AJ154" s="90"/>
      <c r="AK154" s="90" t="str">
        <f>VLOOKUP(B154,[3]总表!$B:$W,22,FALSE)</f>
        <v>适中</v>
      </c>
      <c r="AL154" s="171"/>
      <c r="AM154" s="171"/>
      <c r="AN154" s="171"/>
      <c r="AO154" s="171"/>
      <c r="AP154" s="171"/>
      <c r="AQ154" s="171"/>
      <c r="AR154" s="171"/>
      <c r="AS154" s="171"/>
    </row>
    <row r="155" s="139" customFormat="1" spans="1:45">
      <c r="A155" s="99">
        <v>153</v>
      </c>
      <c r="B155" s="98" t="s">
        <v>415</v>
      </c>
      <c r="C155" s="97" t="s">
        <v>54</v>
      </c>
      <c r="D155" s="98" t="s">
        <v>409</v>
      </c>
      <c r="E155" s="92" t="s">
        <v>56</v>
      </c>
      <c r="F155" s="99">
        <f>VLOOKUP(B155,累计工龄!A:B,2,FALSE)</f>
        <v>1</v>
      </c>
      <c r="G155" s="92" t="s">
        <v>69</v>
      </c>
      <c r="H155" s="92" t="s">
        <v>175</v>
      </c>
      <c r="I155" s="114"/>
      <c r="J155" s="111"/>
      <c r="K155" s="111"/>
      <c r="L155" s="94">
        <v>1</v>
      </c>
      <c r="M155" s="94" t="s">
        <v>61</v>
      </c>
      <c r="N155" s="94" t="s">
        <v>62</v>
      </c>
      <c r="O155" s="169"/>
      <c r="P155" s="169"/>
      <c r="Q155" s="169"/>
      <c r="R155" s="169"/>
      <c r="S155" s="156">
        <f>VLOOKUP(B155,'[2]62人'!$B:$R,17,FALSE)</f>
        <v>10</v>
      </c>
      <c r="T155" s="37">
        <v>0</v>
      </c>
      <c r="U155" s="170"/>
      <c r="V155" s="169"/>
      <c r="W155" s="169"/>
      <c r="X155" s="158">
        <f>VLOOKUP(B155,[4]考勤分析!$A:$I,4,FALSE)</f>
        <v>1.55872895622584</v>
      </c>
      <c r="Y155" s="90" t="b">
        <f>VLOOKUP(B155,[4]考勤分析!$A:$I,5,FALSE)</f>
        <v>0</v>
      </c>
      <c r="Z155" s="90">
        <f>VLOOKUP(B155,[4]考勤分析!$A:$I,6,FALSE)</f>
        <v>23</v>
      </c>
      <c r="AA155" s="90">
        <f>VLOOKUP(B155,[4]考勤分析!$A:$I,7,FALSE)</f>
        <v>37</v>
      </c>
      <c r="AB155" s="90">
        <f>VLOOKUP(B155,[4]考勤分析!$A:$I,8,FALSE)</f>
        <v>3</v>
      </c>
      <c r="AC155" s="90">
        <f>VLOOKUP(B155,[4]考勤分析!$A:$I,9,FALSE)</f>
        <v>3</v>
      </c>
      <c r="AD155" s="90">
        <v>0</v>
      </c>
      <c r="AE155" s="90">
        <v>4</v>
      </c>
      <c r="AF155" s="90">
        <v>0</v>
      </c>
      <c r="AG155" s="90">
        <v>2</v>
      </c>
      <c r="AH155" s="90">
        <v>2</v>
      </c>
      <c r="AI155" s="90">
        <v>1</v>
      </c>
      <c r="AJ155" s="90"/>
      <c r="AK155" s="90" t="str">
        <f>VLOOKUP(B155,[3]总表!$B:$W,22,FALSE)</f>
        <v>适中</v>
      </c>
      <c r="AL155" s="171"/>
      <c r="AM155" s="171"/>
      <c r="AN155" s="171"/>
      <c r="AO155" s="171"/>
      <c r="AP155" s="171"/>
      <c r="AQ155" s="171"/>
      <c r="AR155" s="171"/>
      <c r="AS155" s="171"/>
    </row>
    <row r="156" s="139" customFormat="1" spans="1:45">
      <c r="A156" s="99">
        <v>154</v>
      </c>
      <c r="B156" s="96" t="s">
        <v>416</v>
      </c>
      <c r="C156" s="97" t="s">
        <v>54</v>
      </c>
      <c r="D156" s="98" t="s">
        <v>409</v>
      </c>
      <c r="E156" s="92" t="s">
        <v>68</v>
      </c>
      <c r="F156" s="168">
        <v>6</v>
      </c>
      <c r="G156" s="92" t="s">
        <v>57</v>
      </c>
      <c r="H156" s="92" t="s">
        <v>235</v>
      </c>
      <c r="I156" s="114"/>
      <c r="J156" s="111"/>
      <c r="K156" s="111"/>
      <c r="L156" s="152">
        <v>1</v>
      </c>
      <c r="M156" s="94" t="s">
        <v>61</v>
      </c>
      <c r="N156" s="94" t="s">
        <v>62</v>
      </c>
      <c r="O156" s="169"/>
      <c r="P156" s="169"/>
      <c r="Q156" s="169"/>
      <c r="R156" s="169"/>
      <c r="S156" s="156">
        <f>VLOOKUP(B156,'[2]62人'!$B:$R,17,FALSE)</f>
        <v>12</v>
      </c>
      <c r="T156" s="37">
        <v>0</v>
      </c>
      <c r="U156" s="170"/>
      <c r="V156" s="169"/>
      <c r="W156" s="169"/>
      <c r="X156" s="158">
        <f>VLOOKUP(B156,[4]考勤分析!$A:$I,4,FALSE)</f>
        <v>1.19004208753397</v>
      </c>
      <c r="Y156" s="90" t="b">
        <f>VLOOKUP(B156,[4]考勤分析!$A:$I,5,FALSE)</f>
        <v>0</v>
      </c>
      <c r="Z156" s="90">
        <f>VLOOKUP(B156,[4]考勤分析!$A:$I,6,FALSE)</f>
        <v>43</v>
      </c>
      <c r="AA156" s="90">
        <f>VLOOKUP(B156,[4]考勤分析!$A:$I,7,FALSE)</f>
        <v>14</v>
      </c>
      <c r="AB156" s="90">
        <f>VLOOKUP(B156,[4]考勤分析!$A:$I,8,FALSE)</f>
        <v>6</v>
      </c>
      <c r="AC156" s="90">
        <f>VLOOKUP(B156,[4]考勤分析!$A:$I,9,FALSE)</f>
        <v>3</v>
      </c>
      <c r="AD156" s="90">
        <v>0</v>
      </c>
      <c r="AE156" s="90">
        <v>23</v>
      </c>
      <c r="AF156" s="90">
        <v>0</v>
      </c>
      <c r="AG156" s="90">
        <v>1</v>
      </c>
      <c r="AH156" s="90">
        <v>9</v>
      </c>
      <c r="AI156" s="90">
        <v>3</v>
      </c>
      <c r="AJ156" s="90"/>
      <c r="AK156" s="90" t="str">
        <f>VLOOKUP(B156,[3]总表!$B:$W,22,FALSE)</f>
        <v>适中</v>
      </c>
      <c r="AL156" s="171"/>
      <c r="AM156" s="171"/>
      <c r="AN156" s="171"/>
      <c r="AO156" s="171"/>
      <c r="AP156" s="171"/>
      <c r="AQ156" s="171"/>
      <c r="AR156" s="171"/>
      <c r="AS156" s="171"/>
    </row>
    <row r="157" s="139" customFormat="1" spans="1:45">
      <c r="A157" s="99">
        <v>155</v>
      </c>
      <c r="B157" s="98" t="s">
        <v>417</v>
      </c>
      <c r="C157" s="97" t="s">
        <v>54</v>
      </c>
      <c r="D157" s="98" t="s">
        <v>84</v>
      </c>
      <c r="E157" s="92" t="s">
        <v>56</v>
      </c>
      <c r="F157" s="99">
        <f>VLOOKUP(B157,累计工龄!A:B,2,FALSE)</f>
        <v>1</v>
      </c>
      <c r="G157" s="92" t="s">
        <v>69</v>
      </c>
      <c r="H157" s="92" t="s">
        <v>122</v>
      </c>
      <c r="I157" s="114"/>
      <c r="J157" s="111"/>
      <c r="K157" s="111"/>
      <c r="L157" s="94">
        <v>0</v>
      </c>
      <c r="M157" s="94" t="s">
        <v>61</v>
      </c>
      <c r="N157" s="94" t="s">
        <v>62</v>
      </c>
      <c r="O157" s="169"/>
      <c r="P157" s="169"/>
      <c r="Q157" s="169"/>
      <c r="R157" s="169"/>
      <c r="S157" s="156">
        <f>VLOOKUP(B157,'[2]62人'!$B:$R,17,FALSE)</f>
        <v>15</v>
      </c>
      <c r="T157" s="37">
        <v>0</v>
      </c>
      <c r="U157" s="170"/>
      <c r="V157" s="169"/>
      <c r="W157" s="169"/>
      <c r="X157" s="158">
        <f>VLOOKUP(B157,[4]考勤分析!$A:$I,4,FALSE)</f>
        <v>4.1208246527749</v>
      </c>
      <c r="Y157" s="90" t="b">
        <f>VLOOKUP(B157,[4]考勤分析!$A:$I,5,FALSE)</f>
        <v>1</v>
      </c>
      <c r="Z157" s="90">
        <f>VLOOKUP(B157,[4]考勤分析!$A:$I,6,FALSE)</f>
        <v>4</v>
      </c>
      <c r="AA157" s="90">
        <f>VLOOKUP(B157,[4]考勤分析!$A:$I,7,FALSE)</f>
        <v>3</v>
      </c>
      <c r="AB157" s="90">
        <f>VLOOKUP(B157,[4]考勤分析!$A:$I,8,FALSE)</f>
        <v>39</v>
      </c>
      <c r="AC157" s="90">
        <f>VLOOKUP(B157,[4]考勤分析!$A:$I,9,FALSE)</f>
        <v>18</v>
      </c>
      <c r="AD157" s="90">
        <v>0</v>
      </c>
      <c r="AE157" s="90">
        <v>12</v>
      </c>
      <c r="AF157" s="90">
        <v>0</v>
      </c>
      <c r="AG157" s="90">
        <v>2</v>
      </c>
      <c r="AH157" s="90">
        <v>19</v>
      </c>
      <c r="AI157" s="90">
        <v>11</v>
      </c>
      <c r="AJ157" s="90"/>
      <c r="AK157" s="90" t="str">
        <f>VLOOKUP(B157,[3]总表!$B:$W,22,FALSE)</f>
        <v>超负荷</v>
      </c>
      <c r="AL157" s="171"/>
      <c r="AM157" s="171"/>
      <c r="AN157" s="171"/>
      <c r="AO157" s="171"/>
      <c r="AP157" s="171"/>
      <c r="AQ157" s="171"/>
      <c r="AR157" s="171"/>
      <c r="AS157" s="171"/>
    </row>
    <row r="158" s="139" customFormat="1" spans="1:45">
      <c r="A158" s="99">
        <v>156</v>
      </c>
      <c r="B158" s="98" t="s">
        <v>418</v>
      </c>
      <c r="C158" s="97" t="s">
        <v>54</v>
      </c>
      <c r="D158" s="98" t="s">
        <v>84</v>
      </c>
      <c r="E158" s="92" t="s">
        <v>56</v>
      </c>
      <c r="F158" s="168">
        <v>3</v>
      </c>
      <c r="G158" s="92" t="s">
        <v>69</v>
      </c>
      <c r="H158" s="92" t="s">
        <v>419</v>
      </c>
      <c r="I158" s="114"/>
      <c r="J158" s="111"/>
      <c r="K158" s="111"/>
      <c r="L158" s="94">
        <v>0</v>
      </c>
      <c r="M158" s="94" t="s">
        <v>61</v>
      </c>
      <c r="N158" s="94" t="s">
        <v>62</v>
      </c>
      <c r="O158" s="169"/>
      <c r="P158" s="169"/>
      <c r="Q158" s="169"/>
      <c r="R158" s="169"/>
      <c r="S158" s="156">
        <f>VLOOKUP(B158,'[2]62人'!$B:$R,17,FALSE)</f>
        <v>14</v>
      </c>
      <c r="T158" s="37">
        <v>0</v>
      </c>
      <c r="U158" s="170"/>
      <c r="V158" s="169">
        <v>1</v>
      </c>
      <c r="W158" s="169"/>
      <c r="X158" s="158">
        <f>VLOOKUP(B158,[4]考勤分析!$A:$I,4,FALSE)</f>
        <v>2.77823529411569</v>
      </c>
      <c r="Y158" s="90" t="b">
        <f>VLOOKUP(B158,[4]考勤分析!$A:$I,5,FALSE)</f>
        <v>1</v>
      </c>
      <c r="Z158" s="90">
        <f>VLOOKUP(B158,[4]考勤分析!$A:$I,6,FALSE)</f>
        <v>12</v>
      </c>
      <c r="AA158" s="90">
        <f>VLOOKUP(B158,[4]考勤分析!$A:$I,7,FALSE)</f>
        <v>18</v>
      </c>
      <c r="AB158" s="90">
        <f>VLOOKUP(B158,[4]考勤分析!$A:$I,8,FALSE)</f>
        <v>30</v>
      </c>
      <c r="AC158" s="90">
        <f>VLOOKUP(B158,[4]考勤分析!$A:$I,9,FALSE)</f>
        <v>8</v>
      </c>
      <c r="AD158" s="90">
        <v>0</v>
      </c>
      <c r="AE158" s="90">
        <v>14</v>
      </c>
      <c r="AF158" s="90">
        <v>0</v>
      </c>
      <c r="AG158" s="90">
        <v>1</v>
      </c>
      <c r="AH158" s="90">
        <v>3</v>
      </c>
      <c r="AI158" s="90">
        <v>12</v>
      </c>
      <c r="AJ158" s="90"/>
      <c r="AK158" s="90" t="str">
        <f>VLOOKUP(B158,[3]总表!$B:$W,22,FALSE)</f>
        <v>超负荷</v>
      </c>
      <c r="AL158" s="171"/>
      <c r="AM158" s="171"/>
      <c r="AN158" s="171"/>
      <c r="AO158" s="171"/>
      <c r="AP158" s="171"/>
      <c r="AQ158" s="171"/>
      <c r="AR158" s="171"/>
      <c r="AS158" s="171"/>
    </row>
    <row r="159" s="139" customFormat="1" ht="43.2" spans="1:45">
      <c r="A159" s="99">
        <v>157</v>
      </c>
      <c r="B159" s="98" t="s">
        <v>420</v>
      </c>
      <c r="C159" s="97" t="s">
        <v>54</v>
      </c>
      <c r="D159" s="98" t="s">
        <v>84</v>
      </c>
      <c r="E159" s="92" t="s">
        <v>68</v>
      </c>
      <c r="F159" s="168">
        <v>3</v>
      </c>
      <c r="G159" s="92" t="s">
        <v>69</v>
      </c>
      <c r="H159" s="92" t="s">
        <v>421</v>
      </c>
      <c r="I159" s="114"/>
      <c r="J159" s="111"/>
      <c r="K159" s="111"/>
      <c r="L159" s="94">
        <v>0</v>
      </c>
      <c r="M159" s="94" t="s">
        <v>61</v>
      </c>
      <c r="N159" s="94" t="s">
        <v>62</v>
      </c>
      <c r="O159" s="169"/>
      <c r="P159" s="169"/>
      <c r="Q159" s="169"/>
      <c r="R159" s="169" t="s">
        <v>362</v>
      </c>
      <c r="S159" s="156">
        <f>VLOOKUP(B159,'[2]62人'!$B:$R,17,FALSE)</f>
        <v>13</v>
      </c>
      <c r="T159" s="37">
        <v>0</v>
      </c>
      <c r="U159" s="170"/>
      <c r="V159" s="169"/>
      <c r="W159" s="169"/>
      <c r="X159" s="158">
        <f>VLOOKUP(B159,[4]考勤分析!$A:$I,4,FALSE)</f>
        <v>3.30253623189249</v>
      </c>
      <c r="Y159" s="90" t="b">
        <f>VLOOKUP(B159,[4]考勤分析!$A:$I,5,FALSE)</f>
        <v>1</v>
      </c>
      <c r="Z159" s="90">
        <f>VLOOKUP(B159,[4]考勤分析!$A:$I,6,FALSE)</f>
        <v>11</v>
      </c>
      <c r="AA159" s="90">
        <f>VLOOKUP(B159,[4]考勤分析!$A:$I,7,FALSE)</f>
        <v>12</v>
      </c>
      <c r="AB159" s="90">
        <f>VLOOKUP(B159,[4]考勤分析!$A:$I,8,FALSE)</f>
        <v>28</v>
      </c>
      <c r="AC159" s="90">
        <f>VLOOKUP(B159,[4]考勤分析!$A:$I,9,FALSE)</f>
        <v>18</v>
      </c>
      <c r="AD159" s="90">
        <v>0</v>
      </c>
      <c r="AE159" s="90">
        <v>4</v>
      </c>
      <c r="AF159" s="90">
        <v>0</v>
      </c>
      <c r="AG159" s="90">
        <v>3</v>
      </c>
      <c r="AH159" s="90">
        <v>8</v>
      </c>
      <c r="AI159" s="90">
        <v>6</v>
      </c>
      <c r="AJ159" s="90"/>
      <c r="AK159" s="90" t="str">
        <f>VLOOKUP(B159,[3]总表!$B:$W,22,FALSE)</f>
        <v>超负荷</v>
      </c>
      <c r="AL159" s="171"/>
      <c r="AM159" s="171"/>
      <c r="AN159" s="171"/>
      <c r="AO159" s="171"/>
      <c r="AP159" s="171"/>
      <c r="AQ159" s="171"/>
      <c r="AR159" s="171"/>
      <c r="AS159" s="171"/>
    </row>
    <row r="160" s="139" customFormat="1" spans="1:45">
      <c r="A160" s="99">
        <v>158</v>
      </c>
      <c r="B160" s="98" t="s">
        <v>422</v>
      </c>
      <c r="C160" s="97" t="s">
        <v>54</v>
      </c>
      <c r="D160" s="98" t="s">
        <v>84</v>
      </c>
      <c r="E160" s="92" t="s">
        <v>68</v>
      </c>
      <c r="F160" s="168">
        <v>3</v>
      </c>
      <c r="G160" s="92" t="s">
        <v>69</v>
      </c>
      <c r="H160" s="92" t="s">
        <v>194</v>
      </c>
      <c r="I160" s="114"/>
      <c r="J160" s="111"/>
      <c r="K160" s="111"/>
      <c r="L160" s="94">
        <v>0</v>
      </c>
      <c r="M160" s="94" t="s">
        <v>61</v>
      </c>
      <c r="N160" s="94" t="s">
        <v>62</v>
      </c>
      <c r="O160" s="169"/>
      <c r="P160" s="169"/>
      <c r="Q160" s="169"/>
      <c r="R160" s="169"/>
      <c r="S160" s="156">
        <f>VLOOKUP(B160,'[2]62人'!$B:$R,17,FALSE)</f>
        <v>11</v>
      </c>
      <c r="T160" s="37">
        <v>0</v>
      </c>
      <c r="U160" s="170"/>
      <c r="V160" s="169"/>
      <c r="W160" s="169"/>
      <c r="X160" s="158">
        <f>VLOOKUP(B160,[4]考勤分析!$A:$I,4,FALSE)</f>
        <v>2.74244871795482</v>
      </c>
      <c r="Y160" s="90" t="b">
        <f>VLOOKUP(B160,[4]考勤分析!$A:$I,5,FALSE)</f>
        <v>1</v>
      </c>
      <c r="Z160" s="90">
        <f>VLOOKUP(B160,[4]考勤分析!$A:$I,6,FALSE)</f>
        <v>6</v>
      </c>
      <c r="AA160" s="90">
        <f>VLOOKUP(B160,[4]考勤分析!$A:$I,7,FALSE)</f>
        <v>20</v>
      </c>
      <c r="AB160" s="90">
        <f>VLOOKUP(B160,[4]考勤分析!$A:$I,8,FALSE)</f>
        <v>29</v>
      </c>
      <c r="AC160" s="90">
        <f>VLOOKUP(B160,[4]考勤分析!$A:$I,9,FALSE)</f>
        <v>10</v>
      </c>
      <c r="AD160" s="90">
        <v>0</v>
      </c>
      <c r="AE160" s="90">
        <v>0</v>
      </c>
      <c r="AF160" s="90">
        <v>0</v>
      </c>
      <c r="AG160" s="90">
        <v>1</v>
      </c>
      <c r="AH160" s="90">
        <v>2</v>
      </c>
      <c r="AI160" s="90">
        <v>0</v>
      </c>
      <c r="AJ160" s="90"/>
      <c r="AK160" s="90" t="str">
        <f>VLOOKUP(B160,[3]总表!$B:$W,22,FALSE)</f>
        <v>适中</v>
      </c>
      <c r="AL160" s="171"/>
      <c r="AM160" s="171"/>
      <c r="AN160" s="171"/>
      <c r="AO160" s="171"/>
      <c r="AP160" s="171"/>
      <c r="AQ160" s="171"/>
      <c r="AR160" s="171"/>
      <c r="AS160" s="171"/>
    </row>
    <row r="161" s="139" customFormat="1" spans="1:45">
      <c r="A161" s="99">
        <v>159</v>
      </c>
      <c r="B161" s="98" t="s">
        <v>423</v>
      </c>
      <c r="C161" s="97" t="s">
        <v>54</v>
      </c>
      <c r="D161" s="98" t="s">
        <v>84</v>
      </c>
      <c r="E161" s="92" t="s">
        <v>68</v>
      </c>
      <c r="F161" s="168">
        <v>3</v>
      </c>
      <c r="G161" s="92" t="s">
        <v>69</v>
      </c>
      <c r="H161" s="92" t="s">
        <v>292</v>
      </c>
      <c r="I161" s="114"/>
      <c r="J161" s="111"/>
      <c r="K161" s="111"/>
      <c r="L161" s="94">
        <v>0</v>
      </c>
      <c r="M161" s="94" t="s">
        <v>61</v>
      </c>
      <c r="N161" s="94" t="s">
        <v>62</v>
      </c>
      <c r="O161" s="169"/>
      <c r="P161" s="169"/>
      <c r="Q161" s="169"/>
      <c r="R161" s="169"/>
      <c r="S161" s="156">
        <f>VLOOKUP(B161,'[2]62人'!$B:$R,17,FALSE)</f>
        <v>13</v>
      </c>
      <c r="T161" s="37">
        <v>0</v>
      </c>
      <c r="U161" s="170"/>
      <c r="V161" s="169"/>
      <c r="W161" s="169"/>
      <c r="X161" s="158">
        <f>VLOOKUP(B161,[4]考勤分析!$A:$I,4,FALSE)</f>
        <v>2.24166239317184</v>
      </c>
      <c r="Y161" s="90" t="b">
        <f>VLOOKUP(B161,[4]考勤分析!$A:$I,5,FALSE)</f>
        <v>0</v>
      </c>
      <c r="Z161" s="90">
        <f>VLOOKUP(B161,[4]考勤分析!$A:$I,6,FALSE)</f>
        <v>5</v>
      </c>
      <c r="AA161" s="90">
        <f>VLOOKUP(B161,[4]考勤分析!$A:$I,7,FALSE)</f>
        <v>23</v>
      </c>
      <c r="AB161" s="90">
        <f>VLOOKUP(B161,[4]考勤分析!$A:$I,8,FALSE)</f>
        <v>34</v>
      </c>
      <c r="AC161" s="90">
        <f>VLOOKUP(B161,[4]考勤分析!$A:$I,9,FALSE)</f>
        <v>3</v>
      </c>
      <c r="AD161" s="90">
        <v>0</v>
      </c>
      <c r="AE161" s="90">
        <v>1</v>
      </c>
      <c r="AF161" s="90">
        <v>0</v>
      </c>
      <c r="AG161" s="90">
        <v>1</v>
      </c>
      <c r="AH161" s="90">
        <v>0</v>
      </c>
      <c r="AI161" s="90">
        <v>0</v>
      </c>
      <c r="AJ161" s="90"/>
      <c r="AK161" s="90" t="str">
        <f>VLOOKUP(B161,[3]总表!$B:$W,22,FALSE)</f>
        <v>适中</v>
      </c>
      <c r="AL161" s="171"/>
      <c r="AM161" s="171"/>
      <c r="AN161" s="171"/>
      <c r="AO161" s="171"/>
      <c r="AP161" s="171"/>
      <c r="AQ161" s="171"/>
      <c r="AR161" s="171"/>
      <c r="AS161" s="171"/>
    </row>
    <row r="162" s="139" customFormat="1" spans="1:45">
      <c r="A162" s="99">
        <v>160</v>
      </c>
      <c r="B162" s="98" t="s">
        <v>424</v>
      </c>
      <c r="C162" s="97" t="s">
        <v>54</v>
      </c>
      <c r="D162" s="98" t="s">
        <v>84</v>
      </c>
      <c r="E162" s="92" t="s">
        <v>56</v>
      </c>
      <c r="F162" s="168">
        <v>3</v>
      </c>
      <c r="G162" s="92" t="s">
        <v>69</v>
      </c>
      <c r="H162" s="92" t="s">
        <v>425</v>
      </c>
      <c r="I162" s="114"/>
      <c r="J162" s="111"/>
      <c r="K162" s="111"/>
      <c r="L162" s="94">
        <v>0</v>
      </c>
      <c r="M162" s="94" t="s">
        <v>61</v>
      </c>
      <c r="N162" s="94" t="s">
        <v>62</v>
      </c>
      <c r="O162" s="169"/>
      <c r="P162" s="169"/>
      <c r="Q162" s="169"/>
      <c r="R162" s="169"/>
      <c r="S162" s="156">
        <f>VLOOKUP(B162,'[2]62人'!$B:$R,17,FALSE)</f>
        <v>11</v>
      </c>
      <c r="T162" s="37">
        <v>0</v>
      </c>
      <c r="U162" s="170"/>
      <c r="V162" s="169"/>
      <c r="W162" s="169"/>
      <c r="X162" s="158">
        <f>VLOOKUP(B162,[4]考勤分析!$A:$I,4,FALSE)</f>
        <v>2.28609829060554</v>
      </c>
      <c r="Y162" s="90" t="b">
        <f>VLOOKUP(B162,[4]考勤分析!$A:$I,5,FALSE)</f>
        <v>0</v>
      </c>
      <c r="Z162" s="90">
        <f>VLOOKUP(B162,[4]考勤分析!$A:$I,6,FALSE)</f>
        <v>4</v>
      </c>
      <c r="AA162" s="90">
        <f>VLOOKUP(B162,[4]考勤分析!$A:$I,7,FALSE)</f>
        <v>37</v>
      </c>
      <c r="AB162" s="90">
        <f>VLOOKUP(B162,[4]考勤分析!$A:$I,8,FALSE)</f>
        <v>17</v>
      </c>
      <c r="AC162" s="90">
        <f>VLOOKUP(B162,[4]考勤分析!$A:$I,9,FALSE)</f>
        <v>7</v>
      </c>
      <c r="AD162" s="90">
        <v>0</v>
      </c>
      <c r="AE162" s="90">
        <v>2</v>
      </c>
      <c r="AF162" s="90">
        <v>0</v>
      </c>
      <c r="AG162" s="90">
        <v>1</v>
      </c>
      <c r="AH162" s="90">
        <v>6</v>
      </c>
      <c r="AI162" s="90">
        <v>6</v>
      </c>
      <c r="AJ162" s="90"/>
      <c r="AK162" s="90" t="str">
        <f>VLOOKUP(B162,[3]总表!$B:$W,22,FALSE)</f>
        <v>适中</v>
      </c>
      <c r="AL162" s="171"/>
      <c r="AM162" s="171"/>
      <c r="AN162" s="171"/>
      <c r="AO162" s="171"/>
      <c r="AP162" s="171"/>
      <c r="AQ162" s="171"/>
      <c r="AR162" s="171"/>
      <c r="AS162" s="171"/>
    </row>
    <row r="163" s="139" customFormat="1" spans="1:45">
      <c r="A163" s="99">
        <v>161</v>
      </c>
      <c r="B163" s="98" t="s">
        <v>426</v>
      </c>
      <c r="C163" s="97" t="s">
        <v>54</v>
      </c>
      <c r="D163" s="98" t="s">
        <v>84</v>
      </c>
      <c r="E163" s="92" t="s">
        <v>68</v>
      </c>
      <c r="F163" s="168">
        <v>3</v>
      </c>
      <c r="G163" s="92" t="s">
        <v>69</v>
      </c>
      <c r="H163" s="92" t="s">
        <v>427</v>
      </c>
      <c r="I163" s="114"/>
      <c r="J163" s="111"/>
      <c r="K163" s="111"/>
      <c r="L163" s="94">
        <v>0</v>
      </c>
      <c r="M163" s="94" t="s">
        <v>61</v>
      </c>
      <c r="N163" s="94" t="s">
        <v>62</v>
      </c>
      <c r="O163" s="169"/>
      <c r="P163" s="169"/>
      <c r="Q163" s="169"/>
      <c r="R163" s="169"/>
      <c r="S163" s="156">
        <f>VLOOKUP(B163,'[2]62人'!$B:$R,17,FALSE)</f>
        <v>8</v>
      </c>
      <c r="T163" s="37">
        <v>0</v>
      </c>
      <c r="U163" s="170"/>
      <c r="V163" s="169"/>
      <c r="W163" s="169"/>
      <c r="X163" s="158" t="e">
        <f>VLOOKUP(B163,[4]考勤分析!$A:$I,4,FALSE)</f>
        <v>#N/A</v>
      </c>
      <c r="Y163" s="90" t="e">
        <f>VLOOKUP(B163,[4]考勤分析!$A:$I,5,FALSE)</f>
        <v>#N/A</v>
      </c>
      <c r="Z163" s="90" t="e">
        <f>VLOOKUP(B163,[4]考勤分析!$A:$I,6,FALSE)</f>
        <v>#N/A</v>
      </c>
      <c r="AA163" s="90" t="e">
        <f>VLOOKUP(B163,[4]考勤分析!$A:$I,7,FALSE)</f>
        <v>#N/A</v>
      </c>
      <c r="AB163" s="90" t="e">
        <f>VLOOKUP(B163,[4]考勤分析!$A:$I,8,FALSE)</f>
        <v>#N/A</v>
      </c>
      <c r="AC163" s="90" t="e">
        <f>VLOOKUP(B163,[4]考勤分析!$A:$I,9,FALSE)</f>
        <v>#N/A</v>
      </c>
      <c r="AD163" s="90">
        <v>0</v>
      </c>
      <c r="AE163" s="90">
        <v>1</v>
      </c>
      <c r="AF163" s="90">
        <v>0</v>
      </c>
      <c r="AG163" s="90">
        <v>1</v>
      </c>
      <c r="AH163" s="90">
        <v>3</v>
      </c>
      <c r="AI163" s="90">
        <v>0</v>
      </c>
      <c r="AJ163" s="90"/>
      <c r="AK163" s="90" t="str">
        <f>VLOOKUP(B163,[3]总表!$B:$W,22,FALSE)</f>
        <v>适中</v>
      </c>
      <c r="AL163" s="171"/>
      <c r="AM163" s="171"/>
      <c r="AN163" s="171"/>
      <c r="AO163" s="171"/>
      <c r="AP163" s="171"/>
      <c r="AQ163" s="171"/>
      <c r="AR163" s="171"/>
      <c r="AS163" s="171"/>
    </row>
    <row r="164" s="139" customFormat="1" spans="1:45">
      <c r="A164" s="99">
        <v>162</v>
      </c>
      <c r="B164" s="98" t="s">
        <v>428</v>
      </c>
      <c r="C164" s="97" t="s">
        <v>54</v>
      </c>
      <c r="D164" s="98" t="s">
        <v>84</v>
      </c>
      <c r="E164" s="92" t="s">
        <v>68</v>
      </c>
      <c r="F164" s="168">
        <v>4</v>
      </c>
      <c r="G164" s="92" t="s">
        <v>69</v>
      </c>
      <c r="H164" s="92" t="s">
        <v>429</v>
      </c>
      <c r="I164" s="114"/>
      <c r="J164" s="111"/>
      <c r="K164" s="111"/>
      <c r="L164" s="94">
        <v>0</v>
      </c>
      <c r="M164" s="94" t="s">
        <v>61</v>
      </c>
      <c r="N164" s="94" t="s">
        <v>62</v>
      </c>
      <c r="O164" s="169"/>
      <c r="P164" s="169"/>
      <c r="Q164" s="169"/>
      <c r="R164" s="169"/>
      <c r="S164" s="156">
        <f>VLOOKUP(B164,'[2]62人'!$B:$R,17,FALSE)</f>
        <v>13</v>
      </c>
      <c r="T164" s="37">
        <v>0</v>
      </c>
      <c r="U164" s="170"/>
      <c r="V164" s="169"/>
      <c r="W164" s="169"/>
      <c r="X164" s="158">
        <f>VLOOKUP(B164,[4]考勤分析!$A:$I,4,FALSE)</f>
        <v>2.72306423612645</v>
      </c>
      <c r="Y164" s="90" t="b">
        <f>VLOOKUP(B164,[4]考勤分析!$A:$I,5,FALSE)</f>
        <v>0</v>
      </c>
      <c r="Z164" s="90">
        <f>VLOOKUP(B164,[4]考勤分析!$A:$I,6,FALSE)</f>
        <v>5</v>
      </c>
      <c r="AA164" s="90">
        <f>VLOOKUP(B164,[4]考勤分析!$A:$I,7,FALSE)</f>
        <v>6</v>
      </c>
      <c r="AB164" s="90">
        <f>VLOOKUP(B164,[4]考勤分析!$A:$I,8,FALSE)</f>
        <v>45</v>
      </c>
      <c r="AC164" s="90">
        <f>VLOOKUP(B164,[4]考勤分析!$A:$I,9,FALSE)</f>
        <v>8</v>
      </c>
      <c r="AD164" s="90">
        <v>0</v>
      </c>
      <c r="AE164" s="90">
        <v>6</v>
      </c>
      <c r="AF164" s="90">
        <v>0</v>
      </c>
      <c r="AG164" s="90">
        <v>1</v>
      </c>
      <c r="AH164" s="90">
        <v>13</v>
      </c>
      <c r="AI164" s="90">
        <v>11</v>
      </c>
      <c r="AJ164" s="90"/>
      <c r="AK164" s="90" t="str">
        <f>VLOOKUP(B164,[3]总表!$B:$W,22,FALSE)</f>
        <v>超负荷</v>
      </c>
      <c r="AL164" s="171"/>
      <c r="AM164" s="171"/>
      <c r="AN164" s="171"/>
      <c r="AO164" s="171"/>
      <c r="AP164" s="171"/>
      <c r="AQ164" s="171"/>
      <c r="AR164" s="171"/>
      <c r="AS164" s="171"/>
    </row>
    <row r="165" s="139" customFormat="1" spans="1:45">
      <c r="A165" s="99">
        <v>163</v>
      </c>
      <c r="B165" s="98" t="s">
        <v>430</v>
      </c>
      <c r="C165" s="97" t="s">
        <v>54</v>
      </c>
      <c r="D165" s="98" t="s">
        <v>84</v>
      </c>
      <c r="E165" s="92" t="s">
        <v>68</v>
      </c>
      <c r="F165" s="168">
        <v>3</v>
      </c>
      <c r="G165" s="92" t="s">
        <v>69</v>
      </c>
      <c r="H165" s="92" t="s">
        <v>337</v>
      </c>
      <c r="I165" s="114"/>
      <c r="J165" s="111"/>
      <c r="K165" s="111"/>
      <c r="L165" s="94">
        <v>0</v>
      </c>
      <c r="M165" s="94" t="s">
        <v>61</v>
      </c>
      <c r="N165" s="94" t="s">
        <v>62</v>
      </c>
      <c r="O165" s="169"/>
      <c r="P165" s="169"/>
      <c r="Q165" s="169"/>
      <c r="R165" s="169"/>
      <c r="S165" s="156">
        <f>VLOOKUP(B165,'[2]62人'!$B:$R,17,FALSE)</f>
        <v>13</v>
      </c>
      <c r="T165" s="37">
        <v>0</v>
      </c>
      <c r="U165" s="170"/>
      <c r="V165" s="169"/>
      <c r="W165" s="169"/>
      <c r="X165" s="158">
        <f>VLOOKUP(B165,[4]考勤分析!$A:$I,4,FALSE)</f>
        <v>2.10857974911379</v>
      </c>
      <c r="Y165" s="90" t="b">
        <f>VLOOKUP(B165,[4]考勤分析!$A:$I,5,FALSE)</f>
        <v>0</v>
      </c>
      <c r="Z165" s="90">
        <f>VLOOKUP(B165,[4]考勤分析!$A:$I,6,FALSE)</f>
        <v>6</v>
      </c>
      <c r="AA165" s="90">
        <f>VLOOKUP(B165,[4]考勤分析!$A:$I,7,FALSE)</f>
        <v>23</v>
      </c>
      <c r="AB165" s="90">
        <f>VLOOKUP(B165,[4]考勤分析!$A:$I,8,FALSE)</f>
        <v>27</v>
      </c>
      <c r="AC165" s="90">
        <f>VLOOKUP(B165,[4]考勤分析!$A:$I,9,FALSE)</f>
        <v>6</v>
      </c>
      <c r="AD165" s="90">
        <v>0</v>
      </c>
      <c r="AE165" s="90">
        <v>2</v>
      </c>
      <c r="AF165" s="90">
        <v>0</v>
      </c>
      <c r="AG165" s="90">
        <v>1</v>
      </c>
      <c r="AH165" s="90">
        <v>4</v>
      </c>
      <c r="AI165" s="90">
        <v>0</v>
      </c>
      <c r="AJ165" s="90"/>
      <c r="AK165" s="90" t="str">
        <f>VLOOKUP(B165,[3]总表!$B:$W,22,FALSE)</f>
        <v>适中</v>
      </c>
      <c r="AL165" s="171"/>
      <c r="AM165" s="171"/>
      <c r="AN165" s="171"/>
      <c r="AO165" s="171"/>
      <c r="AP165" s="171"/>
      <c r="AQ165" s="171"/>
      <c r="AR165" s="171"/>
      <c r="AS165" s="171"/>
    </row>
    <row r="166" s="139" customFormat="1" spans="1:45">
      <c r="A166" s="99">
        <v>164</v>
      </c>
      <c r="B166" s="98" t="s">
        <v>431</v>
      </c>
      <c r="C166" s="97" t="s">
        <v>54</v>
      </c>
      <c r="D166" s="98" t="s">
        <v>84</v>
      </c>
      <c r="E166" s="92" t="s">
        <v>68</v>
      </c>
      <c r="F166" s="99">
        <v>1</v>
      </c>
      <c r="G166" s="92" t="s">
        <v>69</v>
      </c>
      <c r="H166" s="92" t="s">
        <v>432</v>
      </c>
      <c r="I166" s="114"/>
      <c r="J166" s="111"/>
      <c r="K166" s="111"/>
      <c r="L166" s="94">
        <v>0</v>
      </c>
      <c r="M166" s="94" t="s">
        <v>61</v>
      </c>
      <c r="N166" s="94" t="s">
        <v>62</v>
      </c>
      <c r="O166" s="169"/>
      <c r="P166" s="169"/>
      <c r="Q166" s="169"/>
      <c r="R166" s="169"/>
      <c r="S166" s="156">
        <f>VLOOKUP(B166,'[2]62人'!$B:$R,17,FALSE)</f>
        <v>13</v>
      </c>
      <c r="T166" s="37">
        <v>0</v>
      </c>
      <c r="U166" s="170"/>
      <c r="V166" s="169"/>
      <c r="W166" s="169"/>
      <c r="X166" s="158">
        <f>VLOOKUP(B166,[4]考勤分析!$A:$I,4,FALSE)</f>
        <v>0.977686703088694</v>
      </c>
      <c r="Y166" s="90" t="b">
        <f>VLOOKUP(B166,[4]考勤分析!$A:$I,5,FALSE)</f>
        <v>0</v>
      </c>
      <c r="Z166" s="90">
        <f>VLOOKUP(B166,[4]考勤分析!$A:$I,6,FALSE)</f>
        <v>37</v>
      </c>
      <c r="AA166" s="90">
        <f>VLOOKUP(B166,[4]考勤分析!$A:$I,7,FALSE)</f>
        <v>19</v>
      </c>
      <c r="AB166" s="90">
        <f>VLOOKUP(B166,[4]考勤分析!$A:$I,8,FALSE)</f>
        <v>4</v>
      </c>
      <c r="AC166" s="90">
        <f>VLOOKUP(B166,[4]考勤分析!$A:$I,9,FALSE)</f>
        <v>1</v>
      </c>
      <c r="AD166" s="90">
        <v>0</v>
      </c>
      <c r="AE166" s="90">
        <v>0</v>
      </c>
      <c r="AF166" s="90">
        <v>0</v>
      </c>
      <c r="AG166" s="90">
        <v>1</v>
      </c>
      <c r="AH166" s="90">
        <v>0</v>
      </c>
      <c r="AI166" s="90">
        <v>0</v>
      </c>
      <c r="AJ166" s="90"/>
      <c r="AK166" s="90" t="str">
        <f>VLOOKUP(B166,[3]总表!$B:$W,22,FALSE)</f>
        <v>不饱和</v>
      </c>
      <c r="AL166" s="171"/>
      <c r="AM166" s="171"/>
      <c r="AN166" s="171"/>
      <c r="AO166" s="171"/>
      <c r="AP166" s="171"/>
      <c r="AQ166" s="171"/>
      <c r="AR166" s="171"/>
      <c r="AS166" s="171"/>
    </row>
    <row r="167" s="139" customFormat="1" spans="1:45">
      <c r="A167" s="99">
        <v>165</v>
      </c>
      <c r="B167" s="98" t="s">
        <v>433</v>
      </c>
      <c r="C167" s="97" t="s">
        <v>54</v>
      </c>
      <c r="D167" s="98" t="s">
        <v>75</v>
      </c>
      <c r="E167" s="92" t="s">
        <v>68</v>
      </c>
      <c r="F167" s="168">
        <v>4</v>
      </c>
      <c r="G167" s="92" t="s">
        <v>69</v>
      </c>
      <c r="H167" s="92" t="s">
        <v>186</v>
      </c>
      <c r="I167" s="114"/>
      <c r="J167" s="111"/>
      <c r="K167" s="111"/>
      <c r="L167" s="94">
        <v>1</v>
      </c>
      <c r="M167" s="94" t="s">
        <v>61</v>
      </c>
      <c r="N167" s="94" t="s">
        <v>62</v>
      </c>
      <c r="O167" s="169"/>
      <c r="P167" s="169"/>
      <c r="Q167" s="169"/>
      <c r="R167" s="169"/>
      <c r="S167" s="156">
        <f>VLOOKUP(B167,'[2]62人'!$B:$R,17,FALSE)</f>
        <v>3</v>
      </c>
      <c r="T167" s="37">
        <v>0</v>
      </c>
      <c r="U167" s="170"/>
      <c r="V167" s="169"/>
      <c r="W167" s="169"/>
      <c r="X167" s="158">
        <f>VLOOKUP(B167,[4]考勤分析!$A:$I,4,FALSE)</f>
        <v>0.427969034595156</v>
      </c>
      <c r="Y167" s="90" t="b">
        <f>VLOOKUP(B167,[4]考勤分析!$A:$I,5,FALSE)</f>
        <v>0</v>
      </c>
      <c r="Z167" s="90">
        <f>VLOOKUP(B167,[4]考勤分析!$A:$I,6,FALSE)</f>
        <v>55</v>
      </c>
      <c r="AA167" s="90">
        <f>VLOOKUP(B167,[4]考勤分析!$A:$I,7,FALSE)</f>
        <v>4</v>
      </c>
      <c r="AB167" s="90">
        <f>VLOOKUP(B167,[4]考勤分析!$A:$I,8,FALSE)</f>
        <v>0</v>
      </c>
      <c r="AC167" s="90">
        <f>VLOOKUP(B167,[4]考勤分析!$A:$I,9,FALSE)</f>
        <v>2</v>
      </c>
      <c r="AD167" s="90">
        <v>0</v>
      </c>
      <c r="AE167" s="90">
        <v>3</v>
      </c>
      <c r="AF167" s="90">
        <v>0</v>
      </c>
      <c r="AG167" s="90">
        <v>0</v>
      </c>
      <c r="AH167" s="90">
        <v>29</v>
      </c>
      <c r="AI167" s="90">
        <v>3</v>
      </c>
      <c r="AJ167" s="90"/>
      <c r="AK167" s="90" t="str">
        <f>VLOOKUP(B167,[3]总表!$B:$W,22,FALSE)</f>
        <v>不饱和</v>
      </c>
      <c r="AL167" s="171"/>
      <c r="AM167" s="171"/>
      <c r="AN167" s="171"/>
      <c r="AO167" s="171"/>
      <c r="AP167" s="171"/>
      <c r="AQ167" s="171"/>
      <c r="AR167" s="171"/>
      <c r="AS167" s="171"/>
    </row>
    <row r="168" s="139" customFormat="1" spans="1:45">
      <c r="A168" s="99">
        <v>166</v>
      </c>
      <c r="B168" s="98" t="s">
        <v>434</v>
      </c>
      <c r="C168" s="97" t="s">
        <v>54</v>
      </c>
      <c r="D168" s="98" t="s">
        <v>75</v>
      </c>
      <c r="E168" s="92" t="s">
        <v>56</v>
      </c>
      <c r="F168" s="168">
        <v>3</v>
      </c>
      <c r="G168" s="92" t="s">
        <v>69</v>
      </c>
      <c r="H168" s="92" t="s">
        <v>118</v>
      </c>
      <c r="I168" s="114"/>
      <c r="J168" s="111"/>
      <c r="K168" s="111"/>
      <c r="L168" s="94">
        <v>1</v>
      </c>
      <c r="M168" s="94" t="s">
        <v>61</v>
      </c>
      <c r="N168" s="94" t="s">
        <v>62</v>
      </c>
      <c r="O168" s="169"/>
      <c r="P168" s="169"/>
      <c r="Q168" s="169"/>
      <c r="R168" s="169"/>
      <c r="S168" s="156">
        <f>VLOOKUP(B168,'[2]62人'!$B:$R,17,FALSE)</f>
        <v>13</v>
      </c>
      <c r="T168" s="37">
        <v>1</v>
      </c>
      <c r="U168" s="170"/>
      <c r="V168" s="169"/>
      <c r="W168" s="169"/>
      <c r="X168" s="158">
        <f>VLOOKUP(B168,[4]考勤分析!$A:$I,4,FALSE)</f>
        <v>4.29600600599991</v>
      </c>
      <c r="Y168" s="90" t="b">
        <f>VLOOKUP(B168,[4]考勤分析!$A:$I,5,FALSE)</f>
        <v>1</v>
      </c>
      <c r="Z168" s="90">
        <f>VLOOKUP(B168,[4]考勤分析!$A:$I,6,FALSE)</f>
        <v>7</v>
      </c>
      <c r="AA168" s="90">
        <f>VLOOKUP(B168,[4]考勤分析!$A:$I,7,FALSE)</f>
        <v>21</v>
      </c>
      <c r="AB168" s="90">
        <f>VLOOKUP(B168,[4]考勤分析!$A:$I,8,FALSE)</f>
        <v>10</v>
      </c>
      <c r="AC168" s="90">
        <f>VLOOKUP(B168,[4]考勤分析!$A:$I,9,FALSE)</f>
        <v>36</v>
      </c>
      <c r="AD168" s="90">
        <v>0</v>
      </c>
      <c r="AE168" s="90">
        <v>1</v>
      </c>
      <c r="AF168" s="90">
        <v>2</v>
      </c>
      <c r="AG168" s="90">
        <v>1</v>
      </c>
      <c r="AH168" s="90">
        <v>3</v>
      </c>
      <c r="AI168" s="90">
        <v>6</v>
      </c>
      <c r="AJ168" s="90"/>
      <c r="AK168" s="90" t="str">
        <f>VLOOKUP(B168,[3]总表!$B:$W,22,FALSE)</f>
        <v>超负荷</v>
      </c>
      <c r="AL168" s="171"/>
      <c r="AM168" s="171"/>
      <c r="AN168" s="171"/>
      <c r="AO168" s="171"/>
      <c r="AP168" s="171"/>
      <c r="AQ168" s="171"/>
      <c r="AR168" s="171"/>
      <c r="AS168" s="171"/>
    </row>
    <row r="169" s="139" customFormat="1" spans="1:45">
      <c r="A169" s="99">
        <v>167</v>
      </c>
      <c r="B169" s="98" t="s">
        <v>435</v>
      </c>
      <c r="C169" s="97" t="s">
        <v>54</v>
      </c>
      <c r="D169" s="98" t="s">
        <v>75</v>
      </c>
      <c r="E169" s="92" t="s">
        <v>56</v>
      </c>
      <c r="F169" s="99">
        <f>VLOOKUP(B169,累计工龄!A:B,2,FALSE)</f>
        <v>1</v>
      </c>
      <c r="G169" s="92" t="s">
        <v>69</v>
      </c>
      <c r="H169" s="92" t="s">
        <v>201</v>
      </c>
      <c r="I169" s="114"/>
      <c r="J169" s="111"/>
      <c r="K169" s="111"/>
      <c r="L169" s="94">
        <v>1</v>
      </c>
      <c r="M169" s="94" t="s">
        <v>61</v>
      </c>
      <c r="N169" s="94" t="s">
        <v>62</v>
      </c>
      <c r="O169" s="169"/>
      <c r="P169" s="169"/>
      <c r="Q169" s="169"/>
      <c r="R169" s="169"/>
      <c r="S169" s="156">
        <f>VLOOKUP(B169,'[2]62人'!$B:$R,17,FALSE)</f>
        <v>13</v>
      </c>
      <c r="T169" s="37">
        <v>0</v>
      </c>
      <c r="U169" s="170"/>
      <c r="V169" s="169"/>
      <c r="W169" s="169"/>
      <c r="X169" s="158">
        <f>VLOOKUP(B169,[4]考勤分析!$A:$I,4,FALSE)</f>
        <v>3.07728632478885</v>
      </c>
      <c r="Y169" s="90" t="b">
        <f>VLOOKUP(B169,[4]考勤分析!$A:$I,5,FALSE)</f>
        <v>1</v>
      </c>
      <c r="Z169" s="90">
        <f>VLOOKUP(B169,[4]考勤分析!$A:$I,6,FALSE)</f>
        <v>9</v>
      </c>
      <c r="AA169" s="90">
        <f>VLOOKUP(B169,[4]考勤分析!$A:$I,7,FALSE)</f>
        <v>23</v>
      </c>
      <c r="AB169" s="90">
        <f>VLOOKUP(B169,[4]考勤分析!$A:$I,8,FALSE)</f>
        <v>16</v>
      </c>
      <c r="AC169" s="90">
        <f>VLOOKUP(B169,[4]考勤分析!$A:$I,9,FALSE)</f>
        <v>17</v>
      </c>
      <c r="AD169" s="90">
        <v>0</v>
      </c>
      <c r="AE169" s="90">
        <v>2</v>
      </c>
      <c r="AF169" s="90">
        <v>1</v>
      </c>
      <c r="AG169" s="90">
        <v>1</v>
      </c>
      <c r="AH169" s="90">
        <v>11</v>
      </c>
      <c r="AI169" s="90">
        <v>64</v>
      </c>
      <c r="AJ169" s="90"/>
      <c r="AK169" s="90" t="str">
        <f>VLOOKUP(B169,[3]总表!$B:$W,22,FALSE)</f>
        <v>超负荷</v>
      </c>
      <c r="AL169" s="171"/>
      <c r="AM169" s="171"/>
      <c r="AN169" s="171"/>
      <c r="AO169" s="171"/>
      <c r="AP169" s="171"/>
      <c r="AQ169" s="171"/>
      <c r="AR169" s="171"/>
      <c r="AS169" s="171"/>
    </row>
    <row r="170" s="139" customFormat="1" spans="1:45">
      <c r="A170" s="99">
        <v>168</v>
      </c>
      <c r="B170" s="98" t="s">
        <v>436</v>
      </c>
      <c r="C170" s="97" t="s">
        <v>54</v>
      </c>
      <c r="D170" s="98" t="s">
        <v>75</v>
      </c>
      <c r="E170" s="92" t="s">
        <v>68</v>
      </c>
      <c r="F170" s="99">
        <f>VLOOKUP(B170,累计工龄!A:B,2,FALSE)</f>
        <v>1</v>
      </c>
      <c r="G170" s="92" t="s">
        <v>69</v>
      </c>
      <c r="H170" s="92" t="s">
        <v>186</v>
      </c>
      <c r="I170" s="114"/>
      <c r="J170" s="111"/>
      <c r="K170" s="111"/>
      <c r="L170" s="94">
        <v>1</v>
      </c>
      <c r="M170" s="94" t="s">
        <v>61</v>
      </c>
      <c r="N170" s="94" t="s">
        <v>62</v>
      </c>
      <c r="O170" s="169"/>
      <c r="P170" s="169"/>
      <c r="Q170" s="169"/>
      <c r="R170" s="169"/>
      <c r="S170" s="156">
        <f>VLOOKUP(B170,'[2]62人'!$B:$R,17,FALSE)</f>
        <v>10</v>
      </c>
      <c r="T170" s="37">
        <v>0</v>
      </c>
      <c r="U170" s="170"/>
      <c r="V170" s="169"/>
      <c r="W170" s="169"/>
      <c r="X170" s="158">
        <f>VLOOKUP(B170,[4]考勤分析!$A:$I,4,FALSE)</f>
        <v>3.37577114428599</v>
      </c>
      <c r="Y170" s="90" t="b">
        <f>VLOOKUP(B170,[4]考勤分析!$A:$I,5,FALSE)</f>
        <v>1</v>
      </c>
      <c r="Z170" s="90">
        <f>VLOOKUP(B170,[4]考勤分析!$A:$I,6,FALSE)</f>
        <v>18</v>
      </c>
      <c r="AA170" s="90">
        <f>VLOOKUP(B170,[4]考勤分析!$A:$I,7,FALSE)</f>
        <v>10</v>
      </c>
      <c r="AB170" s="90">
        <f>VLOOKUP(B170,[4]考勤分析!$A:$I,8,FALSE)</f>
        <v>7</v>
      </c>
      <c r="AC170" s="90">
        <f>VLOOKUP(B170,[4]考勤分析!$A:$I,9,FALSE)</f>
        <v>32</v>
      </c>
      <c r="AD170" s="90">
        <v>0</v>
      </c>
      <c r="AE170" s="90">
        <v>3</v>
      </c>
      <c r="AF170" s="90">
        <v>1</v>
      </c>
      <c r="AG170" s="90">
        <v>1</v>
      </c>
      <c r="AH170" s="90">
        <v>8</v>
      </c>
      <c r="AI170" s="90">
        <v>6</v>
      </c>
      <c r="AJ170" s="90"/>
      <c r="AK170" s="90" t="str">
        <f>VLOOKUP(B170,[3]总表!$B:$W,22,FALSE)</f>
        <v>适中</v>
      </c>
      <c r="AL170" s="171"/>
      <c r="AM170" s="171"/>
      <c r="AN170" s="171"/>
      <c r="AO170" s="171"/>
      <c r="AP170" s="171"/>
      <c r="AQ170" s="171"/>
      <c r="AR170" s="171"/>
      <c r="AS170" s="171"/>
    </row>
    <row r="171" s="139" customFormat="1" spans="1:45">
      <c r="A171" s="99">
        <v>169</v>
      </c>
      <c r="B171" s="98" t="s">
        <v>437</v>
      </c>
      <c r="C171" s="97" t="s">
        <v>171</v>
      </c>
      <c r="D171" s="98" t="s">
        <v>273</v>
      </c>
      <c r="E171" s="92" t="s">
        <v>56</v>
      </c>
      <c r="F171" s="168">
        <v>12</v>
      </c>
      <c r="G171" s="92" t="s">
        <v>69</v>
      </c>
      <c r="H171" s="92" t="s">
        <v>329</v>
      </c>
      <c r="I171" s="114" t="s">
        <v>275</v>
      </c>
      <c r="J171" s="111"/>
      <c r="K171" s="111"/>
      <c r="L171" s="94">
        <v>1</v>
      </c>
      <c r="M171" s="94" t="s">
        <v>273</v>
      </c>
      <c r="N171" s="94" t="s">
        <v>62</v>
      </c>
      <c r="O171" s="169"/>
      <c r="P171" s="169"/>
      <c r="Q171" s="169"/>
      <c r="R171" s="169"/>
      <c r="S171" s="156">
        <f>VLOOKUP(B171,'[2]62人'!$B:$R,17,FALSE)</f>
        <v>4</v>
      </c>
      <c r="T171" s="37">
        <v>0</v>
      </c>
      <c r="U171" s="170">
        <v>3</v>
      </c>
      <c r="V171" s="169"/>
      <c r="W171" s="169"/>
      <c r="X171" s="158">
        <f>VLOOKUP(B171,[4]考勤分析!$A:$I,4,FALSE)</f>
        <v>3.34025925924652</v>
      </c>
      <c r="Y171" s="90" t="b">
        <f>VLOOKUP(B171,[4]考勤分析!$A:$I,5,FALSE)</f>
        <v>1</v>
      </c>
      <c r="Z171" s="90">
        <f>VLOOKUP(B171,[4]考勤分析!$A:$I,6,FALSE)</f>
        <v>9</v>
      </c>
      <c r="AA171" s="90">
        <f>VLOOKUP(B171,[4]考勤分析!$A:$I,7,FALSE)</f>
        <v>4</v>
      </c>
      <c r="AB171" s="90">
        <f>VLOOKUP(B171,[4]考勤分析!$A:$I,8,FALSE)</f>
        <v>23</v>
      </c>
      <c r="AC171" s="90">
        <f>VLOOKUP(B171,[4]考勤分析!$A:$I,9,FALSE)</f>
        <v>24</v>
      </c>
      <c r="AD171" s="90">
        <v>0</v>
      </c>
      <c r="AE171" s="90">
        <v>0</v>
      </c>
      <c r="AF171" s="90">
        <v>0</v>
      </c>
      <c r="AG171" s="90">
        <v>0</v>
      </c>
      <c r="AH171" s="90">
        <v>0</v>
      </c>
      <c r="AI171" s="90">
        <v>0</v>
      </c>
      <c r="AJ171" s="90"/>
      <c r="AK171" s="90" t="e">
        <f>VLOOKUP(B171,[3]总表!$B:$W,22,FALSE)</f>
        <v>#N/A</v>
      </c>
      <c r="AL171" s="171"/>
      <c r="AM171" s="171"/>
      <c r="AN171" s="171"/>
      <c r="AO171" s="171"/>
      <c r="AP171" s="171"/>
      <c r="AQ171" s="171"/>
      <c r="AR171" s="171"/>
      <c r="AS171" s="171"/>
    </row>
    <row r="172" s="139" customFormat="1" spans="1:45">
      <c r="A172" s="99">
        <v>170</v>
      </c>
      <c r="B172" s="98" t="s">
        <v>438</v>
      </c>
      <c r="C172" s="97" t="s">
        <v>171</v>
      </c>
      <c r="D172" s="98" t="s">
        <v>172</v>
      </c>
      <c r="E172" s="92" t="s">
        <v>68</v>
      </c>
      <c r="F172" s="168">
        <v>4</v>
      </c>
      <c r="G172" s="92" t="s">
        <v>69</v>
      </c>
      <c r="H172" s="92" t="s">
        <v>167</v>
      </c>
      <c r="I172" s="114"/>
      <c r="J172" s="111"/>
      <c r="K172" s="111"/>
      <c r="L172" s="94">
        <v>1</v>
      </c>
      <c r="M172" s="94" t="s">
        <v>151</v>
      </c>
      <c r="N172" s="94" t="s">
        <v>62</v>
      </c>
      <c r="O172" s="169"/>
      <c r="P172" s="169"/>
      <c r="Q172" s="169"/>
      <c r="R172" s="169"/>
      <c r="S172" s="156">
        <f>VLOOKUP(B172,'[2]62人'!$B:$R,17,FALSE)</f>
        <v>13</v>
      </c>
      <c r="T172" s="37">
        <v>6</v>
      </c>
      <c r="U172" s="170"/>
      <c r="V172" s="169"/>
      <c r="W172" s="169"/>
      <c r="X172" s="158">
        <f>VLOOKUP(B172,[4]考勤分析!$A:$I,4,FALSE)</f>
        <v>1.45773297491025</v>
      </c>
      <c r="Y172" s="90" t="b">
        <f>VLOOKUP(B172,[4]考勤分析!$A:$I,5,FALSE)</f>
        <v>0</v>
      </c>
      <c r="Z172" s="90">
        <f>VLOOKUP(B172,[4]考勤分析!$A:$I,6,FALSE)</f>
        <v>13</v>
      </c>
      <c r="AA172" s="90">
        <f>VLOOKUP(B172,[4]考勤分析!$A:$I,7,FALSE)</f>
        <v>37</v>
      </c>
      <c r="AB172" s="90">
        <f>VLOOKUP(B172,[4]考勤分析!$A:$I,8,FALSE)</f>
        <v>12</v>
      </c>
      <c r="AC172" s="90">
        <f>VLOOKUP(B172,[4]考勤分析!$A:$I,9,FALSE)</f>
        <v>0</v>
      </c>
      <c r="AD172" s="90">
        <v>0</v>
      </c>
      <c r="AE172" s="90">
        <v>0</v>
      </c>
      <c r="AF172" s="90">
        <v>0</v>
      </c>
      <c r="AG172" s="90">
        <v>0</v>
      </c>
      <c r="AH172" s="90">
        <v>0</v>
      </c>
      <c r="AI172" s="90">
        <v>0</v>
      </c>
      <c r="AJ172" s="90"/>
      <c r="AK172" s="90" t="e">
        <f>VLOOKUP(B172,[3]总表!$B:$W,22,FALSE)</f>
        <v>#N/A</v>
      </c>
      <c r="AL172" s="171"/>
      <c r="AM172" s="171"/>
      <c r="AN172" s="171"/>
      <c r="AO172" s="171"/>
      <c r="AP172" s="171"/>
      <c r="AQ172" s="171"/>
      <c r="AR172" s="171"/>
      <c r="AS172" s="171"/>
    </row>
    <row r="173" s="139" customFormat="1" spans="1:45">
      <c r="A173" s="99">
        <v>171</v>
      </c>
      <c r="B173" s="98" t="s">
        <v>439</v>
      </c>
      <c r="C173" s="97" t="s">
        <v>171</v>
      </c>
      <c r="D173" s="98" t="s">
        <v>172</v>
      </c>
      <c r="E173" s="92" t="s">
        <v>68</v>
      </c>
      <c r="F173" s="168">
        <v>4</v>
      </c>
      <c r="G173" s="92" t="s">
        <v>69</v>
      </c>
      <c r="H173" s="92" t="s">
        <v>210</v>
      </c>
      <c r="I173" s="114"/>
      <c r="J173" s="111"/>
      <c r="K173" s="111"/>
      <c r="L173" s="94">
        <v>1</v>
      </c>
      <c r="M173" s="94" t="s">
        <v>151</v>
      </c>
      <c r="N173" s="94" t="s">
        <v>62</v>
      </c>
      <c r="O173" s="169"/>
      <c r="P173" s="169"/>
      <c r="Q173" s="169"/>
      <c r="R173" s="169"/>
      <c r="S173" s="156">
        <f>VLOOKUP(B173,'[2]62人'!$B:$R,17,FALSE)</f>
        <v>12</v>
      </c>
      <c r="T173" s="37">
        <v>17</v>
      </c>
      <c r="U173" s="170">
        <v>1</v>
      </c>
      <c r="V173" s="169"/>
      <c r="W173" s="169"/>
      <c r="X173" s="158">
        <f>VLOOKUP(B173,[4]考勤分析!$A:$I,4,FALSE)</f>
        <v>1.14143897996849</v>
      </c>
      <c r="Y173" s="90" t="b">
        <f>VLOOKUP(B173,[4]考勤分析!$A:$I,5,FALSE)</f>
        <v>0</v>
      </c>
      <c r="Z173" s="90">
        <f>VLOOKUP(B173,[4]考勤分析!$A:$I,6,FALSE)</f>
        <v>24</v>
      </c>
      <c r="AA173" s="90">
        <f>VLOOKUP(B173,[4]考勤分析!$A:$I,7,FALSE)</f>
        <v>33</v>
      </c>
      <c r="AB173" s="90">
        <f>VLOOKUP(B173,[4]考勤分析!$A:$I,8,FALSE)</f>
        <v>4</v>
      </c>
      <c r="AC173" s="90">
        <f>VLOOKUP(B173,[4]考勤分析!$A:$I,9,FALSE)</f>
        <v>0</v>
      </c>
      <c r="AD173" s="90">
        <v>0</v>
      </c>
      <c r="AE173" s="90">
        <v>0</v>
      </c>
      <c r="AF173" s="90">
        <v>0</v>
      </c>
      <c r="AG173" s="90">
        <v>0</v>
      </c>
      <c r="AH173" s="90">
        <v>0</v>
      </c>
      <c r="AI173" s="90">
        <v>0</v>
      </c>
      <c r="AJ173" s="90"/>
      <c r="AK173" s="90" t="e">
        <f>VLOOKUP(B173,[3]总表!$B:$W,22,FALSE)</f>
        <v>#N/A</v>
      </c>
      <c r="AL173" s="171"/>
      <c r="AM173" s="171"/>
      <c r="AN173" s="171"/>
      <c r="AO173" s="171"/>
      <c r="AP173" s="171"/>
      <c r="AQ173" s="171"/>
      <c r="AR173" s="171"/>
      <c r="AS173" s="171"/>
    </row>
    <row r="174" s="139" customFormat="1" spans="1:45">
      <c r="A174" s="99">
        <v>172</v>
      </c>
      <c r="B174" s="98" t="s">
        <v>440</v>
      </c>
      <c r="C174" s="97" t="s">
        <v>171</v>
      </c>
      <c r="D174" s="98" t="s">
        <v>172</v>
      </c>
      <c r="E174" s="92" t="s">
        <v>68</v>
      </c>
      <c r="F174" s="168">
        <v>4</v>
      </c>
      <c r="G174" s="92" t="s">
        <v>69</v>
      </c>
      <c r="H174" s="92" t="s">
        <v>441</v>
      </c>
      <c r="I174" s="114"/>
      <c r="J174" s="111"/>
      <c r="K174" s="111"/>
      <c r="L174" s="94">
        <v>1</v>
      </c>
      <c r="M174" s="94" t="s">
        <v>151</v>
      </c>
      <c r="N174" s="94" t="s">
        <v>62</v>
      </c>
      <c r="O174" s="169"/>
      <c r="P174" s="169"/>
      <c r="Q174" s="169"/>
      <c r="R174" s="169"/>
      <c r="S174" s="156">
        <f>VLOOKUP(B174,'[2]62人'!$B:$R,17,FALSE)</f>
        <v>14</v>
      </c>
      <c r="T174" s="37">
        <v>9</v>
      </c>
      <c r="U174" s="170"/>
      <c r="V174" s="169"/>
      <c r="W174" s="169"/>
      <c r="X174" s="158">
        <f>VLOOKUP(B174,[4]考勤分析!$A:$I,4,FALSE)</f>
        <v>1.30510928962841</v>
      </c>
      <c r="Y174" s="90" t="b">
        <f>VLOOKUP(B174,[4]考勤分析!$A:$I,5,FALSE)</f>
        <v>0</v>
      </c>
      <c r="Z174" s="90">
        <f>VLOOKUP(B174,[4]考勤分析!$A:$I,6,FALSE)</f>
        <v>24</v>
      </c>
      <c r="AA174" s="90">
        <f>VLOOKUP(B174,[4]考勤分析!$A:$I,7,FALSE)</f>
        <v>29</v>
      </c>
      <c r="AB174" s="90">
        <f>VLOOKUP(B174,[4]考勤分析!$A:$I,8,FALSE)</f>
        <v>7</v>
      </c>
      <c r="AC174" s="90">
        <f>VLOOKUP(B174,[4]考勤分析!$A:$I,9,FALSE)</f>
        <v>1</v>
      </c>
      <c r="AD174" s="90">
        <v>0</v>
      </c>
      <c r="AE174" s="90">
        <v>2</v>
      </c>
      <c r="AF174" s="90">
        <v>0</v>
      </c>
      <c r="AG174" s="90">
        <v>0</v>
      </c>
      <c r="AH174" s="90">
        <v>0</v>
      </c>
      <c r="AI174" s="90">
        <v>0</v>
      </c>
      <c r="AJ174" s="90"/>
      <c r="AK174" s="90" t="e">
        <f>VLOOKUP(B174,[3]总表!$B:$W,22,FALSE)</f>
        <v>#N/A</v>
      </c>
      <c r="AL174" s="171"/>
      <c r="AM174" s="171"/>
      <c r="AN174" s="171"/>
      <c r="AO174" s="171"/>
      <c r="AP174" s="171"/>
      <c r="AQ174" s="171"/>
      <c r="AR174" s="171"/>
      <c r="AS174" s="171"/>
    </row>
    <row r="175" s="139" customFormat="1" ht="19" customHeight="1" spans="1:45">
      <c r="A175" s="99">
        <v>173</v>
      </c>
      <c r="B175" s="98" t="s">
        <v>442</v>
      </c>
      <c r="C175" s="97" t="s">
        <v>171</v>
      </c>
      <c r="D175" s="98" t="s">
        <v>172</v>
      </c>
      <c r="E175" s="92" t="s">
        <v>68</v>
      </c>
      <c r="F175" s="168">
        <v>4</v>
      </c>
      <c r="G175" s="92" t="s">
        <v>69</v>
      </c>
      <c r="H175" s="92" t="s">
        <v>246</v>
      </c>
      <c r="I175" s="114"/>
      <c r="J175" s="111"/>
      <c r="K175" s="111"/>
      <c r="L175" s="94">
        <v>1</v>
      </c>
      <c r="M175" s="94" t="s">
        <v>151</v>
      </c>
      <c r="N175" s="94" t="s">
        <v>62</v>
      </c>
      <c r="O175" s="169"/>
      <c r="P175" s="169" t="s">
        <v>168</v>
      </c>
      <c r="Q175" s="169"/>
      <c r="R175" s="169" t="s">
        <v>220</v>
      </c>
      <c r="S175" s="156">
        <f>VLOOKUP(B175,'[2]62人'!$B:$R,17,FALSE)</f>
        <v>12</v>
      </c>
      <c r="T175" s="37">
        <v>1</v>
      </c>
      <c r="U175" s="170"/>
      <c r="V175" s="169"/>
      <c r="W175" s="169"/>
      <c r="X175" s="158">
        <f>VLOOKUP(B175,[4]考勤分析!$A:$I,4,FALSE)</f>
        <v>2.97723118280016</v>
      </c>
      <c r="Y175" s="90" t="b">
        <f>VLOOKUP(B175,[4]考勤分析!$A:$I,5,FALSE)</f>
        <v>1</v>
      </c>
      <c r="Z175" s="90">
        <f>VLOOKUP(B175,[4]考勤分析!$A:$I,6,FALSE)</f>
        <v>1</v>
      </c>
      <c r="AA175" s="90">
        <f>VLOOKUP(B175,[4]考勤分析!$A:$I,7,FALSE)</f>
        <v>19</v>
      </c>
      <c r="AB175" s="90">
        <f>VLOOKUP(B175,[4]考勤分析!$A:$I,8,FALSE)</f>
        <v>33</v>
      </c>
      <c r="AC175" s="90">
        <f>VLOOKUP(B175,[4]考勤分析!$A:$I,9,FALSE)</f>
        <v>9</v>
      </c>
      <c r="AD175" s="90">
        <v>1</v>
      </c>
      <c r="AE175" s="90">
        <v>0</v>
      </c>
      <c r="AF175" s="90">
        <v>0</v>
      </c>
      <c r="AG175" s="90">
        <v>0</v>
      </c>
      <c r="AH175" s="90">
        <v>0</v>
      </c>
      <c r="AI175" s="90">
        <v>0</v>
      </c>
      <c r="AJ175" s="90"/>
      <c r="AK175" s="90" t="e">
        <f>VLOOKUP(B175,[3]总表!$B:$W,22,FALSE)</f>
        <v>#N/A</v>
      </c>
      <c r="AL175" s="171"/>
      <c r="AM175" s="171"/>
      <c r="AN175" s="171"/>
      <c r="AO175" s="171"/>
      <c r="AP175" s="171"/>
      <c r="AQ175" s="171"/>
      <c r="AR175" s="171"/>
      <c r="AS175" s="171"/>
    </row>
    <row r="176" s="139" customFormat="1" spans="1:45">
      <c r="A176" s="99">
        <v>174</v>
      </c>
      <c r="B176" s="98" t="s">
        <v>443</v>
      </c>
      <c r="C176" s="97" t="s">
        <v>171</v>
      </c>
      <c r="D176" s="98" t="s">
        <v>172</v>
      </c>
      <c r="E176" s="92" t="s">
        <v>68</v>
      </c>
      <c r="F176" s="168">
        <v>5</v>
      </c>
      <c r="G176" s="92" t="s">
        <v>69</v>
      </c>
      <c r="H176" s="92" t="s">
        <v>257</v>
      </c>
      <c r="I176" s="114"/>
      <c r="J176" s="111"/>
      <c r="K176" s="111"/>
      <c r="L176" s="94">
        <v>1</v>
      </c>
      <c r="M176" s="94" t="s">
        <v>151</v>
      </c>
      <c r="N176" s="94" t="s">
        <v>62</v>
      </c>
      <c r="O176" s="169"/>
      <c r="P176" s="169"/>
      <c r="Q176" s="169"/>
      <c r="R176" s="169"/>
      <c r="S176" s="156">
        <f>VLOOKUP(B176,'[2]62人'!$B:$R,17,FALSE)</f>
        <v>12</v>
      </c>
      <c r="T176" s="37">
        <v>0</v>
      </c>
      <c r="U176" s="170"/>
      <c r="V176" s="169"/>
      <c r="W176" s="169"/>
      <c r="X176" s="158">
        <f>VLOOKUP(B176,[4]考勤分析!$A:$I,4,FALSE)</f>
        <v>1.59520833333506</v>
      </c>
      <c r="Y176" s="90" t="b">
        <f>VLOOKUP(B176,[4]考勤分析!$A:$I,5,FALSE)</f>
        <v>0</v>
      </c>
      <c r="Z176" s="90">
        <f>VLOOKUP(B176,[4]考勤分析!$A:$I,6,FALSE)</f>
        <v>24</v>
      </c>
      <c r="AA176" s="90">
        <f>VLOOKUP(B176,[4]考勤分析!$A:$I,7,FALSE)</f>
        <v>23</v>
      </c>
      <c r="AB176" s="90">
        <f>VLOOKUP(B176,[4]考勤分析!$A:$I,8,FALSE)</f>
        <v>1</v>
      </c>
      <c r="AC176" s="90">
        <f>VLOOKUP(B176,[4]考勤分析!$A:$I,9,FALSE)</f>
        <v>4</v>
      </c>
      <c r="AD176" s="90">
        <v>0</v>
      </c>
      <c r="AE176" s="90">
        <v>0</v>
      </c>
      <c r="AF176" s="90">
        <v>0</v>
      </c>
      <c r="AG176" s="90">
        <v>0</v>
      </c>
      <c r="AH176" s="90">
        <v>0</v>
      </c>
      <c r="AI176" s="90">
        <v>0</v>
      </c>
      <c r="AJ176" s="90"/>
      <c r="AK176" s="90" t="e">
        <f>VLOOKUP(B176,[3]总表!$B:$W,22,FALSE)</f>
        <v>#N/A</v>
      </c>
      <c r="AL176" s="171"/>
      <c r="AM176" s="171"/>
      <c r="AN176" s="171"/>
      <c r="AO176" s="171"/>
      <c r="AP176" s="171"/>
      <c r="AQ176" s="171"/>
      <c r="AR176" s="171"/>
      <c r="AS176" s="171"/>
    </row>
    <row r="177" s="139" customFormat="1" ht="17" customHeight="1" spans="1:45">
      <c r="A177" s="99">
        <v>175</v>
      </c>
      <c r="B177" s="98" t="s">
        <v>444</v>
      </c>
      <c r="C177" s="97" t="s">
        <v>171</v>
      </c>
      <c r="D177" s="98" t="s">
        <v>172</v>
      </c>
      <c r="E177" s="92" t="s">
        <v>56</v>
      </c>
      <c r="F177" s="99">
        <f>VLOOKUP(B177,累计工龄!A:B,2,FALSE)</f>
        <v>1</v>
      </c>
      <c r="G177" s="92" t="s">
        <v>69</v>
      </c>
      <c r="H177" s="92" t="s">
        <v>81</v>
      </c>
      <c r="I177" s="114"/>
      <c r="J177" s="111"/>
      <c r="K177" s="111"/>
      <c r="L177" s="94">
        <v>1</v>
      </c>
      <c r="M177" s="94" t="s">
        <v>151</v>
      </c>
      <c r="N177" s="94" t="s">
        <v>62</v>
      </c>
      <c r="O177" s="169"/>
      <c r="P177" s="169"/>
      <c r="Q177" s="169"/>
      <c r="R177" s="169" t="s">
        <v>445</v>
      </c>
      <c r="S177" s="156">
        <f>VLOOKUP(B177,'[2]62人'!$B:$R,17,FALSE)</f>
        <v>13</v>
      </c>
      <c r="T177" s="37">
        <v>9</v>
      </c>
      <c r="U177" s="170"/>
      <c r="V177" s="169"/>
      <c r="W177" s="169"/>
      <c r="X177" s="158">
        <f>VLOOKUP(B177,[4]考勤分析!$A:$I,4,FALSE)</f>
        <v>1.9406922398512</v>
      </c>
      <c r="Y177" s="90" t="b">
        <f>VLOOKUP(B177,[4]考勤分析!$A:$I,5,FALSE)</f>
        <v>1</v>
      </c>
      <c r="Z177" s="90">
        <f>VLOOKUP(B177,[4]考勤分析!$A:$I,6,FALSE)</f>
        <v>22</v>
      </c>
      <c r="AA177" s="90">
        <f>VLOOKUP(B177,[4]考勤分析!$A:$I,7,FALSE)</f>
        <v>21</v>
      </c>
      <c r="AB177" s="90">
        <f>VLOOKUP(B177,[4]考勤分析!$A:$I,8,FALSE)</f>
        <v>8</v>
      </c>
      <c r="AC177" s="90">
        <f>VLOOKUP(B177,[4]考勤分析!$A:$I,9,FALSE)</f>
        <v>12</v>
      </c>
      <c r="AD177" s="90">
        <v>0</v>
      </c>
      <c r="AE177" s="90">
        <v>0</v>
      </c>
      <c r="AF177" s="90">
        <v>0</v>
      </c>
      <c r="AG177" s="90">
        <v>0</v>
      </c>
      <c r="AH177" s="90">
        <v>0</v>
      </c>
      <c r="AI177" s="90">
        <v>0</v>
      </c>
      <c r="AJ177" s="90"/>
      <c r="AK177" s="90" t="e">
        <f>VLOOKUP(B177,[3]总表!$B:$W,22,FALSE)</f>
        <v>#N/A</v>
      </c>
      <c r="AL177" s="171"/>
      <c r="AM177" s="171"/>
      <c r="AN177" s="171"/>
      <c r="AO177" s="171"/>
      <c r="AP177" s="171"/>
      <c r="AQ177" s="171"/>
      <c r="AR177" s="171"/>
      <c r="AS177" s="171"/>
    </row>
    <row r="178" s="139" customFormat="1" spans="1:45">
      <c r="A178" s="99">
        <v>176</v>
      </c>
      <c r="B178" s="98" t="s">
        <v>446</v>
      </c>
      <c r="C178" s="97" t="s">
        <v>171</v>
      </c>
      <c r="D178" s="98" t="s">
        <v>447</v>
      </c>
      <c r="E178" s="92" t="s">
        <v>68</v>
      </c>
      <c r="F178" s="168">
        <v>4</v>
      </c>
      <c r="G178" s="92" t="s">
        <v>69</v>
      </c>
      <c r="H178" s="92" t="s">
        <v>327</v>
      </c>
      <c r="I178" s="114"/>
      <c r="J178" s="111"/>
      <c r="K178" s="111"/>
      <c r="L178" s="94">
        <v>0</v>
      </c>
      <c r="M178" s="94" t="s">
        <v>180</v>
      </c>
      <c r="N178" s="94" t="s">
        <v>62</v>
      </c>
      <c r="O178" s="169"/>
      <c r="P178" s="169"/>
      <c r="Q178" s="169"/>
      <c r="R178" s="169"/>
      <c r="S178" s="156">
        <f>VLOOKUP(B178,'[2]62人'!$B:$R,17,FALSE)</f>
        <v>12</v>
      </c>
      <c r="T178" s="37">
        <v>2</v>
      </c>
      <c r="U178" s="170"/>
      <c r="V178" s="169"/>
      <c r="W178" s="169"/>
      <c r="X178" s="158">
        <f>VLOOKUP(B178,[4]考勤分析!$A:$I,4,FALSE)</f>
        <v>2.20330687831267</v>
      </c>
      <c r="Y178" s="90" t="b">
        <f>VLOOKUP(B178,[4]考勤分析!$A:$I,5,FALSE)</f>
        <v>1</v>
      </c>
      <c r="Z178" s="90">
        <f>VLOOKUP(B178,[4]考勤分析!$A:$I,6,FALSE)</f>
        <v>8</v>
      </c>
      <c r="AA178" s="90">
        <f>VLOOKUP(B178,[4]考勤分析!$A:$I,7,FALSE)</f>
        <v>29</v>
      </c>
      <c r="AB178" s="90">
        <f>VLOOKUP(B178,[4]考勤分析!$A:$I,8,FALSE)</f>
        <v>19</v>
      </c>
      <c r="AC178" s="90">
        <f>VLOOKUP(B178,[4]考勤分析!$A:$I,9,FALSE)</f>
        <v>7</v>
      </c>
      <c r="AD178" s="90">
        <v>0</v>
      </c>
      <c r="AE178" s="90">
        <v>0</v>
      </c>
      <c r="AF178" s="90">
        <v>0</v>
      </c>
      <c r="AG178" s="90">
        <v>0</v>
      </c>
      <c r="AH178" s="90">
        <v>0</v>
      </c>
      <c r="AI178" s="90">
        <v>0</v>
      </c>
      <c r="AJ178" s="90"/>
      <c r="AK178" s="90" t="e">
        <f>VLOOKUP(B178,[3]总表!$B:$W,22,FALSE)</f>
        <v>#N/A</v>
      </c>
      <c r="AL178" s="171"/>
      <c r="AM178" s="171"/>
      <c r="AN178" s="171"/>
      <c r="AO178" s="171"/>
      <c r="AP178" s="171"/>
      <c r="AQ178" s="171"/>
      <c r="AR178" s="171"/>
      <c r="AS178" s="171"/>
    </row>
    <row r="179" s="139" customFormat="1" spans="1:45">
      <c r="A179" s="99">
        <v>177</v>
      </c>
      <c r="B179" s="98" t="s">
        <v>448</v>
      </c>
      <c r="C179" s="97" t="s">
        <v>171</v>
      </c>
      <c r="D179" s="98" t="s">
        <v>447</v>
      </c>
      <c r="E179" s="92" t="s">
        <v>68</v>
      </c>
      <c r="F179" s="168">
        <v>9</v>
      </c>
      <c r="G179" s="92" t="s">
        <v>69</v>
      </c>
      <c r="H179" s="92" t="s">
        <v>194</v>
      </c>
      <c r="I179" s="114"/>
      <c r="J179" s="111"/>
      <c r="K179" s="111"/>
      <c r="L179" s="94">
        <v>0</v>
      </c>
      <c r="M179" s="94" t="s">
        <v>180</v>
      </c>
      <c r="N179" s="94" t="s">
        <v>71</v>
      </c>
      <c r="O179" s="169"/>
      <c r="P179" s="169"/>
      <c r="Q179" s="169"/>
      <c r="R179" s="169"/>
      <c r="S179" s="156">
        <f>VLOOKUP(B179,'[2]62人'!$B:$R,17,FALSE)</f>
        <v>12</v>
      </c>
      <c r="T179" s="37">
        <v>4</v>
      </c>
      <c r="U179" s="170"/>
      <c r="V179" s="169"/>
      <c r="W179" s="169"/>
      <c r="X179" s="158">
        <f>VLOOKUP(B179,[4]考勤分析!$A:$I,4,FALSE)</f>
        <v>1.57172839505975</v>
      </c>
      <c r="Y179" s="90" t="b">
        <f>VLOOKUP(B179,[4]考勤分析!$A:$I,5,FALSE)</f>
        <v>0</v>
      </c>
      <c r="Z179" s="90">
        <f>VLOOKUP(B179,[4]考勤分析!$A:$I,6,FALSE)</f>
        <v>9</v>
      </c>
      <c r="AA179" s="90">
        <f>VLOOKUP(B179,[4]考勤分析!$A:$I,7,FALSE)</f>
        <v>42</v>
      </c>
      <c r="AB179" s="90">
        <f>VLOOKUP(B179,[4]考勤分析!$A:$I,8,FALSE)</f>
        <v>10</v>
      </c>
      <c r="AC179" s="90">
        <f>VLOOKUP(B179,[4]考勤分析!$A:$I,9,FALSE)</f>
        <v>2</v>
      </c>
      <c r="AD179" s="90">
        <v>0</v>
      </c>
      <c r="AE179" s="90">
        <v>0</v>
      </c>
      <c r="AF179" s="90">
        <v>0</v>
      </c>
      <c r="AG179" s="90">
        <v>0</v>
      </c>
      <c r="AH179" s="90">
        <v>0</v>
      </c>
      <c r="AI179" s="90">
        <v>0</v>
      </c>
      <c r="AJ179" s="90"/>
      <c r="AK179" s="90" t="e">
        <f>VLOOKUP(B179,[3]总表!$B:$W,22,FALSE)</f>
        <v>#N/A</v>
      </c>
      <c r="AL179" s="171"/>
      <c r="AM179" s="171"/>
      <c r="AN179" s="171"/>
      <c r="AO179" s="171"/>
      <c r="AP179" s="171"/>
      <c r="AQ179" s="171"/>
      <c r="AR179" s="171"/>
      <c r="AS179" s="171"/>
    </row>
    <row r="180" s="139" customFormat="1" spans="1:45">
      <c r="A180" s="99">
        <v>178</v>
      </c>
      <c r="B180" s="98" t="s">
        <v>449</v>
      </c>
      <c r="C180" s="97" t="s">
        <v>171</v>
      </c>
      <c r="D180" s="98" t="s">
        <v>447</v>
      </c>
      <c r="E180" s="92" t="s">
        <v>56</v>
      </c>
      <c r="F180" s="168">
        <v>3</v>
      </c>
      <c r="G180" s="92" t="s">
        <v>69</v>
      </c>
      <c r="H180" s="92" t="s">
        <v>410</v>
      </c>
      <c r="I180" s="114"/>
      <c r="J180" s="111"/>
      <c r="K180" s="111"/>
      <c r="L180" s="94">
        <v>0</v>
      </c>
      <c r="M180" s="94" t="s">
        <v>180</v>
      </c>
      <c r="N180" s="94" t="s">
        <v>62</v>
      </c>
      <c r="O180" s="169"/>
      <c r="P180" s="169"/>
      <c r="Q180" s="169"/>
      <c r="R180" s="169"/>
      <c r="S180" s="156">
        <f>VLOOKUP(B180,'[2]62人'!$B:$R,17,FALSE)</f>
        <v>10</v>
      </c>
      <c r="T180" s="37">
        <v>15</v>
      </c>
      <c r="U180" s="170"/>
      <c r="V180" s="169"/>
      <c r="W180" s="169"/>
      <c r="X180" s="158">
        <f>VLOOKUP(B180,[4]考勤分析!$A:$I,4,FALSE)</f>
        <v>1.22154166667412</v>
      </c>
      <c r="Y180" s="90" t="b">
        <f>VLOOKUP(B180,[4]考勤分析!$A:$I,5,FALSE)</f>
        <v>0</v>
      </c>
      <c r="Z180" s="90">
        <f>VLOOKUP(B180,[4]考勤分析!$A:$I,6,FALSE)</f>
        <v>13</v>
      </c>
      <c r="AA180" s="90">
        <f>VLOOKUP(B180,[4]考勤分析!$A:$I,7,FALSE)</f>
        <v>44</v>
      </c>
      <c r="AB180" s="90">
        <f>VLOOKUP(B180,[4]考勤分析!$A:$I,8,FALSE)</f>
        <v>3</v>
      </c>
      <c r="AC180" s="90">
        <f>VLOOKUP(B180,[4]考勤分析!$A:$I,9,FALSE)</f>
        <v>0</v>
      </c>
      <c r="AD180" s="90">
        <v>0</v>
      </c>
      <c r="AE180" s="90">
        <v>0</v>
      </c>
      <c r="AF180" s="90">
        <v>0</v>
      </c>
      <c r="AG180" s="90">
        <v>0</v>
      </c>
      <c r="AH180" s="90">
        <v>0</v>
      </c>
      <c r="AI180" s="90">
        <v>0</v>
      </c>
      <c r="AJ180" s="90"/>
      <c r="AK180" s="90" t="e">
        <f>VLOOKUP(B180,[3]总表!$B:$W,22,FALSE)</f>
        <v>#N/A</v>
      </c>
      <c r="AL180" s="171"/>
      <c r="AM180" s="171"/>
      <c r="AN180" s="171"/>
      <c r="AO180" s="171"/>
      <c r="AP180" s="171"/>
      <c r="AQ180" s="171"/>
      <c r="AR180" s="171"/>
      <c r="AS180" s="171"/>
    </row>
    <row r="181" s="139" customFormat="1" ht="43.2" spans="1:45">
      <c r="A181" s="99">
        <v>179</v>
      </c>
      <c r="B181" s="98" t="s">
        <v>450</v>
      </c>
      <c r="C181" s="97" t="s">
        <v>171</v>
      </c>
      <c r="D181" s="98" t="s">
        <v>447</v>
      </c>
      <c r="E181" s="92" t="s">
        <v>68</v>
      </c>
      <c r="F181" s="168">
        <v>3</v>
      </c>
      <c r="G181" s="92" t="s">
        <v>69</v>
      </c>
      <c r="H181" s="92" t="s">
        <v>410</v>
      </c>
      <c r="I181" s="114"/>
      <c r="J181" s="111"/>
      <c r="K181" s="111"/>
      <c r="L181" s="94">
        <v>0</v>
      </c>
      <c r="M181" s="94" t="s">
        <v>180</v>
      </c>
      <c r="N181" s="94" t="s">
        <v>62</v>
      </c>
      <c r="O181" s="169"/>
      <c r="P181" s="169"/>
      <c r="Q181" s="169"/>
      <c r="R181" s="169" t="s">
        <v>362</v>
      </c>
      <c r="S181" s="156">
        <f>VLOOKUP(B181,'[2]62人'!$B:$R,17,FALSE)</f>
        <v>13</v>
      </c>
      <c r="T181" s="37">
        <v>1</v>
      </c>
      <c r="U181" s="170"/>
      <c r="V181" s="169"/>
      <c r="W181" s="169"/>
      <c r="X181" s="158">
        <f>VLOOKUP(B181,[4]考勤分析!$A:$I,4,FALSE)</f>
        <v>1.47376792113796</v>
      </c>
      <c r="Y181" s="90" t="b">
        <f>VLOOKUP(B181,[4]考勤分析!$A:$I,5,FALSE)</f>
        <v>0</v>
      </c>
      <c r="Z181" s="90">
        <f>VLOOKUP(B181,[4]考勤分析!$A:$I,6,FALSE)</f>
        <v>10</v>
      </c>
      <c r="AA181" s="90">
        <f>VLOOKUP(B181,[4]考勤分析!$A:$I,7,FALSE)</f>
        <v>42</v>
      </c>
      <c r="AB181" s="90">
        <f>VLOOKUP(B181,[4]考勤分析!$A:$I,8,FALSE)</f>
        <v>10</v>
      </c>
      <c r="AC181" s="90">
        <f>VLOOKUP(B181,[4]考勤分析!$A:$I,9,FALSE)</f>
        <v>0</v>
      </c>
      <c r="AD181" s="90">
        <v>0</v>
      </c>
      <c r="AE181" s="90">
        <v>0</v>
      </c>
      <c r="AF181" s="90">
        <v>0</v>
      </c>
      <c r="AG181" s="90">
        <v>0</v>
      </c>
      <c r="AH181" s="90">
        <v>0</v>
      </c>
      <c r="AI181" s="90">
        <v>0</v>
      </c>
      <c r="AJ181" s="90"/>
      <c r="AK181" s="90" t="e">
        <f>VLOOKUP(B181,[3]总表!$B:$W,22,FALSE)</f>
        <v>#N/A</v>
      </c>
      <c r="AL181" s="171"/>
      <c r="AM181" s="171"/>
      <c r="AN181" s="171"/>
      <c r="AO181" s="171"/>
      <c r="AP181" s="171"/>
      <c r="AQ181" s="171"/>
      <c r="AR181" s="171"/>
      <c r="AS181" s="171"/>
    </row>
    <row r="182" s="139" customFormat="1" spans="1:45">
      <c r="A182" s="99">
        <v>180</v>
      </c>
      <c r="B182" s="98" t="s">
        <v>451</v>
      </c>
      <c r="C182" s="97" t="s">
        <v>171</v>
      </c>
      <c r="D182" s="98" t="s">
        <v>447</v>
      </c>
      <c r="E182" s="92" t="s">
        <v>68</v>
      </c>
      <c r="F182" s="168">
        <v>3</v>
      </c>
      <c r="G182" s="92" t="s">
        <v>69</v>
      </c>
      <c r="H182" s="92" t="s">
        <v>452</v>
      </c>
      <c r="I182" s="114"/>
      <c r="J182" s="111"/>
      <c r="K182" s="111"/>
      <c r="L182" s="94">
        <v>2</v>
      </c>
      <c r="M182" s="94" t="s">
        <v>180</v>
      </c>
      <c r="N182" s="94" t="s">
        <v>62</v>
      </c>
      <c r="O182" s="169"/>
      <c r="P182" s="169"/>
      <c r="Q182" s="169"/>
      <c r="R182" s="169"/>
      <c r="S182" s="156">
        <f>VLOOKUP(B182,'[2]62人'!$B:$R,17,FALSE)</f>
        <v>11</v>
      </c>
      <c r="T182" s="37">
        <v>1</v>
      </c>
      <c r="U182" s="170"/>
      <c r="V182" s="169"/>
      <c r="W182" s="169"/>
      <c r="X182" s="158">
        <f>VLOOKUP(B182,[4]考勤分析!$A:$I,4,FALSE)</f>
        <v>1.62531481484475</v>
      </c>
      <c r="Y182" s="90" t="b">
        <f>VLOOKUP(B182,[4]考勤分析!$A:$I,5,FALSE)</f>
        <v>0</v>
      </c>
      <c r="Z182" s="90">
        <f>VLOOKUP(B182,[4]考勤分析!$A:$I,6,FALSE)</f>
        <v>12</v>
      </c>
      <c r="AA182" s="90">
        <f>VLOOKUP(B182,[4]考勤分析!$A:$I,7,FALSE)</f>
        <v>34</v>
      </c>
      <c r="AB182" s="90">
        <f>VLOOKUP(B182,[4]考勤分析!$A:$I,8,FALSE)</f>
        <v>14</v>
      </c>
      <c r="AC182" s="90">
        <f>VLOOKUP(B182,[4]考勤分析!$A:$I,9,FALSE)</f>
        <v>0</v>
      </c>
      <c r="AD182" s="90">
        <v>0</v>
      </c>
      <c r="AE182" s="90">
        <v>0</v>
      </c>
      <c r="AF182" s="90">
        <v>0</v>
      </c>
      <c r="AG182" s="90">
        <v>0</v>
      </c>
      <c r="AH182" s="90">
        <v>0</v>
      </c>
      <c r="AI182" s="90">
        <v>0</v>
      </c>
      <c r="AJ182" s="90"/>
      <c r="AK182" s="90" t="e">
        <f>VLOOKUP(B182,[3]总表!$B:$W,22,FALSE)</f>
        <v>#N/A</v>
      </c>
      <c r="AL182" s="171"/>
      <c r="AM182" s="171"/>
      <c r="AN182" s="171"/>
      <c r="AO182" s="171"/>
      <c r="AP182" s="171"/>
      <c r="AQ182" s="171"/>
      <c r="AR182" s="171"/>
      <c r="AS182" s="171"/>
    </row>
    <row r="183" s="139" customFormat="1" spans="1:45">
      <c r="A183" s="99">
        <v>181</v>
      </c>
      <c r="B183" s="96" t="s">
        <v>453</v>
      </c>
      <c r="C183" s="97" t="s">
        <v>171</v>
      </c>
      <c r="D183" s="98" t="s">
        <v>447</v>
      </c>
      <c r="E183" s="133"/>
      <c r="F183" s="168"/>
      <c r="G183" s="92" t="s">
        <v>69</v>
      </c>
      <c r="H183" s="92" t="s">
        <v>201</v>
      </c>
      <c r="I183" s="114"/>
      <c r="J183" s="111"/>
      <c r="K183" s="111"/>
      <c r="L183" s="152">
        <v>3</v>
      </c>
      <c r="M183" s="94" t="s">
        <v>180</v>
      </c>
      <c r="N183" s="94" t="s">
        <v>62</v>
      </c>
      <c r="O183" s="169"/>
      <c r="P183" s="169"/>
      <c r="Q183" s="169"/>
      <c r="R183" s="169"/>
      <c r="S183" s="156">
        <f>VLOOKUP(B183,'[2]62人'!$B:$R,17,FALSE)</f>
        <v>1</v>
      </c>
      <c r="T183" s="37">
        <v>0</v>
      </c>
      <c r="U183" s="170"/>
      <c r="V183" s="169"/>
      <c r="W183" s="169"/>
      <c r="X183" s="158">
        <f>VLOOKUP(B183,[4]考勤分析!$A:$I,4,FALSE)</f>
        <v>1.1226064814924</v>
      </c>
      <c r="Y183" s="90" t="b">
        <f>VLOOKUP(B183,[4]考勤分析!$A:$I,5,FALSE)</f>
        <v>0</v>
      </c>
      <c r="Z183" s="90">
        <f>VLOOKUP(B183,[4]考勤分析!$A:$I,6,FALSE)</f>
        <v>30</v>
      </c>
      <c r="AA183" s="90">
        <f>VLOOKUP(B183,[4]考勤分析!$A:$I,7,FALSE)</f>
        <v>24</v>
      </c>
      <c r="AB183" s="90">
        <f>VLOOKUP(B183,[4]考勤分析!$A:$I,8,FALSE)</f>
        <v>6</v>
      </c>
      <c r="AC183" s="90">
        <f>VLOOKUP(B183,[4]考勤分析!$A:$I,9,FALSE)</f>
        <v>0</v>
      </c>
      <c r="AD183" s="90">
        <v>0</v>
      </c>
      <c r="AE183" s="90">
        <v>0</v>
      </c>
      <c r="AF183" s="90">
        <v>0</v>
      </c>
      <c r="AG183" s="90">
        <v>0</v>
      </c>
      <c r="AH183" s="90">
        <v>0</v>
      </c>
      <c r="AI183" s="90">
        <v>0</v>
      </c>
      <c r="AJ183" s="90"/>
      <c r="AK183" s="90" t="e">
        <f>VLOOKUP(B183,[3]总表!$B:$W,22,FALSE)</f>
        <v>#N/A</v>
      </c>
      <c r="AL183" s="171"/>
      <c r="AM183" s="171"/>
      <c r="AN183" s="171"/>
      <c r="AO183" s="171"/>
      <c r="AP183" s="171"/>
      <c r="AQ183" s="171"/>
      <c r="AR183" s="171"/>
      <c r="AS183" s="171"/>
    </row>
    <row r="184" s="139" customFormat="1" spans="1:45">
      <c r="A184" s="99">
        <v>182</v>
      </c>
      <c r="B184" s="98" t="s">
        <v>454</v>
      </c>
      <c r="C184" s="97" t="s">
        <v>171</v>
      </c>
      <c r="D184" s="98" t="s">
        <v>185</v>
      </c>
      <c r="E184" s="92" t="s">
        <v>68</v>
      </c>
      <c r="F184" s="168">
        <v>24</v>
      </c>
      <c r="G184" s="92" t="s">
        <v>57</v>
      </c>
      <c r="H184" s="92" t="s">
        <v>141</v>
      </c>
      <c r="I184" s="114"/>
      <c r="J184" s="111"/>
      <c r="K184" s="111"/>
      <c r="L184" s="94">
        <v>1</v>
      </c>
      <c r="M184" s="94" t="s">
        <v>180</v>
      </c>
      <c r="N184" s="94" t="s">
        <v>62</v>
      </c>
      <c r="O184" s="169"/>
      <c r="P184" s="169"/>
      <c r="Q184" s="169"/>
      <c r="R184" s="169"/>
      <c r="S184" s="156">
        <f>VLOOKUP(B184,'[2]62人'!$B:$R,17,FALSE)</f>
        <v>7</v>
      </c>
      <c r="T184" s="37">
        <v>4</v>
      </c>
      <c r="U184" s="170"/>
      <c r="V184" s="169"/>
      <c r="W184" s="169"/>
      <c r="X184" s="158">
        <f>VLOOKUP(B184,[4]考勤分析!$A:$I,4,FALSE)</f>
        <v>1.77308159722452</v>
      </c>
      <c r="Y184" s="90" t="b">
        <f>VLOOKUP(B184,[4]考勤分析!$A:$I,5,FALSE)</f>
        <v>0</v>
      </c>
      <c r="Z184" s="90">
        <f>VLOOKUP(B184,[4]考勤分析!$A:$I,6,FALSE)</f>
        <v>9</v>
      </c>
      <c r="AA184" s="90">
        <f>VLOOKUP(B184,[4]考勤分析!$A:$I,7,FALSE)</f>
        <v>36</v>
      </c>
      <c r="AB184" s="90">
        <f>VLOOKUP(B184,[4]考勤分析!$A:$I,8,FALSE)</f>
        <v>16</v>
      </c>
      <c r="AC184" s="90">
        <f>VLOOKUP(B184,[4]考勤分析!$A:$I,9,FALSE)</f>
        <v>3</v>
      </c>
      <c r="AD184" s="90">
        <v>0</v>
      </c>
      <c r="AE184" s="90">
        <v>0</v>
      </c>
      <c r="AF184" s="90">
        <v>0</v>
      </c>
      <c r="AG184" s="90">
        <v>0</v>
      </c>
      <c r="AH184" s="90">
        <v>0</v>
      </c>
      <c r="AI184" s="90">
        <v>0</v>
      </c>
      <c r="AJ184" s="90"/>
      <c r="AK184" s="90" t="e">
        <f>VLOOKUP(B184,[3]总表!$B:$W,22,FALSE)</f>
        <v>#N/A</v>
      </c>
      <c r="AL184" s="171"/>
      <c r="AM184" s="171"/>
      <c r="AN184" s="171"/>
      <c r="AO184" s="171"/>
      <c r="AP184" s="171"/>
      <c r="AQ184" s="171"/>
      <c r="AR184" s="171"/>
      <c r="AS184" s="171"/>
    </row>
    <row r="185" s="139" customFormat="1" spans="1:45">
      <c r="A185" s="99">
        <v>183</v>
      </c>
      <c r="B185" s="98" t="s">
        <v>455</v>
      </c>
      <c r="C185" s="97" t="s">
        <v>171</v>
      </c>
      <c r="D185" s="98" t="s">
        <v>185</v>
      </c>
      <c r="E185" s="92" t="s">
        <v>68</v>
      </c>
      <c r="F185" s="168">
        <v>10</v>
      </c>
      <c r="G185" s="92" t="s">
        <v>57</v>
      </c>
      <c r="H185" s="92" t="s">
        <v>335</v>
      </c>
      <c r="I185" s="114"/>
      <c r="J185" s="111"/>
      <c r="K185" s="111"/>
      <c r="L185" s="94">
        <v>2</v>
      </c>
      <c r="M185" s="94" t="s">
        <v>180</v>
      </c>
      <c r="N185" s="94" t="s">
        <v>62</v>
      </c>
      <c r="O185" s="169"/>
      <c r="P185" s="169"/>
      <c r="Q185" s="169"/>
      <c r="R185" s="169"/>
      <c r="S185" s="156">
        <f>VLOOKUP(B185,'[2]62人'!$B:$R,17,FALSE)</f>
        <v>2</v>
      </c>
      <c r="T185" s="37">
        <v>0</v>
      </c>
      <c r="U185" s="170"/>
      <c r="V185" s="169"/>
      <c r="W185" s="169"/>
      <c r="X185" s="158">
        <f>VLOOKUP(B185,[4]考勤分析!$A:$I,4,FALSE)</f>
        <v>1.55413082436538</v>
      </c>
      <c r="Y185" s="90" t="b">
        <f>VLOOKUP(B185,[4]考勤分析!$A:$I,5,FALSE)</f>
        <v>0</v>
      </c>
      <c r="Z185" s="90">
        <f>VLOOKUP(B185,[4]考勤分析!$A:$I,6,FALSE)</f>
        <v>23</v>
      </c>
      <c r="AA185" s="90">
        <f>VLOOKUP(B185,[4]考勤分析!$A:$I,7,FALSE)</f>
        <v>25</v>
      </c>
      <c r="AB185" s="90">
        <f>VLOOKUP(B185,[4]考勤分析!$A:$I,8,FALSE)</f>
        <v>10</v>
      </c>
      <c r="AC185" s="90">
        <f>VLOOKUP(B185,[4]考勤分析!$A:$I,9,FALSE)</f>
        <v>4</v>
      </c>
      <c r="AD185" s="90">
        <v>0</v>
      </c>
      <c r="AE185" s="90">
        <v>0</v>
      </c>
      <c r="AF185" s="90">
        <v>0</v>
      </c>
      <c r="AG185" s="90">
        <v>0</v>
      </c>
      <c r="AH185" s="90">
        <v>0</v>
      </c>
      <c r="AI185" s="90">
        <v>0</v>
      </c>
      <c r="AJ185" s="90"/>
      <c r="AK185" s="90" t="e">
        <f>VLOOKUP(B185,[3]总表!$B:$W,22,FALSE)</f>
        <v>#N/A</v>
      </c>
      <c r="AL185" s="171"/>
      <c r="AM185" s="171"/>
      <c r="AN185" s="171"/>
      <c r="AO185" s="171"/>
      <c r="AP185" s="171"/>
      <c r="AQ185" s="171"/>
      <c r="AR185" s="171"/>
      <c r="AS185" s="171"/>
    </row>
    <row r="186" s="139" customFormat="1" spans="1:45">
      <c r="A186" s="99">
        <v>184</v>
      </c>
      <c r="B186" s="98" t="s">
        <v>456</v>
      </c>
      <c r="C186" s="97" t="s">
        <v>171</v>
      </c>
      <c r="D186" s="98" t="s">
        <v>185</v>
      </c>
      <c r="E186" s="92" t="s">
        <v>68</v>
      </c>
      <c r="F186" s="168">
        <v>6</v>
      </c>
      <c r="G186" s="92" t="s">
        <v>57</v>
      </c>
      <c r="H186" s="92" t="s">
        <v>457</v>
      </c>
      <c r="I186" s="114"/>
      <c r="J186" s="111"/>
      <c r="K186" s="111"/>
      <c r="L186" s="94">
        <v>1</v>
      </c>
      <c r="M186" s="94" t="s">
        <v>180</v>
      </c>
      <c r="N186" s="94" t="s">
        <v>62</v>
      </c>
      <c r="O186" s="169"/>
      <c r="P186" s="169"/>
      <c r="Q186" s="169"/>
      <c r="R186" s="169"/>
      <c r="S186" s="156">
        <f>VLOOKUP(B186,'[2]62人'!$B:$R,17,FALSE)</f>
        <v>5</v>
      </c>
      <c r="T186" s="37">
        <v>0</v>
      </c>
      <c r="U186" s="170"/>
      <c r="V186" s="169"/>
      <c r="W186" s="169"/>
      <c r="X186" s="158">
        <f>VLOOKUP(B186,[4]考勤分析!$A:$I,4,FALSE)</f>
        <v>1.22953853047089</v>
      </c>
      <c r="Y186" s="90" t="b">
        <f>VLOOKUP(B186,[4]考勤分析!$A:$I,5,FALSE)</f>
        <v>0</v>
      </c>
      <c r="Z186" s="90">
        <f>VLOOKUP(B186,[4]考勤分析!$A:$I,6,FALSE)</f>
        <v>38</v>
      </c>
      <c r="AA186" s="90">
        <f>VLOOKUP(B186,[4]考勤分析!$A:$I,7,FALSE)</f>
        <v>11</v>
      </c>
      <c r="AB186" s="90">
        <f>VLOOKUP(B186,[4]考勤分析!$A:$I,8,FALSE)</f>
        <v>8</v>
      </c>
      <c r="AC186" s="90">
        <f>VLOOKUP(B186,[4]考勤分析!$A:$I,9,FALSE)</f>
        <v>5</v>
      </c>
      <c r="AD186" s="90">
        <v>0</v>
      </c>
      <c r="AE186" s="90">
        <v>0</v>
      </c>
      <c r="AF186" s="90">
        <v>0</v>
      </c>
      <c r="AG186" s="90">
        <v>0</v>
      </c>
      <c r="AH186" s="90">
        <v>0</v>
      </c>
      <c r="AI186" s="90">
        <v>0</v>
      </c>
      <c r="AJ186" s="90"/>
      <c r="AK186" s="90" t="e">
        <f>VLOOKUP(B186,[3]总表!$B:$W,22,FALSE)</f>
        <v>#N/A</v>
      </c>
      <c r="AL186" s="171"/>
      <c r="AM186" s="171"/>
      <c r="AN186" s="171"/>
      <c r="AO186" s="171"/>
      <c r="AP186" s="171"/>
      <c r="AQ186" s="171"/>
      <c r="AR186" s="171"/>
      <c r="AS186" s="171"/>
    </row>
    <row r="187" s="139" customFormat="1" spans="1:45">
      <c r="A187" s="99">
        <v>185</v>
      </c>
      <c r="B187" s="98" t="s">
        <v>458</v>
      </c>
      <c r="C187" s="97" t="s">
        <v>171</v>
      </c>
      <c r="D187" s="98" t="s">
        <v>185</v>
      </c>
      <c r="E187" s="92" t="s">
        <v>68</v>
      </c>
      <c r="F187" s="168">
        <v>9</v>
      </c>
      <c r="G187" s="92" t="s">
        <v>57</v>
      </c>
      <c r="H187" s="92" t="s">
        <v>459</v>
      </c>
      <c r="I187" s="114"/>
      <c r="J187" s="111"/>
      <c r="K187" s="111"/>
      <c r="L187" s="94">
        <v>2</v>
      </c>
      <c r="M187" s="94" t="s">
        <v>180</v>
      </c>
      <c r="N187" s="94" t="s">
        <v>62</v>
      </c>
      <c r="O187" s="169"/>
      <c r="P187" s="169"/>
      <c r="Q187" s="169"/>
      <c r="R187" s="169"/>
      <c r="S187" s="156">
        <f>VLOOKUP(B187,'[2]62人'!$B:$R,17,FALSE)</f>
        <v>1</v>
      </c>
      <c r="T187" s="37">
        <v>0</v>
      </c>
      <c r="U187" s="170"/>
      <c r="V187" s="169"/>
      <c r="W187" s="169"/>
      <c r="X187" s="158">
        <f>VLOOKUP(B187,[4]考勤分析!$A:$I,4,FALSE)</f>
        <v>1.51262544802645</v>
      </c>
      <c r="Y187" s="90" t="b">
        <f>VLOOKUP(B187,[4]考勤分析!$A:$I,5,FALSE)</f>
        <v>0</v>
      </c>
      <c r="Z187" s="90">
        <f>VLOOKUP(B187,[4]考勤分析!$A:$I,6,FALSE)</f>
        <v>28</v>
      </c>
      <c r="AA187" s="90">
        <f>VLOOKUP(B187,[4]考勤分析!$A:$I,7,FALSE)</f>
        <v>17</v>
      </c>
      <c r="AB187" s="90">
        <f>VLOOKUP(B187,[4]考勤分析!$A:$I,8,FALSE)</f>
        <v>12</v>
      </c>
      <c r="AC187" s="90">
        <f>VLOOKUP(B187,[4]考勤分析!$A:$I,9,FALSE)</f>
        <v>5</v>
      </c>
      <c r="AD187" s="90">
        <v>0</v>
      </c>
      <c r="AE187" s="90">
        <v>0</v>
      </c>
      <c r="AF187" s="90">
        <v>0</v>
      </c>
      <c r="AG187" s="90">
        <v>0</v>
      </c>
      <c r="AH187" s="90">
        <v>0</v>
      </c>
      <c r="AI187" s="90">
        <v>0</v>
      </c>
      <c r="AJ187" s="90"/>
      <c r="AK187" s="90" t="e">
        <f>VLOOKUP(B187,[3]总表!$B:$W,22,FALSE)</f>
        <v>#N/A</v>
      </c>
      <c r="AL187" s="171"/>
      <c r="AM187" s="171"/>
      <c r="AN187" s="171"/>
      <c r="AO187" s="171"/>
      <c r="AP187" s="171"/>
      <c r="AQ187" s="171"/>
      <c r="AR187" s="171"/>
      <c r="AS187" s="171"/>
    </row>
    <row r="188" s="139" customFormat="1" spans="1:45">
      <c r="A188" s="99">
        <v>186</v>
      </c>
      <c r="B188" s="98" t="s">
        <v>460</v>
      </c>
      <c r="C188" s="97" t="s">
        <v>171</v>
      </c>
      <c r="D188" s="98" t="s">
        <v>185</v>
      </c>
      <c r="E188" s="92" t="s">
        <v>56</v>
      </c>
      <c r="F188" s="168">
        <v>5</v>
      </c>
      <c r="G188" s="92" t="s">
        <v>69</v>
      </c>
      <c r="H188" s="92" t="s">
        <v>461</v>
      </c>
      <c r="I188" s="114"/>
      <c r="J188" s="111"/>
      <c r="K188" s="111"/>
      <c r="L188" s="94">
        <v>0</v>
      </c>
      <c r="M188" s="94" t="s">
        <v>180</v>
      </c>
      <c r="N188" s="94" t="s">
        <v>71</v>
      </c>
      <c r="O188" s="169"/>
      <c r="P188" s="169"/>
      <c r="Q188" s="169"/>
      <c r="R188" s="169"/>
      <c r="S188" s="156">
        <f>VLOOKUP(B188,'[2]62人'!$B:$R,17,FALSE)</f>
        <v>19</v>
      </c>
      <c r="T188" s="37">
        <v>0</v>
      </c>
      <c r="U188" s="170"/>
      <c r="V188" s="169"/>
      <c r="W188" s="169"/>
      <c r="X188" s="158">
        <f>VLOOKUP(B188,[4]考勤分析!$A:$I,4,FALSE)</f>
        <v>3.00546737214355</v>
      </c>
      <c r="Y188" s="90" t="b">
        <f>VLOOKUP(B188,[4]考勤分析!$A:$I,5,FALSE)</f>
        <v>1</v>
      </c>
      <c r="Z188" s="90">
        <f>VLOOKUP(B188,[4]考勤分析!$A:$I,6,FALSE)</f>
        <v>1</v>
      </c>
      <c r="AA188" s="90">
        <f>VLOOKUP(B188,[4]考勤分析!$A:$I,7,FALSE)</f>
        <v>12</v>
      </c>
      <c r="AB188" s="90">
        <f>VLOOKUP(B188,[4]考勤分析!$A:$I,8,FALSE)</f>
        <v>38</v>
      </c>
      <c r="AC188" s="90">
        <f>VLOOKUP(B188,[4]考勤分析!$A:$I,9,FALSE)</f>
        <v>12</v>
      </c>
      <c r="AD188" s="90">
        <v>1</v>
      </c>
      <c r="AE188" s="90">
        <v>0</v>
      </c>
      <c r="AF188" s="90">
        <v>0</v>
      </c>
      <c r="AG188" s="90">
        <v>0</v>
      </c>
      <c r="AH188" s="90">
        <v>0</v>
      </c>
      <c r="AI188" s="90">
        <v>0</v>
      </c>
      <c r="AJ188" s="90"/>
      <c r="AK188" s="90" t="e">
        <f>VLOOKUP(B188,[3]总表!$B:$W,22,FALSE)</f>
        <v>#N/A</v>
      </c>
      <c r="AL188" s="171"/>
      <c r="AM188" s="171"/>
      <c r="AN188" s="171"/>
      <c r="AO188" s="171"/>
      <c r="AP188" s="171"/>
      <c r="AQ188" s="171"/>
      <c r="AR188" s="171"/>
      <c r="AS188" s="171"/>
    </row>
    <row r="189" s="139" customFormat="1" ht="28.8" spans="1:45">
      <c r="A189" s="99">
        <v>187</v>
      </c>
      <c r="B189" s="98" t="s">
        <v>462</v>
      </c>
      <c r="C189" s="97" t="s">
        <v>171</v>
      </c>
      <c r="D189" s="98" t="s">
        <v>185</v>
      </c>
      <c r="E189" s="92" t="s">
        <v>68</v>
      </c>
      <c r="F189" s="168">
        <v>3</v>
      </c>
      <c r="G189" s="92" t="s">
        <v>69</v>
      </c>
      <c r="H189" s="92" t="s">
        <v>163</v>
      </c>
      <c r="I189" s="114"/>
      <c r="J189" s="111"/>
      <c r="K189" s="111"/>
      <c r="L189" s="94">
        <v>0</v>
      </c>
      <c r="M189" s="94" t="s">
        <v>180</v>
      </c>
      <c r="N189" s="94" t="s">
        <v>62</v>
      </c>
      <c r="O189" s="169"/>
      <c r="P189" s="169"/>
      <c r="Q189" s="169"/>
      <c r="R189" s="169" t="s">
        <v>463</v>
      </c>
      <c r="S189" s="156">
        <f>VLOOKUP(B189,'[2]62人'!$B:$R,17,FALSE)</f>
        <v>18</v>
      </c>
      <c r="T189" s="37">
        <v>0</v>
      </c>
      <c r="U189" s="170"/>
      <c r="V189" s="169"/>
      <c r="W189" s="169"/>
      <c r="X189" s="158">
        <f>VLOOKUP(B189,[4]考勤分析!$A:$I,4,FALSE)</f>
        <v>1.6655641025783</v>
      </c>
      <c r="Y189" s="90" t="b">
        <f>VLOOKUP(B189,[4]考勤分析!$A:$I,5,FALSE)</f>
        <v>0</v>
      </c>
      <c r="Z189" s="90">
        <f>VLOOKUP(B189,[4]考勤分析!$A:$I,6,FALSE)</f>
        <v>24</v>
      </c>
      <c r="AA189" s="90">
        <f>VLOOKUP(B189,[4]考勤分析!$A:$I,7,FALSE)</f>
        <v>24</v>
      </c>
      <c r="AB189" s="90">
        <f>VLOOKUP(B189,[4]考勤分析!$A:$I,8,FALSE)</f>
        <v>15</v>
      </c>
      <c r="AC189" s="90">
        <f>VLOOKUP(B189,[4]考勤分析!$A:$I,9,FALSE)</f>
        <v>2</v>
      </c>
      <c r="AD189" s="90">
        <v>0</v>
      </c>
      <c r="AE189" s="90">
        <v>0</v>
      </c>
      <c r="AF189" s="90">
        <v>0</v>
      </c>
      <c r="AG189" s="90">
        <v>0</v>
      </c>
      <c r="AH189" s="90">
        <v>0</v>
      </c>
      <c r="AI189" s="90">
        <v>0</v>
      </c>
      <c r="AJ189" s="90"/>
      <c r="AK189" s="90" t="e">
        <f>VLOOKUP(B189,[3]总表!$B:$W,22,FALSE)</f>
        <v>#N/A</v>
      </c>
      <c r="AL189" s="171"/>
      <c r="AM189" s="171"/>
      <c r="AN189" s="171"/>
      <c r="AO189" s="171"/>
      <c r="AP189" s="171"/>
      <c r="AQ189" s="171"/>
      <c r="AR189" s="171"/>
      <c r="AS189" s="171"/>
    </row>
    <row r="190" s="139" customFormat="1" spans="1:45">
      <c r="A190" s="99">
        <v>188</v>
      </c>
      <c r="B190" s="98" t="s">
        <v>464</v>
      </c>
      <c r="C190" s="97" t="s">
        <v>171</v>
      </c>
      <c r="D190" s="98" t="s">
        <v>185</v>
      </c>
      <c r="E190" s="92" t="s">
        <v>68</v>
      </c>
      <c r="F190" s="168">
        <v>3</v>
      </c>
      <c r="G190" s="92" t="s">
        <v>57</v>
      </c>
      <c r="H190" s="92" t="s">
        <v>465</v>
      </c>
      <c r="I190" s="114"/>
      <c r="J190" s="111"/>
      <c r="K190" s="111"/>
      <c r="L190" s="94">
        <v>0</v>
      </c>
      <c r="M190" s="94" t="s">
        <v>180</v>
      </c>
      <c r="N190" s="94" t="s">
        <v>62</v>
      </c>
      <c r="O190" s="169"/>
      <c r="P190" s="169"/>
      <c r="Q190" s="169"/>
      <c r="R190" s="169"/>
      <c r="S190" s="156">
        <f>VLOOKUP(B190,'[2]62人'!$B:$R,17,FALSE)</f>
        <v>8</v>
      </c>
      <c r="T190" s="37">
        <v>0</v>
      </c>
      <c r="U190" s="170"/>
      <c r="V190" s="169"/>
      <c r="W190" s="169"/>
      <c r="X190" s="158">
        <f>VLOOKUP(B190,[4]考勤分析!$A:$I,4,FALSE)</f>
        <v>0</v>
      </c>
      <c r="Y190" s="90" t="b">
        <f>VLOOKUP(B190,[4]考勤分析!$A:$I,5,FALSE)</f>
        <v>0</v>
      </c>
      <c r="Z190" s="90">
        <f>VLOOKUP(B190,[4]考勤分析!$A:$I,6,FALSE)</f>
        <v>62</v>
      </c>
      <c r="AA190" s="90">
        <f>VLOOKUP(B190,[4]考勤分析!$A:$I,7,FALSE)</f>
        <v>0</v>
      </c>
      <c r="AB190" s="90">
        <f>VLOOKUP(B190,[4]考勤分析!$A:$I,8,FALSE)</f>
        <v>0</v>
      </c>
      <c r="AC190" s="90">
        <f>VLOOKUP(B190,[4]考勤分析!$A:$I,9,FALSE)</f>
        <v>0</v>
      </c>
      <c r="AD190" s="90">
        <v>1</v>
      </c>
      <c r="AE190" s="90">
        <v>0</v>
      </c>
      <c r="AF190" s="90">
        <v>0</v>
      </c>
      <c r="AG190" s="90">
        <v>0</v>
      </c>
      <c r="AH190" s="90">
        <v>0</v>
      </c>
      <c r="AI190" s="90">
        <v>0</v>
      </c>
      <c r="AJ190" s="90"/>
      <c r="AK190" s="90" t="e">
        <f>VLOOKUP(B190,[3]总表!$B:$W,22,FALSE)</f>
        <v>#N/A</v>
      </c>
      <c r="AL190" s="171"/>
      <c r="AM190" s="171"/>
      <c r="AN190" s="171"/>
      <c r="AO190" s="171"/>
      <c r="AP190" s="171"/>
      <c r="AQ190" s="171"/>
      <c r="AR190" s="171"/>
      <c r="AS190" s="171"/>
    </row>
    <row r="191" s="139" customFormat="1" spans="1:45">
      <c r="A191" s="99">
        <v>189</v>
      </c>
      <c r="B191" s="98" t="s">
        <v>466</v>
      </c>
      <c r="C191" s="97" t="s">
        <v>189</v>
      </c>
      <c r="D191" s="98" t="s">
        <v>273</v>
      </c>
      <c r="E191" s="92" t="s">
        <v>56</v>
      </c>
      <c r="F191" s="168">
        <v>10</v>
      </c>
      <c r="G191" s="92" t="s">
        <v>57</v>
      </c>
      <c r="H191" s="92" t="s">
        <v>467</v>
      </c>
      <c r="I191" s="114" t="s">
        <v>275</v>
      </c>
      <c r="J191" s="111"/>
      <c r="K191" s="111"/>
      <c r="L191" s="94">
        <v>1</v>
      </c>
      <c r="M191" s="94" t="s">
        <v>273</v>
      </c>
      <c r="N191" s="94" t="s">
        <v>71</v>
      </c>
      <c r="O191" s="169"/>
      <c r="P191" s="169"/>
      <c r="Q191" s="169"/>
      <c r="R191" s="169"/>
      <c r="S191" s="156">
        <f>VLOOKUP(B191,'[2]62人'!$B:$R,17,FALSE)</f>
        <v>1</v>
      </c>
      <c r="T191" s="37">
        <v>0</v>
      </c>
      <c r="U191" s="170"/>
      <c r="V191" s="169">
        <v>1</v>
      </c>
      <c r="W191" s="169"/>
      <c r="X191" s="158">
        <f>VLOOKUP(B191,[4]考勤分析!$A:$I,4,FALSE)</f>
        <v>2.79586111112148</v>
      </c>
      <c r="Y191" s="90" t="b">
        <f>VLOOKUP(B191,[4]考勤分析!$A:$I,5,FALSE)</f>
        <v>1</v>
      </c>
      <c r="Z191" s="90">
        <f>VLOOKUP(B191,[4]考勤分析!$A:$I,6,FALSE)</f>
        <v>13</v>
      </c>
      <c r="AA191" s="90">
        <f>VLOOKUP(B191,[4]考勤分析!$A:$I,7,FALSE)</f>
        <v>8</v>
      </c>
      <c r="AB191" s="90">
        <f>VLOOKUP(B191,[4]考勤分析!$A:$I,8,FALSE)</f>
        <v>22</v>
      </c>
      <c r="AC191" s="90">
        <f>VLOOKUP(B191,[4]考勤分析!$A:$I,9,FALSE)</f>
        <v>17</v>
      </c>
      <c r="AD191" s="90">
        <v>0</v>
      </c>
      <c r="AE191" s="90">
        <v>0</v>
      </c>
      <c r="AF191" s="90">
        <v>0</v>
      </c>
      <c r="AG191" s="90">
        <v>0</v>
      </c>
      <c r="AH191" s="90">
        <v>0</v>
      </c>
      <c r="AI191" s="90">
        <v>0</v>
      </c>
      <c r="AJ191" s="90"/>
      <c r="AK191" s="90">
        <f>VLOOKUP(B191,[3]总表!$B:$W,22,FALSE)</f>
        <v>0</v>
      </c>
      <c r="AL191" s="171"/>
      <c r="AM191" s="171"/>
      <c r="AN191" s="171"/>
      <c r="AO191" s="171"/>
      <c r="AP191" s="171"/>
      <c r="AQ191" s="171"/>
      <c r="AR191" s="171"/>
      <c r="AS191" s="171"/>
    </row>
    <row r="192" s="139" customFormat="1" ht="15.6" spans="1:45">
      <c r="A192" s="99">
        <v>190</v>
      </c>
      <c r="B192" s="98" t="s">
        <v>468</v>
      </c>
      <c r="C192" s="97" t="s">
        <v>189</v>
      </c>
      <c r="D192" s="98" t="s">
        <v>381</v>
      </c>
      <c r="E192" s="92" t="s">
        <v>68</v>
      </c>
      <c r="F192" s="168">
        <v>7</v>
      </c>
      <c r="G192" s="92" t="s">
        <v>69</v>
      </c>
      <c r="H192" s="92" t="s">
        <v>250</v>
      </c>
      <c r="I192" s="114"/>
      <c r="J192" s="111"/>
      <c r="K192" s="111"/>
      <c r="L192" s="94">
        <v>0</v>
      </c>
      <c r="M192" s="94"/>
      <c r="N192" s="94" t="s">
        <v>62</v>
      </c>
      <c r="O192" s="179" t="s">
        <v>469</v>
      </c>
      <c r="P192" s="169"/>
      <c r="Q192" s="169"/>
      <c r="R192" s="169"/>
      <c r="S192" s="156">
        <f>VLOOKUP(B192,'[2]62人'!$B:$R,17,FALSE)</f>
        <v>2</v>
      </c>
      <c r="T192" s="37">
        <v>0</v>
      </c>
      <c r="U192" s="170">
        <v>2</v>
      </c>
      <c r="V192" s="169"/>
      <c r="W192" s="169"/>
      <c r="X192" s="158" t="e">
        <f>VLOOKUP(B192,[4]考勤分析!$A:$I,4,FALSE)</f>
        <v>#N/A</v>
      </c>
      <c r="Y192" s="90" t="e">
        <f>VLOOKUP(B192,[4]考勤分析!$A:$I,5,FALSE)</f>
        <v>#N/A</v>
      </c>
      <c r="Z192" s="90" t="e">
        <f>VLOOKUP(B192,[4]考勤分析!$A:$I,6,FALSE)</f>
        <v>#N/A</v>
      </c>
      <c r="AA192" s="90" t="e">
        <f>VLOOKUP(B192,[4]考勤分析!$A:$I,7,FALSE)</f>
        <v>#N/A</v>
      </c>
      <c r="AB192" s="90" t="e">
        <f>VLOOKUP(B192,[4]考勤分析!$A:$I,8,FALSE)</f>
        <v>#N/A</v>
      </c>
      <c r="AC192" s="90" t="e">
        <f>VLOOKUP(B192,[4]考勤分析!$A:$I,9,FALSE)</f>
        <v>#N/A</v>
      </c>
      <c r="AD192" s="90">
        <v>0</v>
      </c>
      <c r="AE192" s="90">
        <v>0</v>
      </c>
      <c r="AF192" s="90">
        <v>0</v>
      </c>
      <c r="AG192" s="90">
        <v>0</v>
      </c>
      <c r="AH192" s="90">
        <v>0</v>
      </c>
      <c r="AI192" s="90">
        <v>0</v>
      </c>
      <c r="AJ192" s="90"/>
      <c r="AK192" s="90" t="str">
        <f>VLOOKUP(B192,[3]总表!$B:$W,22,FALSE)</f>
        <v>适中</v>
      </c>
      <c r="AL192" s="171"/>
      <c r="AM192" s="171"/>
      <c r="AN192" s="171"/>
      <c r="AO192" s="171"/>
      <c r="AP192" s="171"/>
      <c r="AQ192" s="171"/>
      <c r="AR192" s="171"/>
      <c r="AS192" s="171"/>
    </row>
    <row r="193" s="139" customFormat="1" ht="72" spans="1:45">
      <c r="A193" s="99">
        <v>191</v>
      </c>
      <c r="B193" s="98" t="s">
        <v>470</v>
      </c>
      <c r="C193" s="97" t="s">
        <v>189</v>
      </c>
      <c r="D193" s="98" t="s">
        <v>197</v>
      </c>
      <c r="E193" s="92" t="s">
        <v>56</v>
      </c>
      <c r="F193" s="168">
        <v>4</v>
      </c>
      <c r="G193" s="92" t="s">
        <v>69</v>
      </c>
      <c r="H193" s="92" t="s">
        <v>471</v>
      </c>
      <c r="I193" s="114"/>
      <c r="J193" s="111"/>
      <c r="K193" s="111"/>
      <c r="L193" s="94">
        <v>0</v>
      </c>
      <c r="M193" s="94" t="s">
        <v>61</v>
      </c>
      <c r="N193" s="94" t="s">
        <v>62</v>
      </c>
      <c r="O193" s="169"/>
      <c r="P193" s="169"/>
      <c r="Q193" s="169"/>
      <c r="R193" s="169" t="s">
        <v>64</v>
      </c>
      <c r="S193" s="156">
        <f>VLOOKUP(B193,'[2]62人'!$B:$R,17,FALSE)</f>
        <v>14</v>
      </c>
      <c r="T193" s="37">
        <v>3</v>
      </c>
      <c r="U193" s="170"/>
      <c r="V193" s="169"/>
      <c r="W193" s="169">
        <v>1</v>
      </c>
      <c r="X193" s="158">
        <f>VLOOKUP(B193,[4]考勤分析!$A:$I,4,FALSE)</f>
        <v>2.10993055555155</v>
      </c>
      <c r="Y193" s="90" t="b">
        <f>VLOOKUP(B193,[4]考勤分析!$A:$I,5,FALSE)</f>
        <v>1</v>
      </c>
      <c r="Z193" s="90">
        <f>VLOOKUP(B193,[4]考勤分析!$A:$I,6,FALSE)</f>
        <v>11</v>
      </c>
      <c r="AA193" s="90">
        <f>VLOOKUP(B193,[4]考勤分析!$A:$I,7,FALSE)</f>
        <v>28</v>
      </c>
      <c r="AB193" s="90">
        <f>VLOOKUP(B193,[4]考勤分析!$A:$I,8,FALSE)</f>
        <v>12</v>
      </c>
      <c r="AC193" s="90">
        <f>VLOOKUP(B193,[4]考勤分析!$A:$I,9,FALSE)</f>
        <v>9</v>
      </c>
      <c r="AD193" s="90">
        <v>0</v>
      </c>
      <c r="AE193" s="90">
        <v>1</v>
      </c>
      <c r="AF193" s="90">
        <v>0</v>
      </c>
      <c r="AG193" s="90">
        <v>1</v>
      </c>
      <c r="AH193" s="90">
        <v>0</v>
      </c>
      <c r="AI193" s="90">
        <v>1</v>
      </c>
      <c r="AJ193" s="90"/>
      <c r="AK193" s="90" t="str">
        <f>VLOOKUP(B193,[3]总表!$B:$W,22,FALSE)</f>
        <v>适中</v>
      </c>
      <c r="AL193" s="133"/>
      <c r="AM193" s="133"/>
      <c r="AN193" s="133"/>
      <c r="AO193" s="133"/>
      <c r="AP193" s="133"/>
      <c r="AQ193" s="133"/>
      <c r="AR193" s="133"/>
      <c r="AS193" s="171"/>
    </row>
    <row r="194" s="139" customFormat="1" ht="72" spans="1:45">
      <c r="A194" s="99">
        <v>192</v>
      </c>
      <c r="B194" s="98" t="s">
        <v>472</v>
      </c>
      <c r="C194" s="97" t="s">
        <v>189</v>
      </c>
      <c r="D194" s="98" t="s">
        <v>197</v>
      </c>
      <c r="E194" s="92" t="s">
        <v>56</v>
      </c>
      <c r="F194" s="99">
        <f>VLOOKUP(B194,累计工龄!A:B,2,FALSE)</f>
        <v>1</v>
      </c>
      <c r="G194" s="92" t="s">
        <v>69</v>
      </c>
      <c r="H194" s="92" t="s">
        <v>141</v>
      </c>
      <c r="I194" s="114"/>
      <c r="J194" s="111"/>
      <c r="K194" s="111"/>
      <c r="L194" s="94">
        <v>0</v>
      </c>
      <c r="M194" s="94" t="s">
        <v>61</v>
      </c>
      <c r="N194" s="94" t="s">
        <v>62</v>
      </c>
      <c r="O194" s="169"/>
      <c r="P194" s="169"/>
      <c r="Q194" s="169"/>
      <c r="R194" s="169" t="s">
        <v>64</v>
      </c>
      <c r="S194" s="156">
        <f>VLOOKUP(B194,'[2]62人'!$B:$R,17,FALSE)</f>
        <v>18</v>
      </c>
      <c r="T194" s="37">
        <v>0</v>
      </c>
      <c r="U194" s="170"/>
      <c r="V194" s="169"/>
      <c r="W194" s="169"/>
      <c r="X194" s="158">
        <f>VLOOKUP(B194,[4]考勤分析!$A:$I,4,FALSE)</f>
        <v>3.57200268816838</v>
      </c>
      <c r="Y194" s="90" t="b">
        <f>VLOOKUP(B194,[4]考勤分析!$A:$I,5,FALSE)</f>
        <v>1</v>
      </c>
      <c r="Z194" s="90">
        <f>VLOOKUP(B194,[4]考勤分析!$A:$I,6,FALSE)</f>
        <v>16</v>
      </c>
      <c r="AA194" s="90">
        <f>VLOOKUP(B194,[4]考勤分析!$A:$I,7,FALSE)</f>
        <v>8</v>
      </c>
      <c r="AB194" s="90">
        <f>VLOOKUP(B194,[4]考勤分析!$A:$I,8,FALSE)</f>
        <v>11</v>
      </c>
      <c r="AC194" s="90">
        <f>VLOOKUP(B194,[4]考勤分析!$A:$I,9,FALSE)</f>
        <v>27</v>
      </c>
      <c r="AD194" s="90">
        <v>0</v>
      </c>
      <c r="AE194" s="90">
        <v>0</v>
      </c>
      <c r="AF194" s="90">
        <v>1</v>
      </c>
      <c r="AG194" s="90">
        <v>2</v>
      </c>
      <c r="AH194" s="90">
        <v>1</v>
      </c>
      <c r="AI194" s="90">
        <v>10</v>
      </c>
      <c r="AJ194" s="90"/>
      <c r="AK194" s="90" t="str">
        <f>VLOOKUP(B194,[3]总表!$B:$W,22,FALSE)</f>
        <v>超负荷</v>
      </c>
      <c r="AL194" s="171"/>
      <c r="AM194" s="171"/>
      <c r="AN194" s="171"/>
      <c r="AO194" s="171"/>
      <c r="AP194" s="171"/>
      <c r="AQ194" s="171"/>
      <c r="AR194" s="171"/>
      <c r="AS194" s="171"/>
    </row>
    <row r="195" s="139" customFormat="1" spans="1:45">
      <c r="A195" s="99">
        <v>193</v>
      </c>
      <c r="B195" s="98" t="s">
        <v>473</v>
      </c>
      <c r="C195" s="97" t="s">
        <v>189</v>
      </c>
      <c r="D195" s="98" t="s">
        <v>197</v>
      </c>
      <c r="E195" s="92" t="s">
        <v>56</v>
      </c>
      <c r="F195" s="99">
        <f>VLOOKUP(B195,累计工龄!A:B,2,FALSE)</f>
        <v>1</v>
      </c>
      <c r="G195" s="92" t="s">
        <v>69</v>
      </c>
      <c r="H195" s="92" t="s">
        <v>398</v>
      </c>
      <c r="I195" s="114"/>
      <c r="J195" s="111"/>
      <c r="K195" s="111"/>
      <c r="L195" s="94">
        <v>0</v>
      </c>
      <c r="M195" s="94" t="s">
        <v>61</v>
      </c>
      <c r="N195" s="94" t="s">
        <v>62</v>
      </c>
      <c r="O195" s="169"/>
      <c r="P195" s="169"/>
      <c r="Q195" s="169"/>
      <c r="R195" s="169"/>
      <c r="S195" s="156">
        <f>VLOOKUP(B195,'[2]62人'!$B:$R,17,FALSE)</f>
        <v>23</v>
      </c>
      <c r="T195" s="37">
        <v>0</v>
      </c>
      <c r="U195" s="170"/>
      <c r="V195" s="169"/>
      <c r="W195" s="169"/>
      <c r="X195" s="158">
        <f>VLOOKUP(B195,[4]考勤分析!$A:$I,4,FALSE)</f>
        <v>4.11431857639946</v>
      </c>
      <c r="Y195" s="90" t="b">
        <f>VLOOKUP(B195,[4]考勤分析!$A:$I,5,FALSE)</f>
        <v>1</v>
      </c>
      <c r="Z195" s="90">
        <f>VLOOKUP(B195,[4]考勤分析!$A:$I,6,FALSE)</f>
        <v>5</v>
      </c>
      <c r="AA195" s="90">
        <f>VLOOKUP(B195,[4]考勤分析!$A:$I,7,FALSE)</f>
        <v>5</v>
      </c>
      <c r="AB195" s="90">
        <f>VLOOKUP(B195,[4]考勤分析!$A:$I,8,FALSE)</f>
        <v>21</v>
      </c>
      <c r="AC195" s="90">
        <f>VLOOKUP(B195,[4]考勤分析!$A:$I,9,FALSE)</f>
        <v>33</v>
      </c>
      <c r="AD195" s="90">
        <v>0</v>
      </c>
      <c r="AE195" s="90">
        <v>7</v>
      </c>
      <c r="AF195" s="90">
        <v>0</v>
      </c>
      <c r="AG195" s="90">
        <v>1</v>
      </c>
      <c r="AH195" s="90">
        <v>3</v>
      </c>
      <c r="AI195" s="90">
        <v>7</v>
      </c>
      <c r="AJ195" s="90"/>
      <c r="AK195" s="90" t="str">
        <f>VLOOKUP(B195,[3]总表!$B:$W,22,FALSE)</f>
        <v>超负荷</v>
      </c>
      <c r="AL195" s="171"/>
      <c r="AM195" s="171"/>
      <c r="AN195" s="171"/>
      <c r="AO195" s="171"/>
      <c r="AP195" s="171"/>
      <c r="AQ195" s="171"/>
      <c r="AR195" s="171"/>
      <c r="AS195" s="171"/>
    </row>
    <row r="196" s="139" customFormat="1" ht="20" customHeight="1" spans="1:45">
      <c r="A196" s="99">
        <v>194</v>
      </c>
      <c r="B196" s="98" t="s">
        <v>474</v>
      </c>
      <c r="C196" s="97" t="s">
        <v>189</v>
      </c>
      <c r="D196" s="98" t="s">
        <v>197</v>
      </c>
      <c r="E196" s="92" t="s">
        <v>68</v>
      </c>
      <c r="F196" s="99">
        <f>VLOOKUP(B196,累计工龄!A:B,2,FALSE)</f>
        <v>1</v>
      </c>
      <c r="G196" s="92" t="s">
        <v>69</v>
      </c>
      <c r="H196" s="92" t="s">
        <v>157</v>
      </c>
      <c r="I196" s="114"/>
      <c r="J196" s="111"/>
      <c r="K196" s="111"/>
      <c r="L196" s="94">
        <v>2</v>
      </c>
      <c r="M196" s="94" t="s">
        <v>61</v>
      </c>
      <c r="N196" s="94" t="s">
        <v>62</v>
      </c>
      <c r="O196" s="169"/>
      <c r="P196" s="169"/>
      <c r="Q196" s="169"/>
      <c r="R196" s="169"/>
      <c r="S196" s="156">
        <f>VLOOKUP(B196,'[2]62人'!$B:$R,17,FALSE)</f>
        <v>12</v>
      </c>
      <c r="T196" s="37">
        <v>0</v>
      </c>
      <c r="U196" s="170"/>
      <c r="V196" s="169"/>
      <c r="W196" s="169"/>
      <c r="X196" s="158">
        <f>VLOOKUP(B196,[4]考勤分析!$A:$I,4,FALSE)</f>
        <v>1.05467592591497</v>
      </c>
      <c r="Y196" s="90" t="b">
        <f>VLOOKUP(B196,[4]考勤分析!$A:$I,5,FALSE)</f>
        <v>0</v>
      </c>
      <c r="Z196" s="90">
        <f>VLOOKUP(B196,[4]考勤分析!$A:$I,6,FALSE)</f>
        <v>48</v>
      </c>
      <c r="AA196" s="90">
        <f>VLOOKUP(B196,[4]考勤分析!$A:$I,7,FALSE)</f>
        <v>4</v>
      </c>
      <c r="AB196" s="90">
        <f>VLOOKUP(B196,[4]考勤分析!$A:$I,8,FALSE)</f>
        <v>4</v>
      </c>
      <c r="AC196" s="90">
        <f>VLOOKUP(B196,[4]考勤分析!$A:$I,9,FALSE)</f>
        <v>4</v>
      </c>
      <c r="AD196" s="90">
        <v>0</v>
      </c>
      <c r="AE196" s="90">
        <v>0</v>
      </c>
      <c r="AF196" s="90">
        <v>0</v>
      </c>
      <c r="AG196" s="90">
        <v>0</v>
      </c>
      <c r="AH196" s="90">
        <v>0</v>
      </c>
      <c r="AI196" s="90">
        <v>0</v>
      </c>
      <c r="AJ196" s="90"/>
      <c r="AK196" s="90" t="str">
        <f>VLOOKUP(B196,[3]总表!$B:$W,22,FALSE)</f>
        <v>即将转岗，未安排重点工作</v>
      </c>
      <c r="AL196" s="171"/>
      <c r="AM196" s="171"/>
      <c r="AN196" s="171"/>
      <c r="AO196" s="171"/>
      <c r="AP196" s="171"/>
      <c r="AQ196" s="171"/>
      <c r="AR196" s="171"/>
      <c r="AS196" s="171"/>
    </row>
    <row r="197" s="139" customFormat="1" spans="1:45">
      <c r="A197" s="99">
        <v>195</v>
      </c>
      <c r="B197" s="98" t="s">
        <v>475</v>
      </c>
      <c r="C197" s="97" t="s">
        <v>189</v>
      </c>
      <c r="D197" s="98" t="s">
        <v>476</v>
      </c>
      <c r="E197" s="92" t="s">
        <v>68</v>
      </c>
      <c r="F197" s="99">
        <v>1</v>
      </c>
      <c r="G197" s="92" t="s">
        <v>69</v>
      </c>
      <c r="H197" s="92" t="s">
        <v>477</v>
      </c>
      <c r="I197" s="114"/>
      <c r="J197" s="111"/>
      <c r="K197" s="111"/>
      <c r="L197" s="94">
        <v>1</v>
      </c>
      <c r="M197" s="94" t="s">
        <v>61</v>
      </c>
      <c r="N197" s="94" t="s">
        <v>62</v>
      </c>
      <c r="O197" s="169"/>
      <c r="P197" s="169"/>
      <c r="Q197" s="169"/>
      <c r="R197" s="169"/>
      <c r="S197" s="156">
        <f>VLOOKUP(B197,'[2]62人'!$B:$R,17,FALSE)</f>
        <v>16</v>
      </c>
      <c r="T197" s="37">
        <v>1</v>
      </c>
      <c r="U197" s="170"/>
      <c r="V197" s="169">
        <v>1</v>
      </c>
      <c r="W197" s="169"/>
      <c r="X197" s="158">
        <f>VLOOKUP(B197,[4]考勤分析!$A:$I,4,FALSE)</f>
        <v>1.85267025090457</v>
      </c>
      <c r="Y197" s="90" t="b">
        <f>VLOOKUP(B197,[4]考勤分析!$A:$I,5,FALSE)</f>
        <v>0</v>
      </c>
      <c r="Z197" s="90">
        <f>VLOOKUP(B197,[4]考勤分析!$A:$I,6,FALSE)</f>
        <v>13</v>
      </c>
      <c r="AA197" s="90">
        <f>VLOOKUP(B197,[4]考勤分析!$A:$I,7,FALSE)</f>
        <v>29</v>
      </c>
      <c r="AB197" s="90">
        <f>VLOOKUP(B197,[4]考勤分析!$A:$I,8,FALSE)</f>
        <v>16</v>
      </c>
      <c r="AC197" s="90">
        <f>VLOOKUP(B197,[4]考勤分析!$A:$I,9,FALSE)</f>
        <v>4</v>
      </c>
      <c r="AD197" s="90">
        <v>0</v>
      </c>
      <c r="AE197" s="90">
        <v>1</v>
      </c>
      <c r="AF197" s="90">
        <v>0</v>
      </c>
      <c r="AG197" s="90">
        <v>1</v>
      </c>
      <c r="AH197" s="90">
        <v>0</v>
      </c>
      <c r="AI197" s="90">
        <v>0</v>
      </c>
      <c r="AJ197" s="90"/>
      <c r="AK197" s="90" t="str">
        <f>VLOOKUP(B197,[3]总表!$B:$W,22,FALSE)</f>
        <v>超负荷</v>
      </c>
      <c r="AL197" s="171"/>
      <c r="AM197" s="171"/>
      <c r="AN197" s="171"/>
      <c r="AO197" s="171"/>
      <c r="AP197" s="171"/>
      <c r="AQ197" s="171"/>
      <c r="AR197" s="171"/>
      <c r="AS197" s="171"/>
    </row>
    <row r="198" s="139" customFormat="1" spans="1:45">
      <c r="A198" s="99">
        <v>196</v>
      </c>
      <c r="B198" s="98" t="s">
        <v>478</v>
      </c>
      <c r="C198" s="97" t="s">
        <v>189</v>
      </c>
      <c r="D198" s="98" t="s">
        <v>197</v>
      </c>
      <c r="E198" s="133"/>
      <c r="F198" s="168"/>
      <c r="G198" s="99"/>
      <c r="H198" s="99"/>
      <c r="I198" s="114"/>
      <c r="J198" s="111"/>
      <c r="K198" s="111"/>
      <c r="L198" s="94">
        <v>0</v>
      </c>
      <c r="M198" s="94" t="s">
        <v>61</v>
      </c>
      <c r="N198" s="94" t="s">
        <v>71</v>
      </c>
      <c r="O198" s="169"/>
      <c r="P198" s="169"/>
      <c r="Q198" s="169"/>
      <c r="R198" s="169"/>
      <c r="S198" s="156">
        <f>VLOOKUP(B198,'[2]62人'!$B:$R,17,FALSE)</f>
        <v>0</v>
      </c>
      <c r="T198" s="37">
        <v>0</v>
      </c>
      <c r="U198" s="170"/>
      <c r="V198" s="169"/>
      <c r="W198" s="169"/>
      <c r="X198" s="158">
        <f>VLOOKUP(B198,[4]考勤分析!$A:$I,4,FALSE)</f>
        <v>2.92653356480757</v>
      </c>
      <c r="Y198" s="90" t="b">
        <f>VLOOKUP(B198,[4]考勤分析!$A:$I,5,FALSE)</f>
        <v>1</v>
      </c>
      <c r="Z198" s="90">
        <f>VLOOKUP(B198,[4]考勤分析!$A:$I,6,FALSE)</f>
        <v>4</v>
      </c>
      <c r="AA198" s="90">
        <f>VLOOKUP(B198,[4]考勤分析!$A:$I,7,FALSE)</f>
        <v>8</v>
      </c>
      <c r="AB198" s="90">
        <f>VLOOKUP(B198,[4]考勤分析!$A:$I,8,FALSE)</f>
        <v>30</v>
      </c>
      <c r="AC198" s="90">
        <f>VLOOKUP(B198,[4]考勤分析!$A:$I,9,FALSE)</f>
        <v>6</v>
      </c>
      <c r="AD198" s="90">
        <v>0</v>
      </c>
      <c r="AE198" s="90">
        <v>0</v>
      </c>
      <c r="AF198" s="90">
        <v>0</v>
      </c>
      <c r="AG198" s="90">
        <v>1</v>
      </c>
      <c r="AH198" s="90">
        <v>0</v>
      </c>
      <c r="AI198" s="90">
        <v>0</v>
      </c>
      <c r="AJ198" s="90"/>
      <c r="AK198" s="90" t="str">
        <f>VLOOKUP(B198,[3]总表!$B:$W,22,FALSE)</f>
        <v>适中</v>
      </c>
      <c r="AL198" s="171"/>
      <c r="AM198" s="171"/>
      <c r="AN198" s="171"/>
      <c r="AO198" s="171"/>
      <c r="AP198" s="171"/>
      <c r="AQ198" s="171"/>
      <c r="AR198" s="171"/>
      <c r="AS198" s="171"/>
    </row>
    <row r="199" s="139" customFormat="1" ht="129.6" spans="1:45">
      <c r="A199" s="99">
        <v>197</v>
      </c>
      <c r="B199" s="98" t="s">
        <v>479</v>
      </c>
      <c r="C199" s="97" t="s">
        <v>189</v>
      </c>
      <c r="D199" s="98" t="s">
        <v>190</v>
      </c>
      <c r="E199" s="92" t="s">
        <v>56</v>
      </c>
      <c r="F199" s="168">
        <v>4</v>
      </c>
      <c r="G199" s="92" t="s">
        <v>69</v>
      </c>
      <c r="H199" s="92" t="s">
        <v>337</v>
      </c>
      <c r="I199" s="114"/>
      <c r="J199" s="111"/>
      <c r="K199" s="111"/>
      <c r="L199" s="94">
        <v>0</v>
      </c>
      <c r="M199" s="94" t="s">
        <v>61</v>
      </c>
      <c r="N199" s="94" t="s">
        <v>62</v>
      </c>
      <c r="O199" s="169"/>
      <c r="P199" s="169"/>
      <c r="Q199" s="169"/>
      <c r="R199" s="169" t="s">
        <v>480</v>
      </c>
      <c r="S199" s="156">
        <f>VLOOKUP(B199,'[2]62人'!$B:$R,17,FALSE)</f>
        <v>15</v>
      </c>
      <c r="T199" s="37">
        <v>0</v>
      </c>
      <c r="U199" s="170"/>
      <c r="V199" s="169"/>
      <c r="W199" s="169"/>
      <c r="X199" s="158">
        <f>VLOOKUP(B199,[4]考勤分析!$A:$I,4,FALSE)</f>
        <v>2.54837500000722</v>
      </c>
      <c r="Y199" s="90" t="b">
        <f>VLOOKUP(B199,[4]考勤分析!$A:$I,5,FALSE)</f>
        <v>1</v>
      </c>
      <c r="Z199" s="90">
        <f>VLOOKUP(B199,[4]考勤分析!$A:$I,6,FALSE)</f>
        <v>0</v>
      </c>
      <c r="AA199" s="90">
        <f>VLOOKUP(B199,[4]考勤分析!$A:$I,7,FALSE)</f>
        <v>17</v>
      </c>
      <c r="AB199" s="90">
        <f>VLOOKUP(B199,[4]考勤分析!$A:$I,8,FALSE)</f>
        <v>40</v>
      </c>
      <c r="AC199" s="90">
        <f>VLOOKUP(B199,[4]考勤分析!$A:$I,9,FALSE)</f>
        <v>3</v>
      </c>
      <c r="AD199" s="90">
        <v>1</v>
      </c>
      <c r="AE199" s="90">
        <v>1</v>
      </c>
      <c r="AF199" s="90">
        <v>1</v>
      </c>
      <c r="AG199" s="90">
        <v>3</v>
      </c>
      <c r="AH199" s="90">
        <v>2</v>
      </c>
      <c r="AI199" s="90">
        <v>2</v>
      </c>
      <c r="AJ199" s="90"/>
      <c r="AK199" s="90" t="str">
        <f>VLOOKUP(B199,[3]总表!$B:$W,22,FALSE)</f>
        <v>超负荷</v>
      </c>
      <c r="AL199" s="171"/>
      <c r="AM199" s="171"/>
      <c r="AN199" s="171"/>
      <c r="AO199" s="171"/>
      <c r="AP199" s="171"/>
      <c r="AQ199" s="171"/>
      <c r="AR199" s="171"/>
      <c r="AS199" s="171"/>
    </row>
    <row r="200" s="139" customFormat="1" ht="26" customHeight="1" spans="1:45">
      <c r="A200" s="99">
        <v>198</v>
      </c>
      <c r="B200" s="98" t="s">
        <v>481</v>
      </c>
      <c r="C200" s="97" t="s">
        <v>189</v>
      </c>
      <c r="D200" s="98" t="s">
        <v>190</v>
      </c>
      <c r="E200" s="92" t="s">
        <v>68</v>
      </c>
      <c r="F200" s="168">
        <v>3</v>
      </c>
      <c r="G200" s="92" t="s">
        <v>69</v>
      </c>
      <c r="H200" s="92" t="s">
        <v>325</v>
      </c>
      <c r="I200" s="114"/>
      <c r="J200" s="111"/>
      <c r="K200" s="111"/>
      <c r="L200" s="94">
        <v>0</v>
      </c>
      <c r="M200" s="94" t="s">
        <v>61</v>
      </c>
      <c r="N200" s="94" t="s">
        <v>62</v>
      </c>
      <c r="O200" s="169"/>
      <c r="P200" s="169"/>
      <c r="Q200" s="169"/>
      <c r="R200" s="169" t="s">
        <v>64</v>
      </c>
      <c r="S200" s="156">
        <f>VLOOKUP(B200,'[2]62人'!$B:$R,17,FALSE)</f>
        <v>13</v>
      </c>
      <c r="T200" s="37">
        <v>12</v>
      </c>
      <c r="U200" s="170">
        <v>1</v>
      </c>
      <c r="V200" s="169">
        <v>1</v>
      </c>
      <c r="W200" s="169"/>
      <c r="X200" s="158">
        <f>VLOOKUP(B200,[4]考勤分析!$A:$I,4,FALSE)</f>
        <v>1.15042805100684</v>
      </c>
      <c r="Y200" s="90" t="b">
        <f>VLOOKUP(B200,[4]考勤分析!$A:$I,5,FALSE)</f>
        <v>0</v>
      </c>
      <c r="Z200" s="90">
        <f>VLOOKUP(B200,[4]考勤分析!$A:$I,6,FALSE)</f>
        <v>32</v>
      </c>
      <c r="AA200" s="90">
        <f>VLOOKUP(B200,[4]考勤分析!$A:$I,7,FALSE)</f>
        <v>23</v>
      </c>
      <c r="AB200" s="90">
        <f>VLOOKUP(B200,[4]考勤分析!$A:$I,8,FALSE)</f>
        <v>4</v>
      </c>
      <c r="AC200" s="90">
        <f>VLOOKUP(B200,[4]考勤分析!$A:$I,9,FALSE)</f>
        <v>2</v>
      </c>
      <c r="AD200" s="90">
        <v>1</v>
      </c>
      <c r="AE200" s="90">
        <v>2</v>
      </c>
      <c r="AF200" s="90">
        <v>1</v>
      </c>
      <c r="AG200" s="90">
        <v>3</v>
      </c>
      <c r="AH200" s="90">
        <v>8</v>
      </c>
      <c r="AI200" s="90">
        <v>1</v>
      </c>
      <c r="AJ200" s="90"/>
      <c r="AK200" s="90" t="str">
        <f>VLOOKUP(B200,[3]总表!$B:$W,22,FALSE)</f>
        <v>适中</v>
      </c>
      <c r="AL200" s="171"/>
      <c r="AM200" s="171"/>
      <c r="AN200" s="171"/>
      <c r="AO200" s="171"/>
      <c r="AP200" s="171"/>
      <c r="AQ200" s="171"/>
      <c r="AR200" s="171"/>
      <c r="AS200" s="171"/>
    </row>
    <row r="201" s="139" customFormat="1" ht="48" spans="1:45">
      <c r="A201" s="99">
        <v>199</v>
      </c>
      <c r="B201" s="98" t="s">
        <v>482</v>
      </c>
      <c r="C201" s="97" t="s">
        <v>189</v>
      </c>
      <c r="D201" s="98" t="s">
        <v>476</v>
      </c>
      <c r="E201" s="92" t="s">
        <v>56</v>
      </c>
      <c r="F201" s="168">
        <v>3</v>
      </c>
      <c r="G201" s="92" t="s">
        <v>69</v>
      </c>
      <c r="H201" s="92" t="s">
        <v>81</v>
      </c>
      <c r="I201" s="114"/>
      <c r="J201" s="111"/>
      <c r="K201" s="111"/>
      <c r="L201" s="94">
        <v>1</v>
      </c>
      <c r="M201" s="94" t="s">
        <v>61</v>
      </c>
      <c r="N201" s="94" t="s">
        <v>62</v>
      </c>
      <c r="O201" s="169"/>
      <c r="P201" s="169"/>
      <c r="Q201" s="169"/>
      <c r="R201" s="169"/>
      <c r="S201" s="156">
        <f>VLOOKUP(B201,'[2]62人'!$B:$R,17,FALSE)</f>
        <v>20</v>
      </c>
      <c r="T201" s="37">
        <v>0</v>
      </c>
      <c r="U201" s="170">
        <v>1</v>
      </c>
      <c r="V201" s="169"/>
      <c r="W201" s="169"/>
      <c r="X201" s="158">
        <f>VLOOKUP(B201,[4]考勤分析!$A:$I,4,FALSE)</f>
        <v>1.54584677419212</v>
      </c>
      <c r="Y201" s="90" t="b">
        <f>VLOOKUP(B201,[4]考勤分析!$A:$I,5,FALSE)</f>
        <v>0</v>
      </c>
      <c r="Z201" s="90">
        <f>VLOOKUP(B201,[4]考勤分析!$A:$I,6,FALSE)</f>
        <v>25</v>
      </c>
      <c r="AA201" s="90">
        <f>VLOOKUP(B201,[4]考勤分析!$A:$I,7,FALSE)</f>
        <v>20</v>
      </c>
      <c r="AB201" s="90">
        <f>VLOOKUP(B201,[4]考勤分析!$A:$I,8,FALSE)</f>
        <v>13</v>
      </c>
      <c r="AC201" s="90">
        <f>VLOOKUP(B201,[4]考勤分析!$A:$I,9,FALSE)</f>
        <v>4</v>
      </c>
      <c r="AD201" s="90">
        <v>1</v>
      </c>
      <c r="AE201" s="90">
        <v>0</v>
      </c>
      <c r="AF201" s="90">
        <v>1</v>
      </c>
      <c r="AG201" s="90">
        <v>3</v>
      </c>
      <c r="AH201" s="90">
        <v>0</v>
      </c>
      <c r="AI201" s="90">
        <v>1</v>
      </c>
      <c r="AJ201" s="90"/>
      <c r="AK201" s="90" t="str">
        <f>VLOOKUP(B201,[3]总表!$B:$W,22,FALSE)</f>
        <v>即将转岗，未安排重点工作</v>
      </c>
      <c r="AL201" s="171"/>
      <c r="AM201" s="171"/>
      <c r="AN201" s="171"/>
      <c r="AO201" s="171"/>
      <c r="AP201" s="171"/>
      <c r="AQ201" s="171"/>
      <c r="AR201" s="171"/>
      <c r="AS201" s="171"/>
    </row>
    <row r="202" s="139" customFormat="1" spans="1:45">
      <c r="A202" s="99">
        <v>200</v>
      </c>
      <c r="B202" s="98" t="s">
        <v>483</v>
      </c>
      <c r="C202" s="97" t="s">
        <v>189</v>
      </c>
      <c r="D202" s="98" t="s">
        <v>476</v>
      </c>
      <c r="E202" s="92" t="s">
        <v>68</v>
      </c>
      <c r="F202" s="168">
        <v>3</v>
      </c>
      <c r="G202" s="92" t="s">
        <v>69</v>
      </c>
      <c r="H202" s="92" t="s">
        <v>183</v>
      </c>
      <c r="I202" s="114"/>
      <c r="J202" s="111"/>
      <c r="K202" s="111"/>
      <c r="L202" s="94">
        <v>1</v>
      </c>
      <c r="M202" s="94" t="s">
        <v>61</v>
      </c>
      <c r="N202" s="94" t="s">
        <v>62</v>
      </c>
      <c r="O202" s="169"/>
      <c r="P202" s="169"/>
      <c r="Q202" s="169"/>
      <c r="R202" s="169"/>
      <c r="S202" s="156">
        <f>VLOOKUP(B202,'[2]62人'!$B:$R,17,FALSE)</f>
        <v>11</v>
      </c>
      <c r="T202" s="37">
        <v>16</v>
      </c>
      <c r="U202" s="170"/>
      <c r="V202" s="169"/>
      <c r="W202" s="169"/>
      <c r="X202" s="158">
        <f>VLOOKUP(B202,[4]考勤分析!$A:$I,4,FALSE)</f>
        <v>2.08027329748297</v>
      </c>
      <c r="Y202" s="90" t="b">
        <f>VLOOKUP(B202,[4]考勤分析!$A:$I,5,FALSE)</f>
        <v>1</v>
      </c>
      <c r="Z202" s="90">
        <f>VLOOKUP(B202,[4]考勤分析!$A:$I,6,FALSE)</f>
        <v>7</v>
      </c>
      <c r="AA202" s="90">
        <f>VLOOKUP(B202,[4]考勤分析!$A:$I,7,FALSE)</f>
        <v>36</v>
      </c>
      <c r="AB202" s="90">
        <f>VLOOKUP(B202,[4]考勤分析!$A:$I,8,FALSE)</f>
        <v>15</v>
      </c>
      <c r="AC202" s="90">
        <f>VLOOKUP(B202,[4]考勤分析!$A:$I,9,FALSE)</f>
        <v>4</v>
      </c>
      <c r="AD202" s="90">
        <v>0</v>
      </c>
      <c r="AE202" s="90">
        <v>1</v>
      </c>
      <c r="AF202" s="90">
        <v>0</v>
      </c>
      <c r="AG202" s="90">
        <v>1</v>
      </c>
      <c r="AH202" s="90">
        <v>0</v>
      </c>
      <c r="AI202" s="90">
        <v>0</v>
      </c>
      <c r="AJ202" s="90"/>
      <c r="AK202" s="90" t="str">
        <f>VLOOKUP(B202,[3]总表!$B:$W,22,FALSE)</f>
        <v>适中</v>
      </c>
      <c r="AL202" s="171"/>
      <c r="AM202" s="171"/>
      <c r="AN202" s="171"/>
      <c r="AO202" s="171"/>
      <c r="AP202" s="171"/>
      <c r="AQ202" s="171"/>
      <c r="AR202" s="171"/>
      <c r="AS202" s="171"/>
    </row>
    <row r="203" s="139" customFormat="1" ht="31" customHeight="1" spans="1:45">
      <c r="A203" s="99">
        <v>201</v>
      </c>
      <c r="B203" s="98" t="s">
        <v>484</v>
      </c>
      <c r="C203" s="97" t="s">
        <v>189</v>
      </c>
      <c r="D203" s="98" t="s">
        <v>476</v>
      </c>
      <c r="E203" s="92" t="s">
        <v>56</v>
      </c>
      <c r="F203" s="168">
        <v>22</v>
      </c>
      <c r="G203" s="92" t="s">
        <v>69</v>
      </c>
      <c r="H203" s="100" t="s">
        <v>485</v>
      </c>
      <c r="I203" s="114"/>
      <c r="J203" s="111"/>
      <c r="K203" s="111"/>
      <c r="L203" s="152">
        <v>1</v>
      </c>
      <c r="M203" s="94" t="s">
        <v>61</v>
      </c>
      <c r="N203" s="94" t="s">
        <v>71</v>
      </c>
      <c r="O203" s="169"/>
      <c r="P203" s="169"/>
      <c r="Q203" s="169"/>
      <c r="R203" s="169"/>
      <c r="S203" s="156">
        <f>VLOOKUP(B203,'[2]62人'!$B:$R,17,FALSE)</f>
        <v>1</v>
      </c>
      <c r="T203" s="37">
        <v>8</v>
      </c>
      <c r="U203" s="170">
        <v>2</v>
      </c>
      <c r="V203" s="169"/>
      <c r="W203" s="169"/>
      <c r="X203" s="158">
        <f>VLOOKUP(B203,[4]考勤分析!$A:$I,4,FALSE)</f>
        <v>0.24315972221666</v>
      </c>
      <c r="Y203" s="90" t="b">
        <f>VLOOKUP(B203,[4]考勤分析!$A:$I,5,FALSE)</f>
        <v>0</v>
      </c>
      <c r="Z203" s="90">
        <f>VLOOKUP(B203,[4]考勤分析!$A:$I,6,FALSE)</f>
        <v>56</v>
      </c>
      <c r="AA203" s="90">
        <f>VLOOKUP(B203,[4]考勤分析!$A:$I,7,FALSE)</f>
        <v>0</v>
      </c>
      <c r="AB203" s="90">
        <f>VLOOKUP(B203,[4]考勤分析!$A:$I,8,FALSE)</f>
        <v>0</v>
      </c>
      <c r="AC203" s="90">
        <f>VLOOKUP(B203,[4]考勤分析!$A:$I,9,FALSE)</f>
        <v>0</v>
      </c>
      <c r="AD203" s="90">
        <v>0</v>
      </c>
      <c r="AE203" s="90">
        <v>0</v>
      </c>
      <c r="AF203" s="90">
        <v>0</v>
      </c>
      <c r="AG203" s="90">
        <v>1</v>
      </c>
      <c r="AH203" s="90">
        <v>0</v>
      </c>
      <c r="AI203" s="90">
        <v>0</v>
      </c>
      <c r="AJ203" s="90"/>
      <c r="AK203" s="90" t="str">
        <f>VLOOKUP(B203,[3]总表!$B:$W,22,FALSE)</f>
        <v>不饱和</v>
      </c>
      <c r="AL203" s="171"/>
      <c r="AM203" s="171"/>
      <c r="AN203" s="171"/>
      <c r="AO203" s="171"/>
      <c r="AP203" s="171"/>
      <c r="AQ203" s="171"/>
      <c r="AR203" s="171"/>
      <c r="AS203" s="171"/>
    </row>
    <row r="204" s="139" customFormat="1" spans="1:45">
      <c r="A204" s="99">
        <v>202</v>
      </c>
      <c r="B204" s="96" t="s">
        <v>486</v>
      </c>
      <c r="C204" s="97" t="s">
        <v>189</v>
      </c>
      <c r="D204" s="98" t="s">
        <v>476</v>
      </c>
      <c r="E204" s="92" t="s">
        <v>68</v>
      </c>
      <c r="F204" s="168">
        <v>3</v>
      </c>
      <c r="G204" s="92" t="s">
        <v>69</v>
      </c>
      <c r="H204" s="92" t="s">
        <v>405</v>
      </c>
      <c r="I204" s="114"/>
      <c r="J204" s="111"/>
      <c r="K204" s="111"/>
      <c r="L204" s="152">
        <v>3</v>
      </c>
      <c r="M204" s="94" t="s">
        <v>61</v>
      </c>
      <c r="N204" s="94" t="s">
        <v>62</v>
      </c>
      <c r="O204" s="133"/>
      <c r="P204" s="133"/>
      <c r="Q204" s="133"/>
      <c r="R204" s="133"/>
      <c r="S204" s="156">
        <f>VLOOKUP(B204,'[2]62人'!$B:$R,17,FALSE)</f>
        <v>12</v>
      </c>
      <c r="T204" s="37">
        <v>0</v>
      </c>
      <c r="U204" s="186"/>
      <c r="V204" s="133"/>
      <c r="W204" s="133"/>
      <c r="X204" s="158">
        <f>VLOOKUP(B204,[4]考勤分析!$A:$I,4,FALSE)</f>
        <v>1.29765065912536</v>
      </c>
      <c r="Y204" s="90" t="b">
        <f>VLOOKUP(B204,[4]考勤分析!$A:$I,5,FALSE)</f>
        <v>0</v>
      </c>
      <c r="Z204" s="90">
        <f>VLOOKUP(B204,[4]考勤分析!$A:$I,6,FALSE)</f>
        <v>22</v>
      </c>
      <c r="AA204" s="90">
        <f>VLOOKUP(B204,[4]考勤分析!$A:$I,7,FALSE)</f>
        <v>28</v>
      </c>
      <c r="AB204" s="90">
        <f>VLOOKUP(B204,[4]考勤分析!$A:$I,8,FALSE)</f>
        <v>8</v>
      </c>
      <c r="AC204" s="90">
        <f>VLOOKUP(B204,[4]考勤分析!$A:$I,9,FALSE)</f>
        <v>1</v>
      </c>
      <c r="AD204" s="90">
        <v>0</v>
      </c>
      <c r="AE204" s="90">
        <v>0</v>
      </c>
      <c r="AF204" s="90">
        <v>0</v>
      </c>
      <c r="AG204" s="90">
        <v>1</v>
      </c>
      <c r="AH204" s="90">
        <v>0</v>
      </c>
      <c r="AI204" s="90">
        <v>0</v>
      </c>
      <c r="AJ204" s="90"/>
      <c r="AK204" s="90" t="str">
        <f>VLOOKUP(B204,[3]总表!$B:$W,22,FALSE)</f>
        <v>适中</v>
      </c>
      <c r="AL204" s="171"/>
      <c r="AM204" s="171"/>
      <c r="AN204" s="171"/>
      <c r="AO204" s="171"/>
      <c r="AP204" s="171"/>
      <c r="AQ204" s="171"/>
      <c r="AR204" s="171"/>
      <c r="AS204" s="171"/>
    </row>
    <row r="205" s="139" customFormat="1" spans="1:45">
      <c r="A205" s="99">
        <v>203</v>
      </c>
      <c r="B205" s="98" t="s">
        <v>487</v>
      </c>
      <c r="C205" s="97" t="s">
        <v>189</v>
      </c>
      <c r="D205" s="98" t="s">
        <v>476</v>
      </c>
      <c r="E205" s="133"/>
      <c r="F205" s="168" t="e">
        <v>#N/A</v>
      </c>
      <c r="G205" s="92" t="s">
        <v>69</v>
      </c>
      <c r="H205" s="92" t="s">
        <v>407</v>
      </c>
      <c r="I205" s="114"/>
      <c r="J205" s="111"/>
      <c r="K205" s="111"/>
      <c r="L205" s="94">
        <v>0</v>
      </c>
      <c r="M205" s="94" t="s">
        <v>61</v>
      </c>
      <c r="N205" s="94" t="s">
        <v>71</v>
      </c>
      <c r="O205" s="133"/>
      <c r="P205" s="133"/>
      <c r="Q205" s="133"/>
      <c r="R205" s="133"/>
      <c r="S205" s="156">
        <f>VLOOKUP(B205,'[2]62人'!$B:$R,17,FALSE)</f>
        <v>1</v>
      </c>
      <c r="T205" s="37">
        <v>0</v>
      </c>
      <c r="U205" s="186"/>
      <c r="V205" s="133"/>
      <c r="W205" s="133"/>
      <c r="X205" s="158">
        <f>VLOOKUP(B205,[4]考勤分析!$A:$I,4,FALSE)</f>
        <v>2.16954144621212</v>
      </c>
      <c r="Y205" s="90" t="b">
        <f>VLOOKUP(B205,[4]考勤分析!$A:$I,5,FALSE)</f>
        <v>1</v>
      </c>
      <c r="Z205" s="90">
        <f>VLOOKUP(B205,[4]考勤分析!$A:$I,6,FALSE)</f>
        <v>11</v>
      </c>
      <c r="AA205" s="90">
        <f>VLOOKUP(B205,[4]考勤分析!$A:$I,7,FALSE)</f>
        <v>23</v>
      </c>
      <c r="AB205" s="90">
        <f>VLOOKUP(B205,[4]考勤分析!$A:$I,8,FALSE)</f>
        <v>24</v>
      </c>
      <c r="AC205" s="90">
        <f>VLOOKUP(B205,[4]考勤分析!$A:$I,9,FALSE)</f>
        <v>5</v>
      </c>
      <c r="AD205" s="90">
        <v>0</v>
      </c>
      <c r="AE205" s="90">
        <v>0</v>
      </c>
      <c r="AF205" s="90">
        <v>0</v>
      </c>
      <c r="AG205" s="90">
        <v>1</v>
      </c>
      <c r="AH205" s="90">
        <v>0</v>
      </c>
      <c r="AI205" s="90">
        <v>0</v>
      </c>
      <c r="AJ205" s="90"/>
      <c r="AK205" s="90" t="str">
        <f>VLOOKUP(B205,[3]总表!$B:$W,22,FALSE)</f>
        <v>适中</v>
      </c>
      <c r="AL205" s="171"/>
      <c r="AM205" s="171"/>
      <c r="AN205" s="171"/>
      <c r="AO205" s="171"/>
      <c r="AP205" s="171"/>
      <c r="AQ205" s="171"/>
      <c r="AR205" s="171"/>
      <c r="AS205" s="171"/>
    </row>
  </sheetData>
  <autoFilter ref="A2:AT205">
    <extLst/>
  </autoFilter>
  <mergeCells count="11">
    <mergeCell ref="C1:H1"/>
    <mergeCell ref="I1:N1"/>
    <mergeCell ref="O1:Q1"/>
    <mergeCell ref="S1:W1"/>
    <mergeCell ref="X1:AC1"/>
    <mergeCell ref="AD1:AI1"/>
    <mergeCell ref="AL1:AR1"/>
    <mergeCell ref="A1:A2"/>
    <mergeCell ref="B1:B2"/>
    <mergeCell ref="R1:R2"/>
    <mergeCell ref="AS1:AS2"/>
  </mergeCells>
  <conditionalFormatting sqref="B1">
    <cfRule type="duplicateValues" dxfId="0" priority="1"/>
  </conditionalFormatting>
  <conditionalFormatting sqref="B3:B1048576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108"/>
  <sheetViews>
    <sheetView workbookViewId="0">
      <selection activeCell="Y18" sqref="Y18"/>
    </sheetView>
  </sheetViews>
  <sheetFormatPr defaultColWidth="8.88888888888889" defaultRowHeight="14.4"/>
  <cols>
    <col min="1" max="1" width="5.63888888888889" style="77" customWidth="1"/>
    <col min="2" max="2" width="13.4444444444444" style="77" customWidth="1"/>
    <col min="3" max="3" width="11.4444444444444" style="78" customWidth="1"/>
    <col min="4" max="4" width="11.6666666666667" style="78" customWidth="1"/>
    <col min="5" max="9" width="8.88888888888889" style="78" customWidth="1"/>
    <col min="10" max="11" width="8.55555555555556" style="79" customWidth="1"/>
    <col min="12" max="14" width="8" style="80" customWidth="1"/>
    <col min="15" max="22" width="8" style="78" customWidth="1"/>
    <col min="23" max="23" width="9.66666666666667" style="78" customWidth="1"/>
    <col min="24" max="24" width="17.3333333333333" style="31" customWidth="1"/>
    <col min="25" max="25" width="25.3333333333333" style="81" customWidth="1"/>
    <col min="26" max="26" width="9.25" style="78" customWidth="1"/>
    <col min="27" max="27" width="21.8888888888889" style="77" customWidth="1"/>
    <col min="28" max="28" width="9.55555555555556" style="78" customWidth="1"/>
    <col min="29" max="29" width="16.1111111111111" style="78" customWidth="1"/>
    <col min="30" max="30" width="12.1296296296296" style="78" customWidth="1"/>
    <col min="31" max="31" width="23.2222222222222" style="82" customWidth="1"/>
    <col min="32" max="32" width="15.8888888888889" customWidth="1"/>
  </cols>
  <sheetData>
    <row r="1" ht="21" customHeight="1" spans="1:32">
      <c r="A1" s="83" t="s">
        <v>0</v>
      </c>
      <c r="B1" s="84" t="s">
        <v>1</v>
      </c>
      <c r="C1" s="85" t="s">
        <v>2</v>
      </c>
      <c r="D1" s="85"/>
      <c r="E1" s="85"/>
      <c r="F1" s="85"/>
      <c r="G1" s="85"/>
      <c r="H1" s="86"/>
      <c r="I1" s="85"/>
      <c r="J1" s="105" t="s">
        <v>488</v>
      </c>
      <c r="K1" s="105"/>
      <c r="L1" s="106"/>
      <c r="M1" s="106"/>
      <c r="N1" s="106"/>
      <c r="O1" s="107"/>
      <c r="P1" s="107"/>
      <c r="Q1" s="107"/>
      <c r="R1" s="107"/>
      <c r="S1" s="107"/>
      <c r="T1" s="107"/>
      <c r="U1" s="107"/>
      <c r="V1" s="107"/>
      <c r="W1" s="115" t="s">
        <v>44</v>
      </c>
      <c r="X1" s="116" t="s">
        <v>489</v>
      </c>
      <c r="Y1" s="121"/>
      <c r="Z1" s="116"/>
      <c r="AA1" s="122"/>
      <c r="AB1" s="116"/>
      <c r="AC1" s="116"/>
      <c r="AD1" s="116"/>
      <c r="AE1" s="123" t="s">
        <v>490</v>
      </c>
      <c r="AF1" s="123"/>
    </row>
    <row r="2" s="31" customFormat="1" ht="113" customHeight="1" spans="1:32">
      <c r="A2" s="84"/>
      <c r="B2" s="84"/>
      <c r="C2" s="87" t="s">
        <v>12</v>
      </c>
      <c r="D2" s="87" t="s">
        <v>13</v>
      </c>
      <c r="E2" s="87" t="s">
        <v>14</v>
      </c>
      <c r="F2" s="87" t="s">
        <v>15</v>
      </c>
      <c r="G2" s="87" t="s">
        <v>16</v>
      </c>
      <c r="H2" s="87" t="s">
        <v>17</v>
      </c>
      <c r="I2" s="87" t="s">
        <v>491</v>
      </c>
      <c r="J2" s="108" t="s">
        <v>32</v>
      </c>
      <c r="K2" s="108" t="s">
        <v>33</v>
      </c>
      <c r="L2" s="109" t="s">
        <v>34</v>
      </c>
      <c r="M2" s="109" t="s">
        <v>35</v>
      </c>
      <c r="N2" s="109" t="s">
        <v>36</v>
      </c>
      <c r="O2" s="110" t="s">
        <v>37</v>
      </c>
      <c r="P2" s="110" t="s">
        <v>38</v>
      </c>
      <c r="Q2" s="110" t="s">
        <v>39</v>
      </c>
      <c r="R2" s="110" t="s">
        <v>40</v>
      </c>
      <c r="S2" s="110" t="s">
        <v>41</v>
      </c>
      <c r="T2" s="110" t="s">
        <v>42</v>
      </c>
      <c r="U2" s="110" t="s">
        <v>43</v>
      </c>
      <c r="V2" s="117" t="s">
        <v>492</v>
      </c>
      <c r="W2" s="118"/>
      <c r="X2" s="119" t="s">
        <v>493</v>
      </c>
      <c r="Y2" s="124" t="s">
        <v>494</v>
      </c>
      <c r="Z2" s="125" t="s">
        <v>495</v>
      </c>
      <c r="AA2" s="126" t="s">
        <v>496</v>
      </c>
      <c r="AB2" s="125" t="s">
        <v>497</v>
      </c>
      <c r="AC2" s="125" t="s">
        <v>498</v>
      </c>
      <c r="AD2" s="125" t="s">
        <v>499</v>
      </c>
      <c r="AE2" s="127" t="s">
        <v>500</v>
      </c>
      <c r="AF2" s="128" t="s">
        <v>501</v>
      </c>
    </row>
    <row r="3" ht="43.2" hidden="1" spans="1:32">
      <c r="A3" s="88">
        <v>1</v>
      </c>
      <c r="B3" s="89" t="s">
        <v>53</v>
      </c>
      <c r="C3" s="90" t="s">
        <v>54</v>
      </c>
      <c r="D3" s="91" t="s">
        <v>55</v>
      </c>
      <c r="E3" s="92" t="s">
        <v>56</v>
      </c>
      <c r="F3" s="93">
        <v>7</v>
      </c>
      <c r="G3" s="94" t="s">
        <v>57</v>
      </c>
      <c r="H3" s="95" t="s">
        <v>58</v>
      </c>
      <c r="I3" s="111" t="s">
        <v>59</v>
      </c>
      <c r="J3" s="112">
        <f>VLOOKUP(B3,[3]加班情况分析!D:G,4,FALSE)</f>
        <v>3.95537634408608</v>
      </c>
      <c r="K3" s="112" t="b">
        <f>VLOOKUP(B3,[3]加班情况分析!D:H,5,FALSE)</f>
        <v>1</v>
      </c>
      <c r="L3" s="113">
        <f>VLOOKUP(B3,[3]加班情况分析!D:L,6,FALSE)</f>
        <v>8</v>
      </c>
      <c r="M3" s="113">
        <f>VLOOKUP($B3,[3]加班情况分析!$D:$L,7,FALSE)</f>
        <v>2</v>
      </c>
      <c r="N3" s="113">
        <f>VLOOKUP($B3,[3]加班情况分析!$D:$L,8,FALSE)</f>
        <v>12</v>
      </c>
      <c r="O3" s="91">
        <f>VLOOKUP(B3,[3]加班情况分析!D:L,9,FALSE)</f>
        <v>40</v>
      </c>
      <c r="P3" s="91"/>
      <c r="Q3" s="91">
        <f>VLOOKUP(B3,'[3]牵头需求（当前进行中）'!A:B,2,FALSE)</f>
        <v>1</v>
      </c>
      <c r="R3" s="91"/>
      <c r="S3" s="91">
        <v>1</v>
      </c>
      <c r="T3" s="91"/>
      <c r="U3" s="91"/>
      <c r="V3" s="91"/>
      <c r="W3" s="91" t="s">
        <v>502</v>
      </c>
      <c r="X3" s="120" t="s">
        <v>503</v>
      </c>
      <c r="Y3" s="94" t="s">
        <v>504</v>
      </c>
      <c r="Z3" s="129">
        <v>0.5</v>
      </c>
      <c r="AA3" s="94" t="s">
        <v>505</v>
      </c>
      <c r="AB3" s="129">
        <v>0.5</v>
      </c>
      <c r="AC3" s="94"/>
      <c r="AD3" s="94"/>
      <c r="AE3" s="130" t="s">
        <v>506</v>
      </c>
      <c r="AF3" s="7" t="s">
        <v>263</v>
      </c>
    </row>
    <row r="4" ht="43.2" hidden="1" spans="1:32">
      <c r="A4" s="88">
        <v>2</v>
      </c>
      <c r="B4" s="93" t="s">
        <v>67</v>
      </c>
      <c r="C4" s="90" t="s">
        <v>54</v>
      </c>
      <c r="D4" s="91" t="s">
        <v>55</v>
      </c>
      <c r="E4" s="92" t="s">
        <v>68</v>
      </c>
      <c r="F4" s="93">
        <v>13</v>
      </c>
      <c r="G4" s="94" t="s">
        <v>69</v>
      </c>
      <c r="H4" s="95" t="s">
        <v>58</v>
      </c>
      <c r="I4" s="111" t="s">
        <v>70</v>
      </c>
      <c r="J4" s="112">
        <f>VLOOKUP(B4,[3]加班情况分析!D:G,4,FALSE)</f>
        <v>2.79798371646983</v>
      </c>
      <c r="K4" s="112" t="b">
        <f>VLOOKUP(B4,[3]加班情况分析!D:H,5,FALSE)</f>
        <v>1</v>
      </c>
      <c r="L4" s="113">
        <f>VLOOKUP(B4,[3]加班情况分析!D:L,6,FALSE)</f>
        <v>10</v>
      </c>
      <c r="M4" s="113">
        <f>VLOOKUP($B4,[3]加班情况分析!$D:$L,7,FALSE)</f>
        <v>4</v>
      </c>
      <c r="N4" s="113">
        <f>VLOOKUP($B4,[3]加班情况分析!$D:$L,8,FALSE)</f>
        <v>32</v>
      </c>
      <c r="O4" s="91">
        <f>VLOOKUP(B4,[3]加班情况分析!D:L,9,FALSE)</f>
        <v>12</v>
      </c>
      <c r="P4" s="91"/>
      <c r="Q4" s="91"/>
      <c r="R4" s="91"/>
      <c r="S4" s="91">
        <v>1</v>
      </c>
      <c r="T4" s="91"/>
      <c r="U4" s="91"/>
      <c r="V4" s="91"/>
      <c r="W4" s="91" t="s">
        <v>263</v>
      </c>
      <c r="X4" s="120" t="s">
        <v>507</v>
      </c>
      <c r="Y4" s="94" t="s">
        <v>508</v>
      </c>
      <c r="Z4" s="129">
        <v>0.8</v>
      </c>
      <c r="AA4" s="94" t="s">
        <v>509</v>
      </c>
      <c r="AB4" s="129">
        <v>0.2</v>
      </c>
      <c r="AC4" s="94"/>
      <c r="AD4" s="94"/>
      <c r="AE4" s="130" t="s">
        <v>510</v>
      </c>
      <c r="AF4" s="7" t="s">
        <v>263</v>
      </c>
    </row>
    <row r="5" ht="28.8" hidden="1" spans="1:32">
      <c r="A5" s="88">
        <v>3</v>
      </c>
      <c r="B5" s="93" t="s">
        <v>74</v>
      </c>
      <c r="C5" s="90" t="s">
        <v>54</v>
      </c>
      <c r="D5" s="91" t="s">
        <v>75</v>
      </c>
      <c r="E5" s="92" t="s">
        <v>56</v>
      </c>
      <c r="F5" s="93">
        <v>20</v>
      </c>
      <c r="G5" s="94" t="s">
        <v>57</v>
      </c>
      <c r="H5" s="95" t="s">
        <v>76</v>
      </c>
      <c r="I5" s="111" t="s">
        <v>59</v>
      </c>
      <c r="J5" s="112">
        <f>VLOOKUP(B5,[3]加班情况分析!D:G,4,FALSE)</f>
        <v>2.8332375478981</v>
      </c>
      <c r="K5" s="112" t="b">
        <f>VLOOKUP(B5,[3]加班情况分析!D:H,5,FALSE)</f>
        <v>1</v>
      </c>
      <c r="L5" s="113">
        <f>VLOOKUP(B5,[3]加班情况分析!D:L,6,FALSE)</f>
        <v>3</v>
      </c>
      <c r="M5" s="113">
        <f>VLOOKUP($B5,[3]加班情况分析!$D:$L,7,FALSE)</f>
        <v>10</v>
      </c>
      <c r="N5" s="113">
        <f>VLOOKUP($B5,[3]加班情况分析!$D:$L,8,FALSE)</f>
        <v>38</v>
      </c>
      <c r="O5" s="91">
        <f>VLOOKUP(B5,[3]加班情况分析!D:L,9,FALSE)</f>
        <v>7</v>
      </c>
      <c r="P5" s="91"/>
      <c r="Q5" s="91">
        <f>VLOOKUP(B5,'[3]牵头需求（当前进行中）'!A:B,2,FALSE)</f>
        <v>5</v>
      </c>
      <c r="R5" s="91">
        <f>VLOOKUP(B5,[3]主管应用系统数量!I:J,2,FALSE)</f>
        <v>1</v>
      </c>
      <c r="S5" s="91">
        <v>1</v>
      </c>
      <c r="T5" s="91">
        <f>VLOOKUP(B5,[3]二季度变更任务!A:B,2,FALSE)</f>
        <v>24</v>
      </c>
      <c r="U5" s="91">
        <f>VLOOKUP(B5,[3]三季度变更任务!A:B,2,FALSE)</f>
        <v>13</v>
      </c>
      <c r="V5" s="91"/>
      <c r="W5" s="91" t="s">
        <v>502</v>
      </c>
      <c r="X5" s="120" t="s">
        <v>511</v>
      </c>
      <c r="Y5" s="94" t="s">
        <v>512</v>
      </c>
      <c r="Z5" s="129">
        <v>0.7</v>
      </c>
      <c r="AA5" s="94" t="s">
        <v>513</v>
      </c>
      <c r="AB5" s="129">
        <v>0.3</v>
      </c>
      <c r="AC5" s="94"/>
      <c r="AD5" s="94"/>
      <c r="AE5" s="130" t="s">
        <v>506</v>
      </c>
      <c r="AF5" s="7" t="s">
        <v>263</v>
      </c>
    </row>
    <row r="6" ht="21.6" hidden="1" spans="1:32">
      <c r="A6" s="88">
        <v>4</v>
      </c>
      <c r="B6" s="93" t="s">
        <v>80</v>
      </c>
      <c r="C6" s="90" t="s">
        <v>54</v>
      </c>
      <c r="D6" s="91" t="s">
        <v>75</v>
      </c>
      <c r="E6" s="92" t="s">
        <v>56</v>
      </c>
      <c r="F6" s="93">
        <v>18</v>
      </c>
      <c r="G6" s="94" t="s">
        <v>69</v>
      </c>
      <c r="H6" s="95" t="s">
        <v>81</v>
      </c>
      <c r="I6" s="111" t="s">
        <v>514</v>
      </c>
      <c r="J6" s="112">
        <f>VLOOKUP(B6,[3]加班情况分析!D:G,4,FALSE)</f>
        <v>2.42951506591832</v>
      </c>
      <c r="K6" s="112" t="b">
        <f>VLOOKUP(B6,[3]加班情况分析!D:H,5,FALSE)</f>
        <v>0</v>
      </c>
      <c r="L6" s="113">
        <f>VLOOKUP(B6,[3]加班情况分析!D:L,6,FALSE)</f>
        <v>0</v>
      </c>
      <c r="M6" s="113">
        <f>VLOOKUP($B6,[3]加班情况分析!$D:$L,7,FALSE)</f>
        <v>10</v>
      </c>
      <c r="N6" s="113">
        <f>VLOOKUP($B6,[3]加班情况分析!$D:$L,8,FALSE)</f>
        <v>49</v>
      </c>
      <c r="O6" s="91">
        <f>VLOOKUP(B6,[3]加班情况分析!D:L,9,FALSE)</f>
        <v>0</v>
      </c>
      <c r="P6" s="91"/>
      <c r="Q6" s="91"/>
      <c r="R6" s="91"/>
      <c r="S6" s="91">
        <v>1</v>
      </c>
      <c r="T6" s="91"/>
      <c r="U6" s="91">
        <f>VLOOKUP(B6,[3]三季度变更任务!A:B,2,FALSE)</f>
        <v>1</v>
      </c>
      <c r="V6" s="91"/>
      <c r="W6" s="91" t="s">
        <v>515</v>
      </c>
      <c r="X6" s="120" t="s">
        <v>516</v>
      </c>
      <c r="Y6" s="94" t="s">
        <v>517</v>
      </c>
      <c r="Z6" s="129">
        <v>1</v>
      </c>
      <c r="AA6" s="94"/>
      <c r="AB6" s="94"/>
      <c r="AC6" s="94"/>
      <c r="AD6" s="94"/>
      <c r="AE6" s="130" t="s">
        <v>506</v>
      </c>
      <c r="AF6" s="7" t="s">
        <v>515</v>
      </c>
    </row>
    <row r="7" ht="43.2" hidden="1" spans="1:32">
      <c r="A7" s="88">
        <v>5</v>
      </c>
      <c r="B7" s="89" t="s">
        <v>83</v>
      </c>
      <c r="C7" s="90" t="s">
        <v>54</v>
      </c>
      <c r="D7" s="91" t="s">
        <v>84</v>
      </c>
      <c r="E7" s="92" t="s">
        <v>68</v>
      </c>
      <c r="F7" s="93">
        <v>4</v>
      </c>
      <c r="G7" s="94" t="s">
        <v>69</v>
      </c>
      <c r="H7" s="95" t="s">
        <v>81</v>
      </c>
      <c r="I7" s="111" t="s">
        <v>59</v>
      </c>
      <c r="J7" s="112">
        <f>VLOOKUP(B7,[3]加班情况分析!D:G,4,FALSE)</f>
        <v>3.64984972678892</v>
      </c>
      <c r="K7" s="112" t="b">
        <f>VLOOKUP(B7,[3]加班情况分析!D:H,5,FALSE)</f>
        <v>1</v>
      </c>
      <c r="L7" s="113">
        <f>VLOOKUP(B7,[3]加班情况分析!D:L,6,FALSE)</f>
        <v>3</v>
      </c>
      <c r="M7" s="113">
        <f>VLOOKUP($B7,[3]加班情况分析!$D:$L,7,FALSE)</f>
        <v>4</v>
      </c>
      <c r="N7" s="113">
        <f>VLOOKUP($B7,[3]加班情况分析!$D:$L,8,FALSE)</f>
        <v>24</v>
      </c>
      <c r="O7" s="91">
        <f>VLOOKUP(B7,[3]加班情况分析!D:L,9,FALSE)</f>
        <v>30</v>
      </c>
      <c r="P7" s="91"/>
      <c r="Q7" s="91">
        <f>VLOOKUP(B7,'[3]牵头需求（当前进行中）'!A:B,2,FALSE)</f>
        <v>2</v>
      </c>
      <c r="R7" s="91"/>
      <c r="S7" s="91">
        <v>1</v>
      </c>
      <c r="T7" s="91">
        <f>VLOOKUP(B7,[3]二季度变更任务!A:B,2,FALSE)</f>
        <v>8</v>
      </c>
      <c r="U7" s="91">
        <f>VLOOKUP(B7,[3]三季度变更任务!A:B,2,FALSE)</f>
        <v>7</v>
      </c>
      <c r="V7" s="91"/>
      <c r="W7" s="91" t="s">
        <v>502</v>
      </c>
      <c r="X7" s="120" t="s">
        <v>518</v>
      </c>
      <c r="Y7" s="94" t="s">
        <v>519</v>
      </c>
      <c r="Z7" s="129">
        <v>0.5</v>
      </c>
      <c r="AA7" s="94" t="s">
        <v>520</v>
      </c>
      <c r="AB7" s="129">
        <v>0.5</v>
      </c>
      <c r="AC7" s="94"/>
      <c r="AD7" s="94"/>
      <c r="AE7" s="130" t="s">
        <v>506</v>
      </c>
      <c r="AF7" s="7" t="s">
        <v>263</v>
      </c>
    </row>
    <row r="8" ht="21.6" hidden="1" spans="1:32">
      <c r="A8" s="88">
        <v>6</v>
      </c>
      <c r="B8" s="93" t="s">
        <v>86</v>
      </c>
      <c r="C8" s="90" t="s">
        <v>54</v>
      </c>
      <c r="D8" s="91" t="s">
        <v>84</v>
      </c>
      <c r="E8" s="92" t="s">
        <v>68</v>
      </c>
      <c r="F8" s="93">
        <v>11</v>
      </c>
      <c r="G8" s="94" t="s">
        <v>57</v>
      </c>
      <c r="H8" s="95" t="s">
        <v>87</v>
      </c>
      <c r="I8" s="111" t="s">
        <v>59</v>
      </c>
      <c r="J8" s="112">
        <f>VLOOKUP(B8,[3]加班情况分析!D:G,4,FALSE)</f>
        <v>2.62597484277113</v>
      </c>
      <c r="K8" s="112" t="b">
        <f>VLOOKUP(B8,[3]加班情况分析!D:H,5,FALSE)</f>
        <v>1</v>
      </c>
      <c r="L8" s="113">
        <f>VLOOKUP(B8,[3]加班情况分析!D:L,6,FALSE)</f>
        <v>5</v>
      </c>
      <c r="M8" s="113">
        <f>VLOOKUP($B8,[3]加班情况分析!$D:$L,7,FALSE)</f>
        <v>13</v>
      </c>
      <c r="N8" s="113">
        <f>VLOOKUP($B8,[3]加班情况分析!$D:$L,8,FALSE)</f>
        <v>27</v>
      </c>
      <c r="O8" s="91">
        <f>VLOOKUP(B8,[3]加班情况分析!D:L,9,FALSE)</f>
        <v>8</v>
      </c>
      <c r="P8" s="91"/>
      <c r="Q8" s="91">
        <f>VLOOKUP(B8,'[3]牵头需求（当前进行中）'!A:B,2,FALSE)</f>
        <v>2</v>
      </c>
      <c r="R8" s="91"/>
      <c r="S8" s="91">
        <v>2</v>
      </c>
      <c r="T8" s="91"/>
      <c r="U8" s="91"/>
      <c r="V8" s="91"/>
      <c r="W8" s="91" t="s">
        <v>502</v>
      </c>
      <c r="X8" s="120" t="s">
        <v>521</v>
      </c>
      <c r="Y8" s="94" t="s">
        <v>522</v>
      </c>
      <c r="Z8" s="129">
        <v>1</v>
      </c>
      <c r="AA8" s="94"/>
      <c r="AB8" s="94"/>
      <c r="AC8" s="94"/>
      <c r="AD8" s="94"/>
      <c r="AE8" s="130" t="s">
        <v>506</v>
      </c>
      <c r="AF8" s="7" t="s">
        <v>502</v>
      </c>
    </row>
    <row r="9" ht="43.2" hidden="1" spans="1:32">
      <c r="A9" s="88">
        <v>7</v>
      </c>
      <c r="B9" s="89" t="s">
        <v>89</v>
      </c>
      <c r="C9" s="90" t="s">
        <v>54</v>
      </c>
      <c r="D9" s="91" t="s">
        <v>84</v>
      </c>
      <c r="E9" s="92" t="s">
        <v>56</v>
      </c>
      <c r="F9" s="93">
        <v>3</v>
      </c>
      <c r="G9" s="94" t="s">
        <v>69</v>
      </c>
      <c r="H9" s="95" t="s">
        <v>90</v>
      </c>
      <c r="I9" s="111" t="s">
        <v>59</v>
      </c>
      <c r="J9" s="112">
        <f>VLOOKUP(B9,[3]加班情况分析!D:G,4,FALSE)</f>
        <v>3.87094262294704</v>
      </c>
      <c r="K9" s="112" t="b">
        <f>VLOOKUP(B9,[3]加班情况分析!D:H,5,FALSE)</f>
        <v>1</v>
      </c>
      <c r="L9" s="113">
        <f>VLOOKUP(B9,[3]加班情况分析!D:L,6,FALSE)</f>
        <v>1</v>
      </c>
      <c r="M9" s="113">
        <f>VLOOKUP($B9,[3]加班情况分析!$D:$L,7,FALSE)</f>
        <v>4</v>
      </c>
      <c r="N9" s="113">
        <f>VLOOKUP($B9,[3]加班情况分析!$D:$L,8,FALSE)</f>
        <v>23</v>
      </c>
      <c r="O9" s="91">
        <f>VLOOKUP(B9,[3]加班情况分析!D:L,9,FALSE)</f>
        <v>33</v>
      </c>
      <c r="P9" s="91"/>
      <c r="Q9" s="91">
        <f>VLOOKUP(B9,'[3]牵头需求（当前进行中）'!A:B,2,FALSE)</f>
        <v>2</v>
      </c>
      <c r="R9" s="91">
        <f>VLOOKUP(B9,[3]主管应用系统数量!I:J,2,FALSE)</f>
        <v>1</v>
      </c>
      <c r="S9" s="91">
        <v>3</v>
      </c>
      <c r="T9" s="91">
        <f>VLOOKUP(B9,[3]二季度变更任务!A:B,2,FALSE)</f>
        <v>10</v>
      </c>
      <c r="U9" s="91">
        <f>VLOOKUP(B9,[3]三季度变更任务!A:B,2,FALSE)</f>
        <v>6</v>
      </c>
      <c r="V9" s="91"/>
      <c r="W9" s="91" t="s">
        <v>502</v>
      </c>
      <c r="X9" s="120" t="s">
        <v>523</v>
      </c>
      <c r="Y9" s="94" t="s">
        <v>524</v>
      </c>
      <c r="Z9" s="129">
        <v>0.5</v>
      </c>
      <c r="AA9" s="94" t="s">
        <v>525</v>
      </c>
      <c r="AB9" s="129">
        <v>0.5</v>
      </c>
      <c r="AC9" s="94"/>
      <c r="AD9" s="94"/>
      <c r="AE9" s="130" t="s">
        <v>506</v>
      </c>
      <c r="AF9" s="7" t="s">
        <v>263</v>
      </c>
    </row>
    <row r="10" ht="24" hidden="1" spans="1:32">
      <c r="A10" s="88">
        <v>8</v>
      </c>
      <c r="B10" s="93" t="s">
        <v>230</v>
      </c>
      <c r="C10" s="90" t="s">
        <v>54</v>
      </c>
      <c r="D10" s="90" t="s">
        <v>214</v>
      </c>
      <c r="E10" s="92" t="s">
        <v>68</v>
      </c>
      <c r="F10" s="93">
        <f>VLOOKUP(B10,[1]累计工龄!A:B,2,FALSE)</f>
        <v>5</v>
      </c>
      <c r="G10" s="94" t="s">
        <v>69</v>
      </c>
      <c r="H10" s="95" t="s">
        <v>167</v>
      </c>
      <c r="I10" s="111" t="s">
        <v>70</v>
      </c>
      <c r="J10" s="112">
        <f>VLOOKUP(B10,[3]加班情况分析!D:G,4,FALSE)</f>
        <v>2.31887152779503</v>
      </c>
      <c r="K10" s="112" t="b">
        <f>VLOOKUP(B10,[3]加班情况分析!D:H,5,FALSE)</f>
        <v>0</v>
      </c>
      <c r="L10" s="113">
        <f>VLOOKUP(B10,[3]加班情况分析!D:L,6,FALSE)</f>
        <v>11</v>
      </c>
      <c r="M10" s="113">
        <f>VLOOKUP($B10,[3]加班情况分析!$D:$L,7,FALSE)</f>
        <v>7</v>
      </c>
      <c r="N10" s="113">
        <f>VLOOKUP($B10,[3]加班情况分析!$D:$L,8,FALSE)</f>
        <v>24</v>
      </c>
      <c r="O10" s="91">
        <f>VLOOKUP(B10,[3]加班情况分析!D:L,9,FALSE)</f>
        <v>6</v>
      </c>
      <c r="P10" s="91">
        <f>VLOOKUP(B10,'[3]牵头项目（当前进行中）'!A:B,2,FALSE)</f>
        <v>3</v>
      </c>
      <c r="Q10" s="91">
        <f>VLOOKUP(B10,'[3]牵头需求（当前进行中）'!A:B,2,FALSE)</f>
        <v>15</v>
      </c>
      <c r="R10" s="91">
        <f>VLOOKUP(B10,[3]主管应用系统数量!I:J,2,FALSE)</f>
        <v>1</v>
      </c>
      <c r="S10" s="91">
        <v>1</v>
      </c>
      <c r="T10" s="91"/>
      <c r="U10" s="91">
        <f>VLOOKUP(B10,[3]三季度变更任务!A:B,2,FALSE)</f>
        <v>10</v>
      </c>
      <c r="V10" s="91"/>
      <c r="W10" s="91" t="s">
        <v>502</v>
      </c>
      <c r="Y10" s="94" t="s">
        <v>526</v>
      </c>
      <c r="Z10" s="129">
        <v>1</v>
      </c>
      <c r="AA10" s="94"/>
      <c r="AB10" s="94"/>
      <c r="AC10" s="94"/>
      <c r="AD10" s="94"/>
      <c r="AE10" s="130" t="s">
        <v>510</v>
      </c>
      <c r="AF10" s="7" t="s">
        <v>263</v>
      </c>
    </row>
    <row r="11" ht="28.8" hidden="1" spans="1:32">
      <c r="A11" s="88">
        <v>67</v>
      </c>
      <c r="B11" s="96" t="s">
        <v>400</v>
      </c>
      <c r="C11" s="97" t="s">
        <v>54</v>
      </c>
      <c r="D11" s="98" t="s">
        <v>395</v>
      </c>
      <c r="E11" s="92" t="s">
        <v>56</v>
      </c>
      <c r="F11" s="99">
        <v>9</v>
      </c>
      <c r="G11" s="92" t="s">
        <v>57</v>
      </c>
      <c r="H11" s="100" t="s">
        <v>401</v>
      </c>
      <c r="I11" s="114" t="s">
        <v>527</v>
      </c>
      <c r="J11" s="112">
        <f>VLOOKUP(B11,[3]加班情况分析!D:G,4,FALSE)</f>
        <v>4.03373655913709</v>
      </c>
      <c r="K11" s="112" t="b">
        <f>VLOOKUP(B11,[3]加班情况分析!D:H,5,FALSE)</f>
        <v>1</v>
      </c>
      <c r="L11" s="113">
        <f>VLOOKUP(B11,[3]加班情况分析!D:L,6,FALSE)</f>
        <v>1</v>
      </c>
      <c r="M11" s="113">
        <f>VLOOKUP($B11,[3]加班情况分析!$D:$L,7,FALSE)</f>
        <v>6</v>
      </c>
      <c r="N11" s="113">
        <f>VLOOKUP($B11,[3]加班情况分析!$D:$L,8,FALSE)</f>
        <v>23</v>
      </c>
      <c r="O11" s="91">
        <f>VLOOKUP(B11,[3]加班情况分析!D:L,9,FALSE)</f>
        <v>32</v>
      </c>
      <c r="P11" s="91">
        <f>VLOOKUP(B11,'[3]牵头项目（当前进行中）'!A:B,2,FALSE)</f>
        <v>1</v>
      </c>
      <c r="Q11" s="91">
        <f>VLOOKUP(B11,'[3]牵头需求（当前进行中）'!A:B,2,FALSE)</f>
        <v>7</v>
      </c>
      <c r="R11" s="91">
        <f>VLOOKUP(B11,[3]主管应用系统数量!I:J,2,FALSE)</f>
        <v>1</v>
      </c>
      <c r="S11" s="91">
        <v>1</v>
      </c>
      <c r="T11" s="91">
        <f>VLOOKUP(B11,[3]二季度变更任务!A:B,2,FALSE)</f>
        <v>1</v>
      </c>
      <c r="U11" s="91">
        <f>VLOOKUP(B11,[3]三季度变更任务!A:B,2,FALSE)</f>
        <v>8</v>
      </c>
      <c r="V11" s="91"/>
      <c r="W11" s="91" t="s">
        <v>502</v>
      </c>
      <c r="X11" s="120" t="s">
        <v>528</v>
      </c>
      <c r="Y11" s="94" t="s">
        <v>528</v>
      </c>
      <c r="Z11" s="129">
        <v>1</v>
      </c>
      <c r="AA11" s="94"/>
      <c r="AB11" s="94"/>
      <c r="AC11" s="94"/>
      <c r="AD11" s="94"/>
      <c r="AE11" s="130" t="s">
        <v>510</v>
      </c>
      <c r="AF11" s="7" t="s">
        <v>502</v>
      </c>
    </row>
    <row r="12" ht="100.8" spans="1:32">
      <c r="A12" s="88">
        <v>10</v>
      </c>
      <c r="B12" s="93" t="s">
        <v>97</v>
      </c>
      <c r="C12" s="90" t="s">
        <v>98</v>
      </c>
      <c r="D12" s="91" t="s">
        <v>99</v>
      </c>
      <c r="E12" s="92" t="s">
        <v>56</v>
      </c>
      <c r="F12" s="93">
        <v>12</v>
      </c>
      <c r="G12" s="94" t="s">
        <v>57</v>
      </c>
      <c r="H12" s="95" t="s">
        <v>100</v>
      </c>
      <c r="I12" s="111" t="s">
        <v>59</v>
      </c>
      <c r="J12" s="112">
        <f>VLOOKUP(B12,[3]加班情况分析!D:G,4,FALSE)</f>
        <v>2.74783018868162</v>
      </c>
      <c r="K12" s="112" t="b">
        <f>VLOOKUP(B12,[3]加班情况分析!D:H,5,FALSE)</f>
        <v>1</v>
      </c>
      <c r="L12" s="113">
        <f>VLOOKUP(B12,[3]加班情况分析!D:L,6,FALSE)</f>
        <v>3</v>
      </c>
      <c r="M12" s="113">
        <f>VLOOKUP($B12,[3]加班情况分析!$D:$L,7,FALSE)</f>
        <v>5</v>
      </c>
      <c r="N12" s="113">
        <f>VLOOKUP($B12,[3]加班情况分析!$D:$L,8,FALSE)</f>
        <v>42</v>
      </c>
      <c r="O12" s="91">
        <f>VLOOKUP(B12,[3]加班情况分析!D:L,9,FALSE)</f>
        <v>3</v>
      </c>
      <c r="P12" s="91"/>
      <c r="Q12" s="91"/>
      <c r="R12" s="91">
        <f>VLOOKUP(B12,[3]主管应用系统数量!I:J,2,FALSE)</f>
        <v>1</v>
      </c>
      <c r="S12" s="91">
        <v>5</v>
      </c>
      <c r="T12" s="91">
        <f>VLOOKUP(B12,[3]二季度变更任务!A:B,2,FALSE)</f>
        <v>2</v>
      </c>
      <c r="U12" s="91">
        <f>VLOOKUP(B12,[3]三季度变更任务!A:B,2,FALSE)</f>
        <v>2</v>
      </c>
      <c r="V12" s="91">
        <f>VLOOKUP(B12,[3]责任事件及缺陷!A:B,2,FALSE)</f>
        <v>1</v>
      </c>
      <c r="W12" s="91" t="s">
        <v>502</v>
      </c>
      <c r="X12" s="120" t="s">
        <v>529</v>
      </c>
      <c r="Y12" s="131" t="s">
        <v>530</v>
      </c>
      <c r="Z12" s="129">
        <v>0.7</v>
      </c>
      <c r="AA12" s="94" t="s">
        <v>531</v>
      </c>
      <c r="AB12" s="129">
        <v>0.3</v>
      </c>
      <c r="AC12" s="94"/>
      <c r="AD12" s="94" t="s">
        <v>102</v>
      </c>
      <c r="AE12" s="130" t="s">
        <v>510</v>
      </c>
      <c r="AF12" s="7" t="s">
        <v>502</v>
      </c>
    </row>
    <row r="13" ht="72" spans="1:32">
      <c r="A13" s="88">
        <v>11</v>
      </c>
      <c r="B13" s="93" t="s">
        <v>102</v>
      </c>
      <c r="C13" s="90" t="s">
        <v>98</v>
      </c>
      <c r="D13" s="91" t="s">
        <v>99</v>
      </c>
      <c r="E13" s="92" t="s">
        <v>56</v>
      </c>
      <c r="F13" s="93">
        <v>5</v>
      </c>
      <c r="G13" s="94" t="s">
        <v>69</v>
      </c>
      <c r="H13" s="95" t="s">
        <v>103</v>
      </c>
      <c r="I13" s="111" t="s">
        <v>70</v>
      </c>
      <c r="J13" s="112">
        <f>VLOOKUP(B13,[3]加班情况分析!D:G,4,FALSE)</f>
        <v>2.27817901234569</v>
      </c>
      <c r="K13" s="112" t="b">
        <f>VLOOKUP(B13,[3]加班情况分析!D:H,5,FALSE)</f>
        <v>1</v>
      </c>
      <c r="L13" s="113">
        <f>VLOOKUP(B13,[3]加班情况分析!D:L,6,FALSE)</f>
        <v>3</v>
      </c>
      <c r="M13" s="113">
        <f>VLOOKUP($B13,[3]加班情况分析!$D:$L,7,FALSE)</f>
        <v>33</v>
      </c>
      <c r="N13" s="113">
        <f>VLOOKUP($B13,[3]加班情况分析!$D:$L,8,FALSE)</f>
        <v>11</v>
      </c>
      <c r="O13" s="91">
        <f>VLOOKUP(B13,[3]加班情况分析!D:L,9,FALSE)</f>
        <v>7</v>
      </c>
      <c r="P13" s="91"/>
      <c r="Q13" s="91"/>
      <c r="R13" s="91">
        <f>VLOOKUP(B13,[3]主管应用系统数量!I:J,2,FALSE)</f>
        <v>2</v>
      </c>
      <c r="S13" s="91">
        <v>1</v>
      </c>
      <c r="T13" s="91"/>
      <c r="U13" s="91">
        <f>VLOOKUP(B13,[3]三季度变更任务!A:B,2,FALSE)</f>
        <v>1</v>
      </c>
      <c r="V13" s="91"/>
      <c r="W13" s="91" t="s">
        <v>502</v>
      </c>
      <c r="X13" s="120" t="s">
        <v>532</v>
      </c>
      <c r="Y13" s="131" t="s">
        <v>533</v>
      </c>
      <c r="Z13" s="129">
        <v>0.6</v>
      </c>
      <c r="AA13" s="94" t="s">
        <v>534</v>
      </c>
      <c r="AB13" s="129">
        <v>0.4</v>
      </c>
      <c r="AC13" s="94"/>
      <c r="AD13" s="94" t="s">
        <v>97</v>
      </c>
      <c r="AE13" s="130" t="s">
        <v>510</v>
      </c>
      <c r="AF13" s="7" t="s">
        <v>502</v>
      </c>
    </row>
    <row r="14" ht="57.6" hidden="1" spans="1:32">
      <c r="A14" s="88">
        <v>70</v>
      </c>
      <c r="B14" s="96" t="s">
        <v>404</v>
      </c>
      <c r="C14" s="97" t="s">
        <v>54</v>
      </c>
      <c r="D14" s="98" t="s">
        <v>395</v>
      </c>
      <c r="E14" s="92" t="s">
        <v>68</v>
      </c>
      <c r="F14" s="99">
        <v>3</v>
      </c>
      <c r="G14" s="92" t="s">
        <v>57</v>
      </c>
      <c r="H14" s="100" t="s">
        <v>405</v>
      </c>
      <c r="I14" s="114" t="s">
        <v>527</v>
      </c>
      <c r="J14" s="112">
        <f>VLOOKUP(B14,[3]加班情况分析!D:G,4,FALSE)</f>
        <v>3.05738782050209</v>
      </c>
      <c r="K14" s="112" t="b">
        <f>VLOOKUP(B14,[3]加班情况分析!D:H,5,FALSE)</f>
        <v>1</v>
      </c>
      <c r="L14" s="113">
        <f>VLOOKUP(B14,[3]加班情况分析!D:L,6,FALSE)</f>
        <v>6</v>
      </c>
      <c r="M14" s="113">
        <f>VLOOKUP($B14,[3]加班情况分析!$D:$L,7,FALSE)</f>
        <v>11</v>
      </c>
      <c r="N14" s="113">
        <f>VLOOKUP($B14,[3]加班情况分析!$D:$L,8,FALSE)</f>
        <v>17</v>
      </c>
      <c r="O14" s="91">
        <f>VLOOKUP(B14,[3]加班情况分析!D:L,9,FALSE)</f>
        <v>18</v>
      </c>
      <c r="P14" s="91">
        <f>VLOOKUP(B14,'[3]牵头项目（当前进行中）'!A:B,2,FALSE)</f>
        <v>2</v>
      </c>
      <c r="Q14" s="91">
        <f>VLOOKUP(B14,'[3]牵头需求（当前进行中）'!A:B,2,FALSE)</f>
        <v>5</v>
      </c>
      <c r="R14" s="91">
        <f>VLOOKUP(B14,[3]主管应用系统数量!I:J,2,FALSE)</f>
        <v>1</v>
      </c>
      <c r="S14" s="91">
        <v>2</v>
      </c>
      <c r="T14" s="91"/>
      <c r="U14" s="91">
        <f>VLOOKUP(B14,[3]三季度变更任务!A:B,2,FALSE)</f>
        <v>14</v>
      </c>
      <c r="V14" s="91">
        <f>VLOOKUP(B14,[3]责任事件及缺陷!A:B,2,FALSE)</f>
        <v>1</v>
      </c>
      <c r="W14" s="91" t="s">
        <v>502</v>
      </c>
      <c r="X14" s="120" t="s">
        <v>535</v>
      </c>
      <c r="Y14" s="120" t="s">
        <v>535</v>
      </c>
      <c r="Z14" s="129">
        <v>1</v>
      </c>
      <c r="AA14" s="94"/>
      <c r="AB14" s="94"/>
      <c r="AC14" s="94"/>
      <c r="AD14" s="94"/>
      <c r="AE14" s="130" t="s">
        <v>510</v>
      </c>
      <c r="AF14" s="7" t="s">
        <v>263</v>
      </c>
    </row>
    <row r="15" ht="21.6" spans="1:32">
      <c r="A15" s="88">
        <v>13</v>
      </c>
      <c r="B15" s="93" t="s">
        <v>111</v>
      </c>
      <c r="C15" s="90" t="s">
        <v>98</v>
      </c>
      <c r="D15" s="91" t="s">
        <v>107</v>
      </c>
      <c r="E15" s="92" t="s">
        <v>56</v>
      </c>
      <c r="F15" s="93">
        <v>7</v>
      </c>
      <c r="G15" s="94" t="s">
        <v>69</v>
      </c>
      <c r="H15" s="95" t="s">
        <v>112</v>
      </c>
      <c r="I15" s="111" t="s">
        <v>70</v>
      </c>
      <c r="J15" s="112">
        <f>VLOOKUP(B15,[3]加班情况分析!D:G,4,FALSE)</f>
        <v>2.73037234042459</v>
      </c>
      <c r="K15" s="112" t="b">
        <f>VLOOKUP(B15,[3]加班情况分析!D:H,5,FALSE)</f>
        <v>1</v>
      </c>
      <c r="L15" s="113">
        <f>VLOOKUP(B15,[3]加班情况分析!D:L,6,FALSE)</f>
        <v>5</v>
      </c>
      <c r="M15" s="113">
        <f>VLOOKUP($B15,[3]加班情况分析!$D:$L,7,FALSE)</f>
        <v>25</v>
      </c>
      <c r="N15" s="113">
        <f>VLOOKUP($B15,[3]加班情况分析!$D:$L,8,FALSE)</f>
        <v>8</v>
      </c>
      <c r="O15" s="91">
        <f>VLOOKUP(B15,[3]加班情况分析!D:L,9,FALSE)</f>
        <v>9</v>
      </c>
      <c r="P15" s="91">
        <f>VLOOKUP(B15,'[3]牵头项目（当前进行中）'!A:B,2,FALSE)</f>
        <v>1</v>
      </c>
      <c r="Q15" s="91">
        <f>VLOOKUP(B15,'[3]牵头需求（当前进行中）'!A:B,2,FALSE)</f>
        <v>1</v>
      </c>
      <c r="R15" s="91">
        <f>VLOOKUP(B15,[3]主管应用系统数量!I:J,2,FALSE)</f>
        <v>2</v>
      </c>
      <c r="S15" s="91">
        <v>2</v>
      </c>
      <c r="T15" s="91">
        <f>VLOOKUP(B15,[3]二季度变更任务!A:B,2,FALSE)</f>
        <v>11</v>
      </c>
      <c r="U15" s="91">
        <f>VLOOKUP(B15,[3]三季度变更任务!A:B,2,FALSE)</f>
        <v>38</v>
      </c>
      <c r="V15" s="91"/>
      <c r="W15" s="91" t="s">
        <v>502</v>
      </c>
      <c r="X15" s="120" t="s">
        <v>536</v>
      </c>
      <c r="Y15" s="131" t="s">
        <v>537</v>
      </c>
      <c r="Z15" s="129">
        <v>1</v>
      </c>
      <c r="AA15" s="94"/>
      <c r="AB15" s="94"/>
      <c r="AC15" s="94"/>
      <c r="AD15" s="94" t="s">
        <v>350</v>
      </c>
      <c r="AE15" s="130" t="s">
        <v>510</v>
      </c>
      <c r="AF15" s="7" t="s">
        <v>263</v>
      </c>
    </row>
    <row r="16" ht="28.8" spans="1:32">
      <c r="A16" s="88">
        <v>14</v>
      </c>
      <c r="B16" s="93" t="s">
        <v>114</v>
      </c>
      <c r="C16" s="90" t="s">
        <v>98</v>
      </c>
      <c r="D16" s="91" t="s">
        <v>93</v>
      </c>
      <c r="E16" s="92" t="s">
        <v>56</v>
      </c>
      <c r="F16" s="93">
        <v>5</v>
      </c>
      <c r="G16" s="94" t="s">
        <v>69</v>
      </c>
      <c r="H16" s="95" t="s">
        <v>115</v>
      </c>
      <c r="I16" s="111" t="s">
        <v>70</v>
      </c>
      <c r="J16" s="112">
        <f>VLOOKUP(B16,[3]加班情况分析!D:G,4,FALSE)</f>
        <v>2.74652298849682</v>
      </c>
      <c r="K16" s="112" t="b">
        <f>VLOOKUP(B16,[3]加班情况分析!D:H,5,FALSE)</f>
        <v>1</v>
      </c>
      <c r="L16" s="113">
        <f>VLOOKUP(B16,[3]加班情况分析!D:L,6,FALSE)</f>
        <v>6</v>
      </c>
      <c r="M16" s="113">
        <f>VLOOKUP($B16,[3]加班情况分析!$D:$L,7,FALSE)</f>
        <v>9</v>
      </c>
      <c r="N16" s="113">
        <f>VLOOKUP($B16,[3]加班情况分析!$D:$L,8,FALSE)</f>
        <v>33</v>
      </c>
      <c r="O16" s="91">
        <f>VLOOKUP(B16,[3]加班情况分析!D:L,9,FALSE)</f>
        <v>10</v>
      </c>
      <c r="P16" s="91">
        <f>VLOOKUP(B16,'[3]牵头项目（当前进行中）'!A:B,2,FALSE)</f>
        <v>1</v>
      </c>
      <c r="Q16" s="91">
        <f>VLOOKUP(B16,'[3]牵头需求（当前进行中）'!A:B,2,FALSE)</f>
        <v>14</v>
      </c>
      <c r="R16" s="91">
        <f>VLOOKUP(B16,[3]主管应用系统数量!I:J,2,FALSE)</f>
        <v>1</v>
      </c>
      <c r="S16" s="91">
        <v>3</v>
      </c>
      <c r="T16" s="91">
        <f>VLOOKUP(B16,[3]二季度变更任务!A:B,2,FALSE)</f>
        <v>14</v>
      </c>
      <c r="U16" s="91">
        <f>VLOOKUP(B16,[3]三季度变更任务!A:B,2,FALSE)</f>
        <v>16</v>
      </c>
      <c r="V16" s="91">
        <f>VLOOKUP(B16,[3]责任事件及缺陷!A:B,2,FALSE)</f>
        <v>2</v>
      </c>
      <c r="W16" s="91" t="s">
        <v>502</v>
      </c>
      <c r="X16" s="120" t="s">
        <v>538</v>
      </c>
      <c r="Y16" s="131" t="s">
        <v>539</v>
      </c>
      <c r="Z16" s="129">
        <v>1</v>
      </c>
      <c r="AA16" s="94"/>
      <c r="AB16" s="94"/>
      <c r="AC16" s="94"/>
      <c r="AD16" s="94" t="s">
        <v>375</v>
      </c>
      <c r="AE16" s="130" t="s">
        <v>510</v>
      </c>
      <c r="AF16" s="7" t="s">
        <v>502</v>
      </c>
    </row>
    <row r="17" ht="57.6" hidden="1" spans="1:32">
      <c r="A17" s="88">
        <v>15</v>
      </c>
      <c r="B17" s="93" t="s">
        <v>117</v>
      </c>
      <c r="C17" s="90" t="s">
        <v>98</v>
      </c>
      <c r="D17" s="91" t="s">
        <v>93</v>
      </c>
      <c r="E17" s="92" t="s">
        <v>68</v>
      </c>
      <c r="F17" s="93">
        <v>10</v>
      </c>
      <c r="G17" s="94" t="s">
        <v>57</v>
      </c>
      <c r="H17" s="95" t="s">
        <v>118</v>
      </c>
      <c r="I17" s="111" t="s">
        <v>70</v>
      </c>
      <c r="J17" s="112">
        <f>VLOOKUP(B17,[3]加班情况分析!D:G,4,FALSE)</f>
        <v>1.10714052288277</v>
      </c>
      <c r="K17" s="112" t="b">
        <f>VLOOKUP(B17,[3]加班情况分析!D:H,5,FALSE)</f>
        <v>0</v>
      </c>
      <c r="L17" s="113">
        <f>VLOOKUP(B17,[3]加班情况分析!D:L,6,FALSE)</f>
        <v>21</v>
      </c>
      <c r="M17" s="113">
        <f>VLOOKUP($B17,[3]加班情况分析!$D:$L,7,FALSE)</f>
        <v>26</v>
      </c>
      <c r="N17" s="113">
        <f>VLOOKUP($B17,[3]加班情况分析!$D:$L,8,FALSE)</f>
        <v>4</v>
      </c>
      <c r="O17" s="91">
        <f>VLOOKUP(B17,[3]加班情况分析!D:L,9,FALSE)</f>
        <v>0</v>
      </c>
      <c r="P17" s="91"/>
      <c r="Q17" s="91">
        <f>VLOOKUP(B17,'[3]牵头需求（当前进行中）'!A:B,2,FALSE)</f>
        <v>5</v>
      </c>
      <c r="R17" s="91">
        <f>VLOOKUP(B17,[3]主管应用系统数量!I:J,2,FALSE)</f>
        <v>3</v>
      </c>
      <c r="S17" s="91">
        <v>2</v>
      </c>
      <c r="T17" s="91">
        <f>VLOOKUP(B17,[3]二季度变更任务!A:B,2,FALSE)</f>
        <v>5</v>
      </c>
      <c r="U17" s="91">
        <f>VLOOKUP(B17,[3]三季度变更任务!A:B,2,FALSE)</f>
        <v>9</v>
      </c>
      <c r="V17" s="91">
        <f>VLOOKUP(B17,[3]责任事件及缺陷!A:B,2,FALSE)</f>
        <v>3</v>
      </c>
      <c r="W17" s="91" t="s">
        <v>263</v>
      </c>
      <c r="X17" s="120" t="s">
        <v>540</v>
      </c>
      <c r="Y17" s="94" t="s">
        <v>541</v>
      </c>
      <c r="Z17" s="129">
        <v>1</v>
      </c>
      <c r="AA17" s="94"/>
      <c r="AB17" s="94"/>
      <c r="AC17" s="94"/>
      <c r="AD17" s="94" t="s">
        <v>376</v>
      </c>
      <c r="AE17" s="130" t="s">
        <v>510</v>
      </c>
      <c r="AF17" s="7" t="s">
        <v>263</v>
      </c>
    </row>
    <row r="18" ht="43.2" spans="1:32">
      <c r="A18" s="88">
        <v>16</v>
      </c>
      <c r="B18" s="89" t="s">
        <v>120</v>
      </c>
      <c r="C18" s="90" t="s">
        <v>98</v>
      </c>
      <c r="D18" s="91" t="s">
        <v>121</v>
      </c>
      <c r="E18" s="92" t="s">
        <v>56</v>
      </c>
      <c r="F18" s="93">
        <v>7</v>
      </c>
      <c r="G18" s="94" t="s">
        <v>69</v>
      </c>
      <c r="H18" s="95" t="s">
        <v>122</v>
      </c>
      <c r="I18" s="111" t="s">
        <v>59</v>
      </c>
      <c r="J18" s="112">
        <f>VLOOKUP(B18,[3]加班情况分析!D:G,4,FALSE)</f>
        <v>3.1462903225817</v>
      </c>
      <c r="K18" s="112" t="b">
        <f>VLOOKUP(B18,[3]加班情况分析!D:H,5,FALSE)</f>
        <v>1</v>
      </c>
      <c r="L18" s="113">
        <f>VLOOKUP(B18,[3]加班情况分析!D:L,6,FALSE)</f>
        <v>1</v>
      </c>
      <c r="M18" s="113">
        <f>VLOOKUP($B18,[3]加班情况分析!$D:$L,7,FALSE)</f>
        <v>6</v>
      </c>
      <c r="N18" s="113">
        <f>VLOOKUP($B18,[3]加班情况分析!$D:$L,8,FALSE)</f>
        <v>38</v>
      </c>
      <c r="O18" s="91">
        <f>VLOOKUP(B18,[3]加班情况分析!D:L,9,FALSE)</f>
        <v>17</v>
      </c>
      <c r="P18" s="91"/>
      <c r="Q18" s="91">
        <f>VLOOKUP(B18,'[3]牵头需求（当前进行中）'!A:B,2,FALSE)</f>
        <v>1</v>
      </c>
      <c r="R18" s="91">
        <f>VLOOKUP(B18,[3]主管应用系统数量!I:J,2,FALSE)</f>
        <v>1</v>
      </c>
      <c r="S18" s="91">
        <v>2</v>
      </c>
      <c r="T18" s="91">
        <f>VLOOKUP(B18,[3]二季度变更任务!A:B,2,FALSE)</f>
        <v>10</v>
      </c>
      <c r="U18" s="91">
        <f>VLOOKUP(B18,[3]三季度变更任务!A:B,2,FALSE)</f>
        <v>11</v>
      </c>
      <c r="V18" s="91">
        <f>VLOOKUP(B18,[3]责任事件及缺陷!A:B,2,FALSE)</f>
        <v>2</v>
      </c>
      <c r="W18" s="91" t="s">
        <v>502</v>
      </c>
      <c r="X18" s="120" t="s">
        <v>542</v>
      </c>
      <c r="Y18" s="131" t="s">
        <v>543</v>
      </c>
      <c r="Z18" s="129">
        <v>0.6</v>
      </c>
      <c r="AA18" s="94" t="s">
        <v>544</v>
      </c>
      <c r="AB18" s="129">
        <v>0.4</v>
      </c>
      <c r="AC18" s="94"/>
      <c r="AD18" s="94" t="s">
        <v>545</v>
      </c>
      <c r="AE18" s="130" t="s">
        <v>510</v>
      </c>
      <c r="AF18" s="7" t="s">
        <v>263</v>
      </c>
    </row>
    <row r="19" ht="43.2" spans="1:32">
      <c r="A19" s="88">
        <v>17</v>
      </c>
      <c r="B19" s="101" t="s">
        <v>125</v>
      </c>
      <c r="C19" s="90" t="s">
        <v>98</v>
      </c>
      <c r="D19" s="91" t="s">
        <v>121</v>
      </c>
      <c r="E19" s="92" t="s">
        <v>56</v>
      </c>
      <c r="F19" s="93">
        <v>11</v>
      </c>
      <c r="G19" s="94" t="s">
        <v>57</v>
      </c>
      <c r="H19" s="95" t="s">
        <v>126</v>
      </c>
      <c r="I19" s="111" t="s">
        <v>59</v>
      </c>
      <c r="J19" s="112">
        <f>VLOOKUP(B19,[3]加班情况分析!D:G,4,FALSE)</f>
        <v>1.55132616486592</v>
      </c>
      <c r="K19" s="112" t="b">
        <f>VLOOKUP(B19,[3]加班情况分析!D:H,5,FALSE)</f>
        <v>0</v>
      </c>
      <c r="L19" s="113">
        <f>VLOOKUP(B19,[3]加班情况分析!D:L,6,FALSE)</f>
        <v>34</v>
      </c>
      <c r="M19" s="113">
        <f>VLOOKUP($B19,[3]加班情况分析!$D:$L,7,FALSE)</f>
        <v>14</v>
      </c>
      <c r="N19" s="113">
        <f>VLOOKUP($B19,[3]加班情况分析!$D:$L,8,FALSE)</f>
        <v>8</v>
      </c>
      <c r="O19" s="91">
        <f>VLOOKUP(B19,[3]加班情况分析!D:L,9,FALSE)</f>
        <v>6</v>
      </c>
      <c r="P19" s="91"/>
      <c r="Q19" s="91">
        <f>VLOOKUP(B19,'[3]牵头需求（当前进行中）'!A:B,2,FALSE)</f>
        <v>1</v>
      </c>
      <c r="R19" s="91"/>
      <c r="S19" s="91">
        <v>2</v>
      </c>
      <c r="T19" s="91"/>
      <c r="U19" s="91"/>
      <c r="V19" s="91"/>
      <c r="W19" s="91" t="s">
        <v>502</v>
      </c>
      <c r="X19" s="120" t="s">
        <v>546</v>
      </c>
      <c r="Y19" s="131" t="s">
        <v>547</v>
      </c>
      <c r="Z19" s="129">
        <v>0.5</v>
      </c>
      <c r="AA19" s="94" t="s">
        <v>548</v>
      </c>
      <c r="AB19" s="129">
        <v>0.5</v>
      </c>
      <c r="AC19" s="94"/>
      <c r="AD19" s="94"/>
      <c r="AE19" s="130" t="s">
        <v>510</v>
      </c>
      <c r="AF19" s="7" t="s">
        <v>502</v>
      </c>
    </row>
    <row r="20" ht="139.5" hidden="1" customHeight="1" spans="1:32">
      <c r="A20" s="88">
        <v>18</v>
      </c>
      <c r="B20" s="93" t="s">
        <v>188</v>
      </c>
      <c r="C20" s="90" t="s">
        <v>189</v>
      </c>
      <c r="D20" s="91" t="s">
        <v>190</v>
      </c>
      <c r="E20" s="92" t="s">
        <v>68</v>
      </c>
      <c r="F20" s="93">
        <v>4</v>
      </c>
      <c r="G20" s="94" t="s">
        <v>69</v>
      </c>
      <c r="H20" s="95" t="s">
        <v>118</v>
      </c>
      <c r="I20" s="111" t="s">
        <v>59</v>
      </c>
      <c r="J20" s="112">
        <f>VLOOKUP(B20,[3]加班情况分析!D:G,4,FALSE)</f>
        <v>2.96168032786942</v>
      </c>
      <c r="K20" s="112" t="b">
        <f>VLOOKUP(B20,[3]加班情况分析!D:H,5,FALSE)</f>
        <v>1</v>
      </c>
      <c r="L20" s="113">
        <f>VLOOKUP(B20,[3]加班情况分析!D:L,6,FALSE)</f>
        <v>7</v>
      </c>
      <c r="M20" s="113">
        <f>VLOOKUP($B20,[3]加班情况分析!$D:$L,7,FALSE)</f>
        <v>11</v>
      </c>
      <c r="N20" s="113">
        <f>VLOOKUP($B20,[3]加班情况分析!$D:$L,8,FALSE)</f>
        <v>26</v>
      </c>
      <c r="O20" s="91">
        <f>VLOOKUP(B20,[3]加班情况分析!D:L,9,FALSE)</f>
        <v>17</v>
      </c>
      <c r="P20" s="91"/>
      <c r="Q20" s="91">
        <f>VLOOKUP(B20,'[3]牵头需求（当前进行中）'!A:B,2,FALSE)</f>
        <v>1</v>
      </c>
      <c r="R20" s="91">
        <f>VLOOKUP(B20,[3]主管应用系统数量!I:J,2,FALSE)</f>
        <v>1</v>
      </c>
      <c r="S20" s="91">
        <v>2</v>
      </c>
      <c r="T20" s="91"/>
      <c r="U20" s="91"/>
      <c r="V20" s="91"/>
      <c r="W20" s="91" t="s">
        <v>502</v>
      </c>
      <c r="X20" s="120" t="s">
        <v>549</v>
      </c>
      <c r="Y20" s="94" t="s">
        <v>550</v>
      </c>
      <c r="Z20" s="129">
        <v>0.5</v>
      </c>
      <c r="AA20" s="95" t="s">
        <v>551</v>
      </c>
      <c r="AB20" s="129">
        <v>0.2</v>
      </c>
      <c r="AC20" s="131" t="s">
        <v>552</v>
      </c>
      <c r="AD20" s="94" t="s">
        <v>553</v>
      </c>
      <c r="AE20" s="130" t="s">
        <v>510</v>
      </c>
      <c r="AF20" s="7" t="s">
        <v>502</v>
      </c>
    </row>
    <row r="21" ht="74.25" hidden="1" customHeight="1" spans="1:32">
      <c r="A21" s="88">
        <v>19</v>
      </c>
      <c r="B21" s="93" t="s">
        <v>193</v>
      </c>
      <c r="C21" s="90" t="s">
        <v>189</v>
      </c>
      <c r="D21" s="91" t="s">
        <v>190</v>
      </c>
      <c r="E21" s="92" t="s">
        <v>68</v>
      </c>
      <c r="F21" s="93">
        <v>2</v>
      </c>
      <c r="G21" s="94" t="s">
        <v>69</v>
      </c>
      <c r="H21" s="95" t="s">
        <v>194</v>
      </c>
      <c r="I21" s="111" t="s">
        <v>70</v>
      </c>
      <c r="J21" s="112">
        <f>VLOOKUP(B21,[3]加班情况分析!D:G,4,FALSE)</f>
        <v>1.65321038250686</v>
      </c>
      <c r="K21" s="112" t="b">
        <f>VLOOKUP(B21,[3]加班情况分析!D:H,5,FALSE)</f>
        <v>0</v>
      </c>
      <c r="L21" s="113">
        <f>VLOOKUP(B21,[3]加班情况分析!D:L,6,FALSE)</f>
        <v>7</v>
      </c>
      <c r="M21" s="113">
        <f>VLOOKUP($B21,[3]加班情况分析!$D:$L,7,FALSE)</f>
        <v>47</v>
      </c>
      <c r="N21" s="113">
        <f>VLOOKUP($B21,[3]加班情况分析!$D:$L,8,FALSE)</f>
        <v>5</v>
      </c>
      <c r="O21" s="91">
        <f>VLOOKUP(B21,[3]加班情况分析!D:L,9,FALSE)</f>
        <v>2</v>
      </c>
      <c r="P21" s="91">
        <f>VLOOKUP(B21,'[3]牵头项目（当前进行中）'!A:B,2,FALSE)</f>
        <v>1</v>
      </c>
      <c r="Q21" s="91">
        <f>VLOOKUP(B21,'[3]牵头需求（当前进行中）'!A:B,2,FALSE)</f>
        <v>1</v>
      </c>
      <c r="R21" s="91">
        <f>VLOOKUP(B21,[3]主管应用系统数量!I:J,2,FALSE)</f>
        <v>1</v>
      </c>
      <c r="S21" s="91">
        <v>2</v>
      </c>
      <c r="T21" s="91">
        <f>VLOOKUP(B21,[3]二季度变更任务!A:B,2,FALSE)</f>
        <v>2</v>
      </c>
      <c r="U21" s="91">
        <f>VLOOKUP(B21,[3]三季度变更任务!A:B,2,FALSE)</f>
        <v>4</v>
      </c>
      <c r="V21" s="91">
        <f>VLOOKUP(B21,[3]责任事件及缺陷!A:B,2,FALSE)</f>
        <v>3</v>
      </c>
      <c r="W21" s="91" t="s">
        <v>263</v>
      </c>
      <c r="X21" s="120" t="s">
        <v>554</v>
      </c>
      <c r="Y21" s="94" t="s">
        <v>555</v>
      </c>
      <c r="Z21" s="129">
        <v>0.4</v>
      </c>
      <c r="AA21" s="94" t="s">
        <v>556</v>
      </c>
      <c r="AB21" s="129">
        <v>0.3</v>
      </c>
      <c r="AC21" s="94"/>
      <c r="AD21" s="94" t="s">
        <v>482</v>
      </c>
      <c r="AE21" s="130" t="s">
        <v>510</v>
      </c>
      <c r="AF21" s="7" t="s">
        <v>263</v>
      </c>
    </row>
    <row r="22" ht="92.25" hidden="1" customHeight="1" spans="1:32">
      <c r="A22" s="88">
        <v>20</v>
      </c>
      <c r="B22" s="93" t="s">
        <v>196</v>
      </c>
      <c r="C22" s="90" t="s">
        <v>189</v>
      </c>
      <c r="D22" s="91" t="s">
        <v>197</v>
      </c>
      <c r="E22" s="92" t="s">
        <v>56</v>
      </c>
      <c r="F22" s="93">
        <v>12</v>
      </c>
      <c r="G22" s="94" t="s">
        <v>57</v>
      </c>
      <c r="H22" s="95" t="s">
        <v>198</v>
      </c>
      <c r="I22" s="111" t="s">
        <v>59</v>
      </c>
      <c r="J22" s="112">
        <f>VLOOKUP(B22,[3]加班情况分析!D:G,4,FALSE)</f>
        <v>1.44796464647569</v>
      </c>
      <c r="K22" s="112" t="b">
        <f>VLOOKUP(B22,[3]加班情况分析!D:H,5,FALSE)</f>
        <v>0</v>
      </c>
      <c r="L22" s="113">
        <f>VLOOKUP(B22,[3]加班情况分析!D:L,6,FALSE)</f>
        <v>25</v>
      </c>
      <c r="M22" s="113">
        <f>VLOOKUP($B22,[3]加班情况分析!$D:$L,7,FALSE)</f>
        <v>21</v>
      </c>
      <c r="N22" s="113">
        <f>VLOOKUP($B22,[3]加班情况分析!$D:$L,8,FALSE)</f>
        <v>6</v>
      </c>
      <c r="O22" s="91">
        <f>VLOOKUP(B22,[3]加班情况分析!D:L,9,FALSE)</f>
        <v>3</v>
      </c>
      <c r="P22" s="91">
        <f>VLOOKUP(B22,'[3]牵头项目（当前进行中）'!A:B,2,FALSE)</f>
        <v>2</v>
      </c>
      <c r="Q22" s="91"/>
      <c r="R22" s="91">
        <f>VLOOKUP(B22,[3]主管应用系统数量!I:J,2,FALSE)</f>
        <v>2</v>
      </c>
      <c r="S22" s="91">
        <v>5</v>
      </c>
      <c r="T22" s="91">
        <f>VLOOKUP(B22,[3]二季度变更任务!A:B,2,FALSE)</f>
        <v>16</v>
      </c>
      <c r="U22" s="91">
        <f>VLOOKUP(B22,[3]三季度变更任务!A:B,2,FALSE)</f>
        <v>13</v>
      </c>
      <c r="V22" s="91">
        <f>VLOOKUP(B22,[3]责任事件及缺陷!A:B,2,FALSE)</f>
        <v>1</v>
      </c>
      <c r="W22" s="91" t="s">
        <v>502</v>
      </c>
      <c r="X22" s="120" t="s">
        <v>557</v>
      </c>
      <c r="Y22" s="94" t="s">
        <v>558</v>
      </c>
      <c r="Z22" s="129">
        <v>0.1</v>
      </c>
      <c r="AA22" s="94" t="s">
        <v>559</v>
      </c>
      <c r="AB22" s="129">
        <v>0.15</v>
      </c>
      <c r="AC22" s="95" t="s">
        <v>560</v>
      </c>
      <c r="AD22" s="94" t="s">
        <v>553</v>
      </c>
      <c r="AE22" s="130" t="s">
        <v>506</v>
      </c>
      <c r="AF22" s="7" t="s">
        <v>263</v>
      </c>
    </row>
    <row r="23" ht="129" hidden="1" customHeight="1" spans="1:32">
      <c r="A23" s="88">
        <v>21</v>
      </c>
      <c r="B23" s="93" t="s">
        <v>200</v>
      </c>
      <c r="C23" s="90" t="s">
        <v>189</v>
      </c>
      <c r="D23" s="91" t="s">
        <v>197</v>
      </c>
      <c r="E23" s="92" t="s">
        <v>56</v>
      </c>
      <c r="F23" s="93">
        <v>5</v>
      </c>
      <c r="G23" s="94" t="s">
        <v>69</v>
      </c>
      <c r="H23" s="95" t="s">
        <v>201</v>
      </c>
      <c r="I23" s="111" t="s">
        <v>70</v>
      </c>
      <c r="J23" s="112">
        <f>VLOOKUP(B23,[3]加班情况分析!D:G,4,FALSE)</f>
        <v>2.28542114694738</v>
      </c>
      <c r="K23" s="112" t="b">
        <f>VLOOKUP(B23,[3]加班情况分析!D:H,5,FALSE)</f>
        <v>1</v>
      </c>
      <c r="L23" s="113">
        <f>VLOOKUP(B23,[3]加班情况分析!D:L,6,FALSE)</f>
        <v>3</v>
      </c>
      <c r="M23" s="113">
        <f>VLOOKUP($B23,[3]加班情况分析!$D:$L,7,FALSE)</f>
        <v>36</v>
      </c>
      <c r="N23" s="113">
        <f>VLOOKUP($B23,[3]加班情况分析!$D:$L,8,FALSE)</f>
        <v>14</v>
      </c>
      <c r="O23" s="91">
        <f>VLOOKUP(B23,[3]加班情况分析!D:L,9,FALSE)</f>
        <v>9</v>
      </c>
      <c r="P23" s="91">
        <f>VLOOKUP(B23,'[3]牵头项目（当前进行中）'!A:B,2,FALSE)</f>
        <v>2</v>
      </c>
      <c r="Q23" s="91">
        <f>VLOOKUP(B23,'[3]牵头需求（当前进行中）'!A:B,2,FALSE)</f>
        <v>2</v>
      </c>
      <c r="R23" s="91">
        <f>VLOOKUP(B23,[3]主管应用系统数量!I:J,2,FALSE)</f>
        <v>1</v>
      </c>
      <c r="S23" s="91">
        <v>3</v>
      </c>
      <c r="T23" s="91">
        <f>VLOOKUP(B23,[3]二季度变更任务!A:B,2,FALSE)</f>
        <v>9</v>
      </c>
      <c r="U23" s="91">
        <f>VLOOKUP(B23,[3]三季度变更任务!A:B,2,FALSE)</f>
        <v>5</v>
      </c>
      <c r="V23" s="91"/>
      <c r="W23" s="91" t="s">
        <v>502</v>
      </c>
      <c r="X23" s="120" t="s">
        <v>561</v>
      </c>
      <c r="Y23" s="94" t="s">
        <v>562</v>
      </c>
      <c r="Z23" s="129">
        <v>0.4</v>
      </c>
      <c r="AA23" s="94" t="s">
        <v>563</v>
      </c>
      <c r="AB23" s="129">
        <v>0.35</v>
      </c>
      <c r="AC23" s="94"/>
      <c r="AD23" s="94"/>
      <c r="AE23" s="130" t="s">
        <v>510</v>
      </c>
      <c r="AF23" s="7" t="s">
        <v>502</v>
      </c>
    </row>
    <row r="24" ht="119.25" hidden="1" customHeight="1" spans="1:32">
      <c r="A24" s="88">
        <v>22</v>
      </c>
      <c r="B24" s="93" t="s">
        <v>221</v>
      </c>
      <c r="C24" s="90" t="s">
        <v>189</v>
      </c>
      <c r="D24" s="91" t="s">
        <v>222</v>
      </c>
      <c r="E24" s="92" t="s">
        <v>68</v>
      </c>
      <c r="F24" s="93">
        <v>5</v>
      </c>
      <c r="G24" s="94" t="s">
        <v>69</v>
      </c>
      <c r="H24" s="95" t="s">
        <v>201</v>
      </c>
      <c r="I24" s="111" t="s">
        <v>59</v>
      </c>
      <c r="J24" s="112">
        <f>VLOOKUP(B24,[3]加班情况分析!D:G,4,FALSE)</f>
        <v>1.99881826741305</v>
      </c>
      <c r="K24" s="112" t="b">
        <f>VLOOKUP(B24,[3]加班情况分析!D:H,5,FALSE)</f>
        <v>0</v>
      </c>
      <c r="L24" s="113">
        <f>VLOOKUP(B24,[3]加班情况分析!D:L,6,FALSE)</f>
        <v>11</v>
      </c>
      <c r="M24" s="113">
        <f>VLOOKUP($B24,[3]加班情况分析!$D:$L,7,FALSE)</f>
        <v>19</v>
      </c>
      <c r="N24" s="113">
        <f>VLOOKUP($B24,[3]加班情况分析!$D:$L,8,FALSE)</f>
        <v>27</v>
      </c>
      <c r="O24" s="91">
        <f>VLOOKUP(B24,[3]加班情况分析!D:L,9,FALSE)</f>
        <v>2</v>
      </c>
      <c r="P24" s="91">
        <f>VLOOKUP(B24,'[3]牵头项目（当前进行中）'!A:B,2,FALSE)</f>
        <v>1</v>
      </c>
      <c r="Q24" s="91"/>
      <c r="R24" s="91"/>
      <c r="S24" s="91">
        <v>2</v>
      </c>
      <c r="T24" s="91"/>
      <c r="U24" s="91"/>
      <c r="V24" s="91"/>
      <c r="W24" s="91" t="s">
        <v>263</v>
      </c>
      <c r="X24" s="120" t="s">
        <v>564</v>
      </c>
      <c r="Y24" s="94" t="s">
        <v>565</v>
      </c>
      <c r="Z24" s="129">
        <v>0.3</v>
      </c>
      <c r="AA24" s="78" t="s">
        <v>566</v>
      </c>
      <c r="AB24" s="132">
        <v>0.4</v>
      </c>
      <c r="AC24" s="131" t="s">
        <v>567</v>
      </c>
      <c r="AD24" s="94" t="s">
        <v>553</v>
      </c>
      <c r="AE24" s="130" t="s">
        <v>510</v>
      </c>
      <c r="AF24" s="7" t="s">
        <v>263</v>
      </c>
    </row>
    <row r="25" ht="74.25" hidden="1" customHeight="1" spans="1:32">
      <c r="A25" s="88">
        <v>23</v>
      </c>
      <c r="B25" s="93" t="s">
        <v>226</v>
      </c>
      <c r="C25" s="90" t="s">
        <v>189</v>
      </c>
      <c r="D25" s="91" t="s">
        <v>222</v>
      </c>
      <c r="E25" s="92" t="s">
        <v>56</v>
      </c>
      <c r="F25" s="93">
        <v>2</v>
      </c>
      <c r="G25" s="94" t="s">
        <v>69</v>
      </c>
      <c r="H25" s="95" t="s">
        <v>201</v>
      </c>
      <c r="I25" s="111" t="s">
        <v>514</v>
      </c>
      <c r="J25" s="112">
        <f>VLOOKUP(B25,[3]加班情况分析!D:G,4,FALSE)</f>
        <v>1.86732695809829</v>
      </c>
      <c r="K25" s="112" t="b">
        <f>VLOOKUP(B25,[3]加班情况分析!D:H,5,FALSE)</f>
        <v>0</v>
      </c>
      <c r="L25" s="113">
        <f>VLOOKUP(B25,[3]加班情况分析!D:L,6,FALSE)</f>
        <v>20</v>
      </c>
      <c r="M25" s="113">
        <f>VLOOKUP($B25,[3]加班情况分析!$D:$L,7,FALSE)</f>
        <v>24</v>
      </c>
      <c r="N25" s="113">
        <f>VLOOKUP($B25,[3]加班情况分析!$D:$L,8,FALSE)</f>
        <v>9</v>
      </c>
      <c r="O25" s="91">
        <f>VLOOKUP(B25,[3]加班情况分析!D:L,9,FALSE)</f>
        <v>8</v>
      </c>
      <c r="P25" s="91">
        <f>VLOOKUP(B25,'[3]牵头项目（当前进行中）'!A:B,2,FALSE)</f>
        <v>1</v>
      </c>
      <c r="Q25" s="91"/>
      <c r="R25" s="91">
        <f>VLOOKUP(B25,[3]主管应用系统数量!I:J,2,FALSE)</f>
        <v>1</v>
      </c>
      <c r="S25" s="91">
        <v>1</v>
      </c>
      <c r="T25" s="91"/>
      <c r="U25" s="91">
        <f>VLOOKUP(B25,[3]三季度变更任务!A:B,2,FALSE)</f>
        <v>9</v>
      </c>
      <c r="V25" s="91"/>
      <c r="W25" s="91" t="s">
        <v>263</v>
      </c>
      <c r="X25" s="120" t="s">
        <v>568</v>
      </c>
      <c r="Y25" s="94" t="s">
        <v>569</v>
      </c>
      <c r="Z25" s="129">
        <v>0.6</v>
      </c>
      <c r="AA25" s="94" t="s">
        <v>570</v>
      </c>
      <c r="AB25" s="129">
        <v>0.4</v>
      </c>
      <c r="AC25" s="94"/>
      <c r="AD25" s="94" t="s">
        <v>553</v>
      </c>
      <c r="AE25" s="130" t="s">
        <v>510</v>
      </c>
      <c r="AF25" s="7" t="s">
        <v>263</v>
      </c>
    </row>
    <row r="26" ht="43.2" hidden="1" spans="1:32">
      <c r="A26" s="88">
        <v>24</v>
      </c>
      <c r="B26" s="89" t="s">
        <v>227</v>
      </c>
      <c r="C26" s="90" t="s">
        <v>54</v>
      </c>
      <c r="D26" s="90" t="s">
        <v>228</v>
      </c>
      <c r="E26" s="92" t="s">
        <v>68</v>
      </c>
      <c r="F26" s="93">
        <v>6</v>
      </c>
      <c r="G26" s="94" t="s">
        <v>69</v>
      </c>
      <c r="H26" s="95" t="s">
        <v>229</v>
      </c>
      <c r="I26" s="111" t="s">
        <v>70</v>
      </c>
      <c r="J26" s="112">
        <f>VLOOKUP(B26,[3]加班情况分析!D:G,4,FALSE)</f>
        <v>3.30794834307897</v>
      </c>
      <c r="K26" s="112" t="b">
        <f>VLOOKUP(B26,[3]加班情况分析!D:H,5,FALSE)</f>
        <v>1</v>
      </c>
      <c r="L26" s="113">
        <f>VLOOKUP(B26,[3]加班情况分析!D:L,6,FALSE)</f>
        <v>0</v>
      </c>
      <c r="M26" s="113">
        <f>VLOOKUP($B26,[3]加班情况分析!$D:$L,7,FALSE)</f>
        <v>12</v>
      </c>
      <c r="N26" s="113">
        <f>VLOOKUP($B26,[3]加班情况分析!$D:$L,8,FALSE)</f>
        <v>30</v>
      </c>
      <c r="O26" s="91">
        <f>VLOOKUP(B26,[3]加班情况分析!D:L,9,FALSE)</f>
        <v>15</v>
      </c>
      <c r="P26" s="91"/>
      <c r="Q26" s="91">
        <f>VLOOKUP(B26,'[3]牵头需求（当前进行中）'!A:B,2,FALSE)</f>
        <v>3</v>
      </c>
      <c r="R26" s="91"/>
      <c r="S26" s="91">
        <v>1</v>
      </c>
      <c r="T26" s="91"/>
      <c r="U26" s="91"/>
      <c r="V26" s="91"/>
      <c r="W26" s="91" t="s">
        <v>502</v>
      </c>
      <c r="X26" s="120" t="s">
        <v>571</v>
      </c>
      <c r="Y26" s="94" t="s">
        <v>572</v>
      </c>
      <c r="Z26" s="129">
        <v>1</v>
      </c>
      <c r="AA26" s="94"/>
      <c r="AB26" s="94"/>
      <c r="AC26" s="94"/>
      <c r="AD26" s="94"/>
      <c r="AE26" s="130" t="s">
        <v>510</v>
      </c>
      <c r="AF26" s="7" t="s">
        <v>263</v>
      </c>
    </row>
    <row r="27" ht="43.2" hidden="1" spans="1:32">
      <c r="A27" s="88">
        <v>25</v>
      </c>
      <c r="B27" s="93" t="s">
        <v>233</v>
      </c>
      <c r="C27" s="90" t="s">
        <v>54</v>
      </c>
      <c r="D27" s="90" t="s">
        <v>228</v>
      </c>
      <c r="E27" s="92" t="s">
        <v>68</v>
      </c>
      <c r="F27" s="93">
        <v>5</v>
      </c>
      <c r="G27" s="94" t="s">
        <v>69</v>
      </c>
      <c r="H27" s="95" t="s">
        <v>201</v>
      </c>
      <c r="I27" s="111" t="s">
        <v>70</v>
      </c>
      <c r="J27" s="112">
        <f>VLOOKUP(B27,[3]加班情况分析!D:G,4,FALSE)</f>
        <v>1.98924329500858</v>
      </c>
      <c r="K27" s="112" t="b">
        <f>VLOOKUP(B27,[3]加班情况分析!D:H,5,FALSE)</f>
        <v>0</v>
      </c>
      <c r="L27" s="113">
        <f>VLOOKUP(B27,[3]加班情况分析!D:L,6,FALSE)</f>
        <v>6</v>
      </c>
      <c r="M27" s="113">
        <f>VLOOKUP($B27,[3]加班情况分析!$D:$L,7,FALSE)</f>
        <v>33</v>
      </c>
      <c r="N27" s="113">
        <f>VLOOKUP($B27,[3]加班情况分析!$D:$L,8,FALSE)</f>
        <v>14</v>
      </c>
      <c r="O27" s="91">
        <f>VLOOKUP(B27,[3]加班情况分析!D:L,9,FALSE)</f>
        <v>5</v>
      </c>
      <c r="P27" s="91"/>
      <c r="Q27" s="91"/>
      <c r="R27" s="91"/>
      <c r="S27" s="91">
        <v>1</v>
      </c>
      <c r="T27" s="91">
        <f>VLOOKUP(B27,[3]二季度变更任务!A:B,2,FALSE)</f>
        <v>4</v>
      </c>
      <c r="U27" s="91">
        <f>VLOOKUP(B27,[3]三季度变更任务!A:B,2,FALSE)</f>
        <v>7</v>
      </c>
      <c r="V27" s="91"/>
      <c r="W27" s="91" t="s">
        <v>263</v>
      </c>
      <c r="X27" s="120" t="s">
        <v>573</v>
      </c>
      <c r="Y27" s="94" t="s">
        <v>574</v>
      </c>
      <c r="Z27" s="129">
        <v>1</v>
      </c>
      <c r="AA27" s="94"/>
      <c r="AB27" s="94"/>
      <c r="AC27" s="94"/>
      <c r="AD27" s="94"/>
      <c r="AE27" s="130" t="s">
        <v>510</v>
      </c>
      <c r="AF27" s="7" t="s">
        <v>263</v>
      </c>
    </row>
    <row r="28" ht="43.2" hidden="1" spans="1:32">
      <c r="A28" s="88">
        <v>26</v>
      </c>
      <c r="B28" s="89" t="s">
        <v>234</v>
      </c>
      <c r="C28" s="90" t="s">
        <v>54</v>
      </c>
      <c r="D28" s="90" t="s">
        <v>228</v>
      </c>
      <c r="E28" s="92" t="s">
        <v>68</v>
      </c>
      <c r="F28" s="93">
        <v>3</v>
      </c>
      <c r="G28" s="94" t="s">
        <v>69</v>
      </c>
      <c r="H28" s="95" t="s">
        <v>235</v>
      </c>
      <c r="I28" s="111" t="s">
        <v>70</v>
      </c>
      <c r="J28" s="112">
        <f>VLOOKUP(B28,[3]加班情况分析!D:G,4,FALSE)</f>
        <v>3.21125243663616</v>
      </c>
      <c r="K28" s="112" t="b">
        <f>VLOOKUP(B28,[3]加班情况分析!D:H,5,FALSE)</f>
        <v>1</v>
      </c>
      <c r="L28" s="113">
        <f>VLOOKUP(B28,[3]加班情况分析!D:L,6,FALSE)</f>
        <v>5</v>
      </c>
      <c r="M28" s="113">
        <f>VLOOKUP($B28,[3]加班情况分析!$D:$L,7,FALSE)</f>
        <v>7</v>
      </c>
      <c r="N28" s="113">
        <f>VLOOKUP($B28,[3]加班情况分析!$D:$L,8,FALSE)</f>
        <v>30</v>
      </c>
      <c r="O28" s="91">
        <f>VLOOKUP(B28,[3]加班情况分析!D:L,9,FALSE)</f>
        <v>15</v>
      </c>
      <c r="P28" s="91">
        <f>VLOOKUP(B28,'[3]牵头项目（当前进行中）'!A:B,2,FALSE)</f>
        <v>1</v>
      </c>
      <c r="Q28" s="91">
        <f>VLOOKUP(B28,'[3]牵头需求（当前进行中）'!A:B,2,FALSE)</f>
        <v>3</v>
      </c>
      <c r="R28" s="91">
        <f>VLOOKUP(B28,[3]主管应用系统数量!I:J,2,FALSE)</f>
        <v>1</v>
      </c>
      <c r="S28" s="91">
        <v>1</v>
      </c>
      <c r="T28" s="91">
        <f>VLOOKUP(B28,[3]二季度变更任务!A:B,2,FALSE)</f>
        <v>8</v>
      </c>
      <c r="U28" s="91">
        <f>VLOOKUP(B28,[3]三季度变更任务!A:B,2,FALSE)</f>
        <v>9</v>
      </c>
      <c r="V28" s="91"/>
      <c r="W28" s="91" t="s">
        <v>502</v>
      </c>
      <c r="X28" s="120" t="s">
        <v>575</v>
      </c>
      <c r="Y28" s="94" t="s">
        <v>576</v>
      </c>
      <c r="Z28" s="129">
        <v>1</v>
      </c>
      <c r="AA28" s="94"/>
      <c r="AB28" s="94"/>
      <c r="AC28" s="94"/>
      <c r="AD28" s="94"/>
      <c r="AE28" s="130" t="s">
        <v>510</v>
      </c>
      <c r="AF28" s="7" t="s">
        <v>263</v>
      </c>
    </row>
    <row r="29" ht="43.2" hidden="1" spans="1:32">
      <c r="A29" s="88">
        <v>27</v>
      </c>
      <c r="B29" s="93" t="s">
        <v>236</v>
      </c>
      <c r="C29" s="90" t="s">
        <v>54</v>
      </c>
      <c r="D29" s="90" t="s">
        <v>93</v>
      </c>
      <c r="E29" s="92" t="s">
        <v>56</v>
      </c>
      <c r="F29" s="93">
        <v>2</v>
      </c>
      <c r="G29" s="94" t="s">
        <v>57</v>
      </c>
      <c r="H29" s="95" t="s">
        <v>81</v>
      </c>
      <c r="I29" s="111" t="s">
        <v>70</v>
      </c>
      <c r="J29" s="112">
        <f>VLOOKUP(B29,[3]加班情况分析!D:G,4,FALSE)</f>
        <v>2.69579566856235</v>
      </c>
      <c r="K29" s="112" t="b">
        <f>VLOOKUP(B29,[3]加班情况分析!D:H,5,FALSE)</f>
        <v>1</v>
      </c>
      <c r="L29" s="113">
        <f>VLOOKUP(B29,[3]加班情况分析!D:L,6,FALSE)</f>
        <v>5</v>
      </c>
      <c r="M29" s="113">
        <f>VLOOKUP($B29,[3]加班情况分析!$D:$L,7,FALSE)</f>
        <v>10</v>
      </c>
      <c r="N29" s="113">
        <f>VLOOKUP($B29,[3]加班情况分析!$D:$L,8,FALSE)</f>
        <v>33</v>
      </c>
      <c r="O29" s="91">
        <f>VLOOKUP(B29,[3]加班情况分析!D:L,9,FALSE)</f>
        <v>11</v>
      </c>
      <c r="P29" s="91"/>
      <c r="Q29" s="91">
        <f>VLOOKUP(B29,'[3]牵头需求（当前进行中）'!A:B,2,FALSE)</f>
        <v>1</v>
      </c>
      <c r="R29" s="91"/>
      <c r="S29" s="91">
        <v>1</v>
      </c>
      <c r="T29" s="91">
        <f>VLOOKUP(B29,[3]二季度变更任务!A:B,2,FALSE)</f>
        <v>15</v>
      </c>
      <c r="U29" s="91">
        <f>VLOOKUP(B29,[3]三季度变更任务!A:B,2,FALSE)</f>
        <v>10</v>
      </c>
      <c r="V29" s="91">
        <f>VLOOKUP(B29,[3]责任事件及缺陷!A:B,2,FALSE)</f>
        <v>2</v>
      </c>
      <c r="W29" s="91" t="s">
        <v>502</v>
      </c>
      <c r="X29" s="120" t="s">
        <v>577</v>
      </c>
      <c r="Y29" s="94" t="s">
        <v>577</v>
      </c>
      <c r="Z29" s="129">
        <v>1</v>
      </c>
      <c r="AA29" s="94"/>
      <c r="AB29" s="94"/>
      <c r="AC29" s="94"/>
      <c r="AD29" s="94"/>
      <c r="AE29" s="130" t="s">
        <v>510</v>
      </c>
      <c r="AF29" s="7" t="s">
        <v>263</v>
      </c>
    </row>
    <row r="30" ht="21.6" hidden="1" spans="1:32">
      <c r="A30" s="88">
        <v>28</v>
      </c>
      <c r="B30" s="93" t="s">
        <v>237</v>
      </c>
      <c r="C30" s="90" t="s">
        <v>54</v>
      </c>
      <c r="D30" s="90" t="s">
        <v>93</v>
      </c>
      <c r="E30" s="92" t="s">
        <v>56</v>
      </c>
      <c r="F30" s="93">
        <v>3</v>
      </c>
      <c r="G30" s="94" t="s">
        <v>57</v>
      </c>
      <c r="H30" s="95" t="s">
        <v>81</v>
      </c>
      <c r="I30" s="111" t="s">
        <v>70</v>
      </c>
      <c r="J30" s="112">
        <f>VLOOKUP(B30,[3]加班情况分析!D:G,4,FALSE)</f>
        <v>2.25574225866041</v>
      </c>
      <c r="K30" s="112" t="b">
        <f>VLOOKUP(B30,[3]加班情况分析!D:H,5,FALSE)</f>
        <v>0</v>
      </c>
      <c r="L30" s="113">
        <f>VLOOKUP(B30,[3]加班情况分析!D:L,6,FALSE)</f>
        <v>1</v>
      </c>
      <c r="M30" s="113">
        <f>VLOOKUP($B30,[3]加班情况分析!$D:$L,7,FALSE)</f>
        <v>39</v>
      </c>
      <c r="N30" s="113">
        <f>VLOOKUP($B30,[3]加班情况分析!$D:$L,8,FALSE)</f>
        <v>17</v>
      </c>
      <c r="O30" s="91">
        <f>VLOOKUP(B30,[3]加班情况分析!D:L,9,FALSE)</f>
        <v>4</v>
      </c>
      <c r="P30" s="91"/>
      <c r="Q30" s="91">
        <f>VLOOKUP(B30,'[3]牵头需求（当前进行中）'!A:B,2,FALSE)</f>
        <v>8</v>
      </c>
      <c r="R30" s="91"/>
      <c r="S30" s="91">
        <v>1</v>
      </c>
      <c r="T30" s="91">
        <f>VLOOKUP(B30,[3]二季度变更任务!A:B,2,FALSE)</f>
        <v>20</v>
      </c>
      <c r="U30" s="91">
        <f>VLOOKUP(B30,[3]三季度变更任务!A:B,2,FALSE)</f>
        <v>19</v>
      </c>
      <c r="V30" s="91"/>
      <c r="W30" s="91" t="s">
        <v>502</v>
      </c>
      <c r="X30" s="120" t="s">
        <v>578</v>
      </c>
      <c r="Y30" s="94" t="s">
        <v>578</v>
      </c>
      <c r="Z30" s="129">
        <v>1</v>
      </c>
      <c r="AA30" s="94"/>
      <c r="AB30" s="94"/>
      <c r="AC30" s="94"/>
      <c r="AD30" s="94"/>
      <c r="AE30" s="130" t="s">
        <v>510</v>
      </c>
      <c r="AF30" s="7" t="s">
        <v>263</v>
      </c>
    </row>
    <row r="31" ht="21.6" hidden="1" spans="1:32">
      <c r="A31" s="88">
        <v>29</v>
      </c>
      <c r="B31" s="89" t="s">
        <v>238</v>
      </c>
      <c r="C31" s="90" t="s">
        <v>54</v>
      </c>
      <c r="D31" s="90" t="s">
        <v>228</v>
      </c>
      <c r="E31" s="92" t="s">
        <v>56</v>
      </c>
      <c r="F31" s="93">
        <v>7</v>
      </c>
      <c r="G31" s="94" t="s">
        <v>57</v>
      </c>
      <c r="H31" s="95" t="s">
        <v>239</v>
      </c>
      <c r="I31" s="111" t="s">
        <v>70</v>
      </c>
      <c r="J31" s="112">
        <f>VLOOKUP(B31,[3]加班情况分析!D:G,4,FALSE)</f>
        <v>3.15106403013648</v>
      </c>
      <c r="K31" s="112" t="b">
        <f>VLOOKUP(B31,[3]加班情况分析!D:H,5,FALSE)</f>
        <v>1</v>
      </c>
      <c r="L31" s="113">
        <f>VLOOKUP(B31,[3]加班情况分析!D:L,6,FALSE)</f>
        <v>1</v>
      </c>
      <c r="M31" s="113">
        <f>VLOOKUP($B31,[3]加班情况分析!$D:$L,7,FALSE)</f>
        <v>2</v>
      </c>
      <c r="N31" s="113">
        <f>VLOOKUP($B31,[3]加班情况分析!$D:$L,8,FALSE)</f>
        <v>50</v>
      </c>
      <c r="O31" s="91">
        <f>VLOOKUP(B31,[3]加班情况分析!D:L,9,FALSE)</f>
        <v>6</v>
      </c>
      <c r="P31" s="91"/>
      <c r="Q31" s="91">
        <f>VLOOKUP(B31,'[3]牵头需求（当前进行中）'!A:B,2,FALSE)</f>
        <v>1</v>
      </c>
      <c r="R31" s="91"/>
      <c r="S31" s="91">
        <v>1</v>
      </c>
      <c r="T31" s="91">
        <f>VLOOKUP(B31,[3]二季度变更任务!A:B,2,FALSE)</f>
        <v>10</v>
      </c>
      <c r="U31" s="91">
        <f>VLOOKUP(B31,[3]三季度变更任务!A:B,2,FALSE)</f>
        <v>13</v>
      </c>
      <c r="V31" s="91">
        <f>VLOOKUP(B31,[3]责任事件及缺陷!A:B,2,FALSE)</f>
        <v>1</v>
      </c>
      <c r="W31" s="91" t="s">
        <v>502</v>
      </c>
      <c r="X31" s="120" t="s">
        <v>579</v>
      </c>
      <c r="Y31" s="94" t="s">
        <v>579</v>
      </c>
      <c r="Z31" s="129">
        <v>1</v>
      </c>
      <c r="AA31" s="94"/>
      <c r="AB31" s="94"/>
      <c r="AC31" s="94"/>
      <c r="AD31" s="94"/>
      <c r="AE31" s="130" t="s">
        <v>510</v>
      </c>
      <c r="AF31" s="7" t="s">
        <v>263</v>
      </c>
    </row>
    <row r="32" ht="21.6" hidden="1" spans="1:32">
      <c r="A32" s="88">
        <v>30</v>
      </c>
      <c r="B32" s="93" t="s">
        <v>240</v>
      </c>
      <c r="C32" s="90" t="s">
        <v>98</v>
      </c>
      <c r="D32" s="90" t="s">
        <v>121</v>
      </c>
      <c r="E32" s="92" t="s">
        <v>56</v>
      </c>
      <c r="F32" s="93">
        <v>3</v>
      </c>
      <c r="G32" s="94" t="s">
        <v>69</v>
      </c>
      <c r="H32" s="95" t="s">
        <v>201</v>
      </c>
      <c r="I32" s="111" t="s">
        <v>70</v>
      </c>
      <c r="J32" s="112">
        <f>VLOOKUP(B32,[3]加班情况分析!D:G,4,FALSE)</f>
        <v>2.64566570879683</v>
      </c>
      <c r="K32" s="112" t="b">
        <f>VLOOKUP(B32,[3]加班情况分析!D:H,5,FALSE)</f>
        <v>1</v>
      </c>
      <c r="L32" s="113">
        <f>VLOOKUP(B32,[3]加班情况分析!D:L,6,FALSE)</f>
        <v>12</v>
      </c>
      <c r="M32" s="113">
        <f>VLOOKUP($B32,[3]加班情况分析!$D:$L,7,FALSE)</f>
        <v>4</v>
      </c>
      <c r="N32" s="113">
        <f>VLOOKUP($B32,[3]加班情况分析!$D:$L,8,FALSE)</f>
        <v>29</v>
      </c>
      <c r="O32" s="91">
        <f>VLOOKUP(B32,[3]加班情况分析!D:L,9,FALSE)</f>
        <v>13</v>
      </c>
      <c r="P32" s="91"/>
      <c r="Q32" s="91"/>
      <c r="R32" s="91">
        <f>VLOOKUP(B32,[3]主管应用系统数量!I:J,2,FALSE)</f>
        <v>1</v>
      </c>
      <c r="S32" s="91">
        <v>1</v>
      </c>
      <c r="T32" s="91">
        <f>VLOOKUP(B32,[3]二季度变更任务!A:B,2,FALSE)</f>
        <v>8</v>
      </c>
      <c r="U32" s="91">
        <f>VLOOKUP(B32,[3]三季度变更任务!A:B,2,FALSE)</f>
        <v>10</v>
      </c>
      <c r="V32" s="91"/>
      <c r="W32" s="91" t="s">
        <v>263</v>
      </c>
      <c r="X32" s="120" t="s">
        <v>580</v>
      </c>
      <c r="Y32" s="94" t="s">
        <v>581</v>
      </c>
      <c r="Z32" s="129">
        <v>0.8</v>
      </c>
      <c r="AA32" s="94" t="s">
        <v>582</v>
      </c>
      <c r="AB32" s="129">
        <v>0.2</v>
      </c>
      <c r="AC32" s="94"/>
      <c r="AD32" s="94" t="s">
        <v>583</v>
      </c>
      <c r="AE32" s="130" t="s">
        <v>510</v>
      </c>
      <c r="AF32" s="7" t="s">
        <v>263</v>
      </c>
    </row>
    <row r="33" ht="43.2" spans="1:32">
      <c r="A33" s="88">
        <v>31</v>
      </c>
      <c r="B33" s="89" t="s">
        <v>241</v>
      </c>
      <c r="C33" s="90" t="s">
        <v>98</v>
      </c>
      <c r="D33" s="90" t="s">
        <v>121</v>
      </c>
      <c r="E33" s="92" t="s">
        <v>56</v>
      </c>
      <c r="F33" s="93" t="s">
        <v>584</v>
      </c>
      <c r="G33" s="94" t="s">
        <v>69</v>
      </c>
      <c r="H33" s="95" t="s">
        <v>242</v>
      </c>
      <c r="I33" s="111" t="s">
        <v>70</v>
      </c>
      <c r="J33" s="112">
        <f>VLOOKUP(B33,[3]加班情况分析!D:G,4,FALSE)</f>
        <v>3.91481968811958</v>
      </c>
      <c r="K33" s="112" t="b">
        <f>VLOOKUP(B33,[3]加班情况分析!D:H,5,FALSE)</f>
        <v>1</v>
      </c>
      <c r="L33" s="113">
        <f>VLOOKUP(B33,[3]加班情况分析!D:L,6,FALSE)</f>
        <v>11</v>
      </c>
      <c r="M33" s="113">
        <f>VLOOKUP($B33,[3]加班情况分析!$D:$L,7,FALSE)</f>
        <v>11</v>
      </c>
      <c r="N33" s="113">
        <f>VLOOKUP($B33,[3]加班情况分析!$D:$L,8,FALSE)</f>
        <v>8</v>
      </c>
      <c r="O33" s="91">
        <f>VLOOKUP(B33,[3]加班情况分析!D:L,9,FALSE)</f>
        <v>27</v>
      </c>
      <c r="P33" s="91">
        <f>VLOOKUP(B33,'[3]牵头项目（当前进行中）'!A:B,2,FALSE)</f>
        <v>1</v>
      </c>
      <c r="Q33" s="91">
        <f>VLOOKUP(B33,'[3]牵头需求（当前进行中）'!A:B,2,FALSE)</f>
        <v>4</v>
      </c>
      <c r="R33" s="91">
        <f>VLOOKUP(B33,[3]主管应用系统数量!I:J,2,FALSE)</f>
        <v>3</v>
      </c>
      <c r="S33" s="91">
        <v>4</v>
      </c>
      <c r="T33" s="91">
        <f>VLOOKUP(B33,[3]二季度变更任务!A:B,2,FALSE)</f>
        <v>21</v>
      </c>
      <c r="U33" s="91">
        <f>VLOOKUP(B33,[3]三季度变更任务!A:B,2,FALSE)</f>
        <v>35</v>
      </c>
      <c r="V33" s="91">
        <f>VLOOKUP(B33,[3]责任事件及缺陷!A:B,2,FALSE)</f>
        <v>3</v>
      </c>
      <c r="W33" s="91" t="s">
        <v>502</v>
      </c>
      <c r="X33" s="120" t="s">
        <v>585</v>
      </c>
      <c r="Y33" s="131" t="s">
        <v>586</v>
      </c>
      <c r="Z33" s="129">
        <v>0.8</v>
      </c>
      <c r="AA33" s="94" t="s">
        <v>587</v>
      </c>
      <c r="AB33" s="129">
        <v>0.2</v>
      </c>
      <c r="AC33" s="94" t="s">
        <v>588</v>
      </c>
      <c r="AD33" s="94" t="s">
        <v>364</v>
      </c>
      <c r="AE33" s="130" t="s">
        <v>510</v>
      </c>
      <c r="AF33" s="7" t="s">
        <v>263</v>
      </c>
    </row>
    <row r="34" ht="28.8" hidden="1" spans="1:32">
      <c r="A34" s="88">
        <v>32</v>
      </c>
      <c r="B34" s="93" t="s">
        <v>244</v>
      </c>
      <c r="C34" s="90" t="s">
        <v>98</v>
      </c>
      <c r="D34" s="90" t="s">
        <v>107</v>
      </c>
      <c r="E34" s="92" t="s">
        <v>56</v>
      </c>
      <c r="F34" s="93">
        <v>2</v>
      </c>
      <c r="G34" s="94" t="s">
        <v>69</v>
      </c>
      <c r="H34" s="95" t="s">
        <v>122</v>
      </c>
      <c r="I34" s="111" t="s">
        <v>70</v>
      </c>
      <c r="J34" s="112">
        <f>VLOOKUP(B34,[3]加班情况分析!D:G,4,FALSE)</f>
        <v>1.55351532567373</v>
      </c>
      <c r="K34" s="112" t="b">
        <f>VLOOKUP(B34,[3]加班情况分析!D:H,5,FALSE)</f>
        <v>0</v>
      </c>
      <c r="L34" s="113">
        <f>VLOOKUP(B34,[3]加班情况分析!D:L,6,FALSE)</f>
        <v>16</v>
      </c>
      <c r="M34" s="113">
        <f>VLOOKUP($B34,[3]加班情况分析!$D:$L,7,FALSE)</f>
        <v>36</v>
      </c>
      <c r="N34" s="113">
        <f>VLOOKUP($B34,[3]加班情况分析!$D:$L,8,FALSE)</f>
        <v>0</v>
      </c>
      <c r="O34" s="91">
        <f>VLOOKUP(B34,[3]加班情况分析!D:L,9,FALSE)</f>
        <v>6</v>
      </c>
      <c r="P34" s="91"/>
      <c r="Q34" s="91"/>
      <c r="R34" s="91"/>
      <c r="S34" s="91">
        <v>2</v>
      </c>
      <c r="T34" s="91">
        <f>VLOOKUP(B34,[3]二季度变更任务!A:B,2,FALSE)</f>
        <v>6</v>
      </c>
      <c r="U34" s="91">
        <f>VLOOKUP(B34,[3]三季度变更任务!A:B,2,FALSE)</f>
        <v>6</v>
      </c>
      <c r="V34" s="91"/>
      <c r="W34" s="91" t="s">
        <v>263</v>
      </c>
      <c r="X34" s="120" t="s">
        <v>589</v>
      </c>
      <c r="Y34" s="94" t="s">
        <v>590</v>
      </c>
      <c r="Z34" s="129">
        <v>0.8</v>
      </c>
      <c r="AA34" s="94" t="s">
        <v>591</v>
      </c>
      <c r="AB34" s="129">
        <v>0.2</v>
      </c>
      <c r="AC34" s="94"/>
      <c r="AD34" s="94" t="s">
        <v>356</v>
      </c>
      <c r="AE34" s="130" t="s">
        <v>510</v>
      </c>
      <c r="AF34" s="7" t="s">
        <v>263</v>
      </c>
    </row>
    <row r="35" ht="75.75" hidden="1" customHeight="1" spans="1:32">
      <c r="A35" s="88">
        <v>33</v>
      </c>
      <c r="B35" s="93" t="s">
        <v>255</v>
      </c>
      <c r="C35" s="90" t="s">
        <v>189</v>
      </c>
      <c r="D35" s="90" t="s">
        <v>256</v>
      </c>
      <c r="E35" s="92" t="s">
        <v>56</v>
      </c>
      <c r="F35" s="93">
        <v>4</v>
      </c>
      <c r="G35" s="94" t="s">
        <v>69</v>
      </c>
      <c r="H35" s="95" t="s">
        <v>257</v>
      </c>
      <c r="I35" s="111" t="s">
        <v>70</v>
      </c>
      <c r="J35" s="112">
        <f>VLOOKUP(B35,[3]加班情况分析!D:G,4,FALSE)</f>
        <v>2.72562056737135</v>
      </c>
      <c r="K35" s="112" t="b">
        <f>VLOOKUP(B35,[3]加班情况分析!D:H,5,FALSE)</f>
        <v>1</v>
      </c>
      <c r="L35" s="113">
        <f>VLOOKUP(B35,[3]加班情况分析!D:L,6,FALSE)</f>
        <v>9</v>
      </c>
      <c r="M35" s="113">
        <f>VLOOKUP($B35,[3]加班情况分析!$D:$L,7,FALSE)</f>
        <v>4</v>
      </c>
      <c r="N35" s="113">
        <f>VLOOKUP($B35,[3]加班情况分析!$D:$L,8,FALSE)</f>
        <v>25</v>
      </c>
      <c r="O35" s="91">
        <f>VLOOKUP(B35,[3]加班情况分析!D:L,9,FALSE)</f>
        <v>9</v>
      </c>
      <c r="P35" s="91">
        <f>VLOOKUP(B35,'[3]牵头项目（当前进行中）'!A:B,2,FALSE)</f>
        <v>1</v>
      </c>
      <c r="Q35" s="91">
        <f>VLOOKUP(B35,'[3]牵头需求（当前进行中）'!A:B,2,FALSE)</f>
        <v>2</v>
      </c>
      <c r="R35" s="91"/>
      <c r="S35" s="91">
        <v>1</v>
      </c>
      <c r="T35" s="91"/>
      <c r="U35" s="91"/>
      <c r="V35" s="91"/>
      <c r="W35" s="91" t="s">
        <v>263</v>
      </c>
      <c r="X35" s="120" t="s">
        <v>592</v>
      </c>
      <c r="Y35" s="94" t="s">
        <v>593</v>
      </c>
      <c r="Z35" s="129">
        <v>0.6</v>
      </c>
      <c r="AA35" s="94" t="s">
        <v>594</v>
      </c>
      <c r="AB35" s="129">
        <v>0.3</v>
      </c>
      <c r="AC35" s="94"/>
      <c r="AD35" s="94" t="s">
        <v>553</v>
      </c>
      <c r="AE35" s="130" t="s">
        <v>510</v>
      </c>
      <c r="AF35" s="7" t="s">
        <v>263</v>
      </c>
    </row>
    <row r="36" ht="114.75" hidden="1" customHeight="1" spans="1:32">
      <c r="A36" s="88">
        <v>34</v>
      </c>
      <c r="B36" s="101" t="s">
        <v>259</v>
      </c>
      <c r="C36" s="90" t="s">
        <v>189</v>
      </c>
      <c r="D36" s="90" t="s">
        <v>197</v>
      </c>
      <c r="E36" s="92" t="s">
        <v>56</v>
      </c>
      <c r="F36" s="93">
        <v>4</v>
      </c>
      <c r="G36" s="94" t="s">
        <v>69</v>
      </c>
      <c r="H36" s="95" t="s">
        <v>103</v>
      </c>
      <c r="I36" s="111" t="s">
        <v>70</v>
      </c>
      <c r="J36" s="112">
        <f>VLOOKUP(B36,[3]加班情况分析!D:G,4,FALSE)</f>
        <v>1.96302419354118</v>
      </c>
      <c r="K36" s="112" t="b">
        <f>VLOOKUP(B36,[3]加班情况分析!D:H,5,FALSE)</f>
        <v>0</v>
      </c>
      <c r="L36" s="113">
        <f>VLOOKUP(B36,[3]加班情况分析!D:L,6,FALSE)</f>
        <v>12</v>
      </c>
      <c r="M36" s="113">
        <f>VLOOKUP($B36,[3]加班情况分析!$D:$L,7,FALSE)</f>
        <v>33</v>
      </c>
      <c r="N36" s="113">
        <f>VLOOKUP($B36,[3]加班情况分析!$D:$L,8,FALSE)</f>
        <v>12</v>
      </c>
      <c r="O36" s="91">
        <f>VLOOKUP(B36,[3]加班情况分析!D:L,9,FALSE)</f>
        <v>5</v>
      </c>
      <c r="P36" s="91">
        <f>VLOOKUP(B36,'[3]牵头项目（当前进行中）'!A:B,2,FALSE)</f>
        <v>1</v>
      </c>
      <c r="Q36" s="91">
        <f>VLOOKUP(B36,'[3]牵头需求（当前进行中）'!A:B,2,FALSE)</f>
        <v>1</v>
      </c>
      <c r="R36" s="91">
        <f>VLOOKUP(B36,[3]主管应用系统数量!I:J,2,FALSE)</f>
        <v>1</v>
      </c>
      <c r="S36" s="91">
        <v>1</v>
      </c>
      <c r="T36" s="91">
        <f>VLOOKUP(B36,[3]二季度变更任务!A:B,2,FALSE)</f>
        <v>7</v>
      </c>
      <c r="U36" s="91">
        <f>VLOOKUP(B36,[3]三季度变更任务!A:B,2,FALSE)</f>
        <v>12</v>
      </c>
      <c r="V36" s="91">
        <f>VLOOKUP(B36,[3]责任事件及缺陷!A:B,2,FALSE)</f>
        <v>1</v>
      </c>
      <c r="W36" s="91" t="s">
        <v>502</v>
      </c>
      <c r="X36" s="120" t="s">
        <v>595</v>
      </c>
      <c r="Y36" s="94" t="s">
        <v>596</v>
      </c>
      <c r="Z36" s="129">
        <v>0.6</v>
      </c>
      <c r="AA36" s="94" t="s">
        <v>597</v>
      </c>
      <c r="AB36" s="129">
        <v>0.2</v>
      </c>
      <c r="AC36" s="94"/>
      <c r="AD36" s="94" t="s">
        <v>553</v>
      </c>
      <c r="AE36" s="130" t="s">
        <v>506</v>
      </c>
      <c r="AF36" s="7" t="s">
        <v>502</v>
      </c>
    </row>
    <row r="37" ht="84" hidden="1" customHeight="1" spans="1:32">
      <c r="A37" s="88">
        <v>35</v>
      </c>
      <c r="B37" s="93" t="s">
        <v>261</v>
      </c>
      <c r="C37" s="90" t="s">
        <v>189</v>
      </c>
      <c r="D37" s="90" t="s">
        <v>256</v>
      </c>
      <c r="E37" s="92" t="s">
        <v>68</v>
      </c>
      <c r="F37" s="93">
        <v>1</v>
      </c>
      <c r="G37" s="94" t="s">
        <v>69</v>
      </c>
      <c r="H37" s="95" t="s">
        <v>242</v>
      </c>
      <c r="I37" s="111" t="s">
        <v>70</v>
      </c>
      <c r="J37" s="112">
        <f>VLOOKUP(B37,[3]加班情况分析!D:G,4,FALSE)</f>
        <v>1.61931089743694</v>
      </c>
      <c r="K37" s="112" t="b">
        <f>VLOOKUP(B37,[3]加班情况分析!D:H,5,FALSE)</f>
        <v>0</v>
      </c>
      <c r="L37" s="113">
        <f>VLOOKUP(B37,[3]加班情况分析!D:L,6,FALSE)</f>
        <v>15</v>
      </c>
      <c r="M37" s="113">
        <f>VLOOKUP($B37,[3]加班情况分析!$D:$L,7,FALSE)</f>
        <v>20</v>
      </c>
      <c r="N37" s="113">
        <f>VLOOKUP($B37,[3]加班情况分析!$D:$L,8,FALSE)</f>
        <v>16</v>
      </c>
      <c r="O37" s="91">
        <f>VLOOKUP(B37,[3]加班情况分析!D:L,9,FALSE)</f>
        <v>1</v>
      </c>
      <c r="P37" s="91"/>
      <c r="Q37" s="91"/>
      <c r="R37" s="91"/>
      <c r="S37" s="91">
        <v>0</v>
      </c>
      <c r="T37" s="91"/>
      <c r="U37" s="91"/>
      <c r="V37" s="91"/>
      <c r="W37" s="91" t="s">
        <v>515</v>
      </c>
      <c r="X37" s="120" t="s">
        <v>598</v>
      </c>
      <c r="Y37" s="94" t="s">
        <v>599</v>
      </c>
      <c r="Z37" s="129">
        <v>0.5</v>
      </c>
      <c r="AA37" s="94" t="s">
        <v>600</v>
      </c>
      <c r="AB37" s="129">
        <v>0.5</v>
      </c>
      <c r="AC37" s="94"/>
      <c r="AD37" s="94" t="s">
        <v>553</v>
      </c>
      <c r="AE37" s="130" t="s">
        <v>510</v>
      </c>
      <c r="AF37" s="7" t="s">
        <v>263</v>
      </c>
    </row>
    <row r="38" ht="28.8" hidden="1" spans="1:32">
      <c r="A38" s="88">
        <v>36</v>
      </c>
      <c r="B38" s="98" t="s">
        <v>348</v>
      </c>
      <c r="C38" s="97" t="s">
        <v>98</v>
      </c>
      <c r="D38" s="98" t="s">
        <v>349</v>
      </c>
      <c r="E38" s="92" t="s">
        <v>56</v>
      </c>
      <c r="F38" s="99">
        <v>6</v>
      </c>
      <c r="G38" s="92" t="s">
        <v>69</v>
      </c>
      <c r="H38" s="100" t="s">
        <v>194</v>
      </c>
      <c r="I38" s="114" t="s">
        <v>527</v>
      </c>
      <c r="J38" s="112">
        <f>VLOOKUP(B38,[3]加班情况分析!D:G,4,FALSE)</f>
        <v>2.05115575397836</v>
      </c>
      <c r="K38" s="112" t="b">
        <f>VLOOKUP(B38,[3]加班情况分析!D:H,5,FALSE)</f>
        <v>1</v>
      </c>
      <c r="L38" s="113">
        <f>VLOOKUP(B38,[3]加班情况分析!D:L,6,FALSE)</f>
        <v>9</v>
      </c>
      <c r="M38" s="113">
        <f>VLOOKUP($B38,[3]加班情况分析!$D:$L,7,FALSE)</f>
        <v>35</v>
      </c>
      <c r="N38" s="113">
        <f>VLOOKUP($B38,[3]加班情况分析!$D:$L,8,FALSE)</f>
        <v>3</v>
      </c>
      <c r="O38" s="91">
        <f>VLOOKUP(B38,[3]加班情况分析!D:L,9,FALSE)</f>
        <v>9</v>
      </c>
      <c r="P38" s="91"/>
      <c r="Q38" s="91"/>
      <c r="R38" s="91"/>
      <c r="S38" s="91">
        <v>0</v>
      </c>
      <c r="T38" s="91"/>
      <c r="U38" s="91"/>
      <c r="V38" s="91"/>
      <c r="W38" s="91"/>
      <c r="X38" s="120" t="s">
        <v>601</v>
      </c>
      <c r="Y38" s="94" t="s">
        <v>602</v>
      </c>
      <c r="Z38" s="129">
        <v>1</v>
      </c>
      <c r="AA38" s="94"/>
      <c r="AB38" s="94"/>
      <c r="AC38" s="94"/>
      <c r="AD38" s="94" t="s">
        <v>368</v>
      </c>
      <c r="AE38" s="130" t="s">
        <v>510</v>
      </c>
      <c r="AF38" s="7" t="s">
        <v>263</v>
      </c>
    </row>
    <row r="39" ht="24" hidden="1" spans="1:32">
      <c r="A39" s="88">
        <v>37</v>
      </c>
      <c r="B39" s="102" t="s">
        <v>350</v>
      </c>
      <c r="C39" s="97" t="s">
        <v>98</v>
      </c>
      <c r="D39" s="98" t="s">
        <v>107</v>
      </c>
      <c r="E39" s="92" t="s">
        <v>68</v>
      </c>
      <c r="F39" s="99">
        <v>4</v>
      </c>
      <c r="G39" s="92" t="s">
        <v>69</v>
      </c>
      <c r="H39" s="100" t="s">
        <v>81</v>
      </c>
      <c r="I39" s="114" t="s">
        <v>527</v>
      </c>
      <c r="J39" s="112">
        <f>VLOOKUP(B39,[3]加班情况分析!D:G,4,FALSE)</f>
        <v>0.626864406783371</v>
      </c>
      <c r="K39" s="112" t="b">
        <f>VLOOKUP(B39,[3]加班情况分析!D:H,5,FALSE)</f>
        <v>0</v>
      </c>
      <c r="L39" s="113">
        <f>VLOOKUP(B39,[3]加班情况分析!D:L,6,FALSE)</f>
        <v>56</v>
      </c>
      <c r="M39" s="113">
        <f>VLOOKUP($B39,[3]加班情况分析!$D:$L,7,FALSE)</f>
        <v>3</v>
      </c>
      <c r="N39" s="113">
        <f>VLOOKUP($B39,[3]加班情况分析!$D:$L,8,FALSE)</f>
        <v>0</v>
      </c>
      <c r="O39" s="91">
        <f>VLOOKUP(B39,[3]加班情况分析!D:L,9,FALSE)</f>
        <v>0</v>
      </c>
      <c r="P39" s="91"/>
      <c r="Q39" s="91"/>
      <c r="R39" s="91">
        <f>VLOOKUP(B39,[3]主管应用系统数量!I:J,2,FALSE)</f>
        <v>1</v>
      </c>
      <c r="S39" s="91">
        <v>2</v>
      </c>
      <c r="T39" s="91">
        <f>VLOOKUP(B39,[3]二季度变更任务!A:B,2,FALSE)</f>
        <v>2</v>
      </c>
      <c r="U39" s="91"/>
      <c r="V39" s="91"/>
      <c r="W39" s="91" t="s">
        <v>515</v>
      </c>
      <c r="X39" s="120" t="s">
        <v>536</v>
      </c>
      <c r="Y39" s="94" t="s">
        <v>603</v>
      </c>
      <c r="Z39" s="129">
        <v>1</v>
      </c>
      <c r="AA39" s="94"/>
      <c r="AB39" s="94"/>
      <c r="AC39" s="94"/>
      <c r="AD39" s="94" t="s">
        <v>111</v>
      </c>
      <c r="AE39" s="130" t="s">
        <v>510</v>
      </c>
      <c r="AF39" s="7" t="s">
        <v>263</v>
      </c>
    </row>
    <row r="40" hidden="1" spans="1:32">
      <c r="A40" s="88">
        <v>38</v>
      </c>
      <c r="B40" s="98" t="s">
        <v>351</v>
      </c>
      <c r="C40" s="97" t="s">
        <v>98</v>
      </c>
      <c r="D40" s="98" t="s">
        <v>107</v>
      </c>
      <c r="E40" s="92" t="s">
        <v>56</v>
      </c>
      <c r="F40" s="99">
        <v>2</v>
      </c>
      <c r="G40" s="92" t="s">
        <v>57</v>
      </c>
      <c r="H40" s="100" t="s">
        <v>122</v>
      </c>
      <c r="I40" s="114" t="s">
        <v>527</v>
      </c>
      <c r="J40" s="112">
        <f>VLOOKUP(B40,[3]加班情况分析!D:G,4,FALSE)</f>
        <v>1.40965534978507</v>
      </c>
      <c r="K40" s="112" t="b">
        <f>VLOOKUP(B40,[3]加班情况分析!D:H,5,FALSE)</f>
        <v>0</v>
      </c>
      <c r="L40" s="113">
        <f>VLOOKUP(B40,[3]加班情况分析!D:L,6,FALSE)</f>
        <v>16</v>
      </c>
      <c r="M40" s="113">
        <f>VLOOKUP($B40,[3]加班情况分析!$D:$L,7,FALSE)</f>
        <v>36</v>
      </c>
      <c r="N40" s="113">
        <f>VLOOKUP($B40,[3]加班情况分析!$D:$L,8,FALSE)</f>
        <v>0</v>
      </c>
      <c r="O40" s="91">
        <f>VLOOKUP(B40,[3]加班情况分析!D:L,9,FALSE)</f>
        <v>2</v>
      </c>
      <c r="P40" s="91"/>
      <c r="Q40" s="91">
        <f>VLOOKUP(B40,'[3]牵头需求（当前进行中）'!A:B,2,FALSE)</f>
        <v>2</v>
      </c>
      <c r="R40" s="91">
        <f>VLOOKUP(B40,[3]主管应用系统数量!I:J,2,FALSE)</f>
        <v>1</v>
      </c>
      <c r="S40" s="91">
        <v>1</v>
      </c>
      <c r="T40" s="91">
        <f>VLOOKUP(B40,[3]二季度变更任务!A:B,2,FALSE)</f>
        <v>1</v>
      </c>
      <c r="U40" s="91">
        <f>VLOOKUP(B40,[3]三季度变更任务!A:B,2,FALSE)</f>
        <v>3</v>
      </c>
      <c r="V40" s="91"/>
      <c r="W40" s="91" t="s">
        <v>263</v>
      </c>
      <c r="X40" s="120" t="s">
        <v>536</v>
      </c>
      <c r="Y40" s="94" t="s">
        <v>537</v>
      </c>
      <c r="Z40" s="129">
        <v>1</v>
      </c>
      <c r="AA40" s="94"/>
      <c r="AB40" s="94"/>
      <c r="AC40" s="94"/>
      <c r="AD40" s="94" t="s">
        <v>111</v>
      </c>
      <c r="AE40" s="130" t="s">
        <v>510</v>
      </c>
      <c r="AF40" s="7" t="s">
        <v>263</v>
      </c>
    </row>
    <row r="41" ht="43.2" hidden="1" spans="1:32">
      <c r="A41" s="88">
        <v>39</v>
      </c>
      <c r="B41" s="102" t="s">
        <v>352</v>
      </c>
      <c r="C41" s="97" t="s">
        <v>98</v>
      </c>
      <c r="D41" s="98" t="s">
        <v>107</v>
      </c>
      <c r="E41" s="92" t="s">
        <v>68</v>
      </c>
      <c r="F41" s="99">
        <v>2</v>
      </c>
      <c r="G41" s="92" t="s">
        <v>69</v>
      </c>
      <c r="H41" s="100" t="s">
        <v>353</v>
      </c>
      <c r="I41" s="114" t="s">
        <v>527</v>
      </c>
      <c r="J41" s="112">
        <f>VLOOKUP(B41,[3]加班情况分析!D:G,4,FALSE)</f>
        <v>0.826511299428017</v>
      </c>
      <c r="K41" s="112" t="b">
        <f>VLOOKUP(B41,[3]加班情况分析!D:H,5,FALSE)</f>
        <v>0</v>
      </c>
      <c r="L41" s="113">
        <f>VLOOKUP(B41,[3]加班情况分析!D:L,6,FALSE)</f>
        <v>41</v>
      </c>
      <c r="M41" s="113">
        <f>VLOOKUP($B41,[3]加班情况分析!$D:$L,7,FALSE)</f>
        <v>18</v>
      </c>
      <c r="N41" s="113">
        <f>VLOOKUP($B41,[3]加班情况分析!$D:$L,8,FALSE)</f>
        <v>0</v>
      </c>
      <c r="O41" s="91">
        <f>VLOOKUP(B41,[3]加班情况分析!D:L,9,FALSE)</f>
        <v>0</v>
      </c>
      <c r="P41" s="91"/>
      <c r="Q41" s="91">
        <f>VLOOKUP(B41,'[3]牵头需求（当前进行中）'!A:B,2,FALSE)</f>
        <v>1</v>
      </c>
      <c r="R41" s="91"/>
      <c r="S41" s="91">
        <v>1</v>
      </c>
      <c r="T41" s="91">
        <f>VLOOKUP(B41,[3]二季度变更任务!A:B,2,FALSE)</f>
        <v>1</v>
      </c>
      <c r="U41" s="91">
        <f>VLOOKUP(B41,[3]三季度变更任务!A:B,2,FALSE)</f>
        <v>3</v>
      </c>
      <c r="V41" s="91"/>
      <c r="W41" s="91" t="s">
        <v>515</v>
      </c>
      <c r="X41" s="120" t="s">
        <v>604</v>
      </c>
      <c r="Y41" s="94" t="s">
        <v>605</v>
      </c>
      <c r="Z41" s="129">
        <v>0.7</v>
      </c>
      <c r="AA41" s="94" t="s">
        <v>606</v>
      </c>
      <c r="AB41" s="129">
        <v>0.3</v>
      </c>
      <c r="AC41" s="94" t="s">
        <v>607</v>
      </c>
      <c r="AD41" s="94" t="s">
        <v>106</v>
      </c>
      <c r="AE41" s="130" t="s">
        <v>510</v>
      </c>
      <c r="AF41" s="7" t="s">
        <v>263</v>
      </c>
    </row>
    <row r="42" ht="43.2" hidden="1" spans="1:32">
      <c r="A42" s="88">
        <v>40</v>
      </c>
      <c r="B42" s="102" t="s">
        <v>354</v>
      </c>
      <c r="C42" s="97" t="s">
        <v>98</v>
      </c>
      <c r="D42" s="98" t="s">
        <v>107</v>
      </c>
      <c r="E42" s="92" t="s">
        <v>68</v>
      </c>
      <c r="F42" s="99">
        <v>2</v>
      </c>
      <c r="G42" s="92" t="s">
        <v>69</v>
      </c>
      <c r="H42" s="100" t="s">
        <v>355</v>
      </c>
      <c r="I42" s="114" t="s">
        <v>527</v>
      </c>
      <c r="J42" s="112">
        <f>VLOOKUP(B42,[3]加班情况分析!D:G,4,FALSE)</f>
        <v>0.926403256714272</v>
      </c>
      <c r="K42" s="112" t="b">
        <f>VLOOKUP(B42,[3]加班情况分析!D:H,5,FALSE)</f>
        <v>0</v>
      </c>
      <c r="L42" s="113">
        <f>VLOOKUP(B42,[3]加班情况分析!D:L,6,FALSE)</f>
        <v>41</v>
      </c>
      <c r="M42" s="113">
        <f>VLOOKUP($B42,[3]加班情况分析!$D:$L,7,FALSE)</f>
        <v>15</v>
      </c>
      <c r="N42" s="113">
        <f>VLOOKUP($B42,[3]加班情况分析!$D:$L,8,FALSE)</f>
        <v>1</v>
      </c>
      <c r="O42" s="91">
        <f>VLOOKUP(B42,[3]加班情况分析!D:L,9,FALSE)</f>
        <v>1</v>
      </c>
      <c r="P42" s="91"/>
      <c r="Q42" s="91"/>
      <c r="R42" s="91"/>
      <c r="S42" s="91">
        <v>2</v>
      </c>
      <c r="T42" s="91"/>
      <c r="U42" s="91"/>
      <c r="V42" s="91"/>
      <c r="W42" s="91" t="s">
        <v>515</v>
      </c>
      <c r="X42" s="120" t="s">
        <v>608</v>
      </c>
      <c r="Y42" s="94" t="s">
        <v>609</v>
      </c>
      <c r="Z42" s="129">
        <v>0.7</v>
      </c>
      <c r="AA42" s="94" t="s">
        <v>610</v>
      </c>
      <c r="AB42" s="129">
        <v>0.3</v>
      </c>
      <c r="AC42" s="94"/>
      <c r="AD42" s="94" t="s">
        <v>244</v>
      </c>
      <c r="AE42" s="130" t="s">
        <v>510</v>
      </c>
      <c r="AF42" s="7" t="s">
        <v>263</v>
      </c>
    </row>
    <row r="43" ht="43.2" hidden="1" spans="1:32">
      <c r="A43" s="88">
        <v>41</v>
      </c>
      <c r="B43" s="98" t="s">
        <v>356</v>
      </c>
      <c r="C43" s="97" t="s">
        <v>98</v>
      </c>
      <c r="D43" s="98" t="s">
        <v>107</v>
      </c>
      <c r="E43" s="92" t="s">
        <v>68</v>
      </c>
      <c r="F43" s="99">
        <v>1</v>
      </c>
      <c r="G43" s="92" t="s">
        <v>69</v>
      </c>
      <c r="H43" s="100" t="s">
        <v>357</v>
      </c>
      <c r="I43" s="114" t="s">
        <v>527</v>
      </c>
      <c r="J43" s="112">
        <f>VLOOKUP(B43,[3]加班情况分析!D:G,4,FALSE)</f>
        <v>1.20197685183666</v>
      </c>
      <c r="K43" s="112" t="b">
        <f>VLOOKUP(B43,[3]加班情况分析!D:H,5,FALSE)</f>
        <v>0</v>
      </c>
      <c r="L43" s="113">
        <f>VLOOKUP(B43,[3]加班情况分析!D:L,6,FALSE)</f>
        <v>35</v>
      </c>
      <c r="M43" s="113">
        <f>VLOOKUP($B43,[3]加班情况分析!$D:$L,7,FALSE)</f>
        <v>18</v>
      </c>
      <c r="N43" s="113">
        <f>VLOOKUP($B43,[3]加班情况分析!$D:$L,8,FALSE)</f>
        <v>6</v>
      </c>
      <c r="O43" s="91">
        <f>VLOOKUP(B43,[3]加班情况分析!D:L,9,FALSE)</f>
        <v>1</v>
      </c>
      <c r="P43" s="91"/>
      <c r="Q43" s="91"/>
      <c r="R43" s="91"/>
      <c r="S43" s="91">
        <v>2</v>
      </c>
      <c r="T43" s="91"/>
      <c r="U43" s="91">
        <f>VLOOKUP(B43,[3]三季度变更任务!A:B,2,FALSE)</f>
        <v>1</v>
      </c>
      <c r="V43" s="91"/>
      <c r="W43" s="91" t="s">
        <v>263</v>
      </c>
      <c r="X43" s="120" t="s">
        <v>611</v>
      </c>
      <c r="Y43" s="94" t="s">
        <v>612</v>
      </c>
      <c r="Z43" s="129">
        <v>0.7</v>
      </c>
      <c r="AA43" s="94" t="s">
        <v>613</v>
      </c>
      <c r="AB43" s="129">
        <v>0.3</v>
      </c>
      <c r="AC43" s="94" t="s">
        <v>614</v>
      </c>
      <c r="AD43" s="94" t="s">
        <v>354</v>
      </c>
      <c r="AE43" s="130" t="s">
        <v>510</v>
      </c>
      <c r="AF43" s="7" t="s">
        <v>263</v>
      </c>
    </row>
    <row r="44" ht="43.2" spans="1:32">
      <c r="A44" s="88">
        <v>42</v>
      </c>
      <c r="B44" s="98" t="s">
        <v>358</v>
      </c>
      <c r="C44" s="97" t="s">
        <v>98</v>
      </c>
      <c r="D44" s="98" t="s">
        <v>121</v>
      </c>
      <c r="E44" s="92" t="s">
        <v>56</v>
      </c>
      <c r="F44" s="99">
        <v>5</v>
      </c>
      <c r="G44" s="92" t="s">
        <v>69</v>
      </c>
      <c r="H44" s="100" t="s">
        <v>359</v>
      </c>
      <c r="I44" s="114" t="s">
        <v>527</v>
      </c>
      <c r="J44" s="112">
        <f>VLOOKUP(B44,[3]加班情况分析!D:G,4,FALSE)</f>
        <v>2.44872863246509</v>
      </c>
      <c r="K44" s="112" t="b">
        <f>VLOOKUP(B44,[3]加班情况分析!D:H,5,FALSE)</f>
        <v>1</v>
      </c>
      <c r="L44" s="113">
        <f>VLOOKUP(B44,[3]加班情况分析!D:L,6,FALSE)</f>
        <v>6</v>
      </c>
      <c r="M44" s="113">
        <f>VLOOKUP($B44,[3]加班情况分析!$D:$L,7,FALSE)</f>
        <v>17</v>
      </c>
      <c r="N44" s="113">
        <f>VLOOKUP($B44,[3]加班情况分析!$D:$L,8,FALSE)</f>
        <v>20</v>
      </c>
      <c r="O44" s="91">
        <f>VLOOKUP(B44,[3]加班情况分析!D:L,9,FALSE)</f>
        <v>9</v>
      </c>
      <c r="P44" s="91"/>
      <c r="Q44" s="91">
        <f>VLOOKUP(B44,'[3]牵头需求（当前进行中）'!A:B,2,FALSE)</f>
        <v>2</v>
      </c>
      <c r="R44" s="91">
        <f>VLOOKUP(B44,[3]主管应用系统数量!I:J,2,FALSE)</f>
        <v>3</v>
      </c>
      <c r="S44" s="91">
        <v>3</v>
      </c>
      <c r="T44" s="91">
        <f>VLOOKUP(B44,[3]二季度变更任务!A:B,2,FALSE)</f>
        <v>8</v>
      </c>
      <c r="U44" s="91">
        <f>VLOOKUP(B44,[3]三季度变更任务!A:B,2,FALSE)</f>
        <v>14</v>
      </c>
      <c r="V44" s="91">
        <f>VLOOKUP(B44,[3]责任事件及缺陷!A:B,2,FALSE)</f>
        <v>1</v>
      </c>
      <c r="W44" s="91" t="s">
        <v>502</v>
      </c>
      <c r="X44" s="120" t="s">
        <v>615</v>
      </c>
      <c r="Y44" s="131" t="s">
        <v>616</v>
      </c>
      <c r="Z44" s="129">
        <v>0.9</v>
      </c>
      <c r="AA44" s="94" t="s">
        <v>617</v>
      </c>
      <c r="AB44" s="129">
        <v>0.1</v>
      </c>
      <c r="AC44" s="94"/>
      <c r="AD44" s="94" t="s">
        <v>583</v>
      </c>
      <c r="AE44" s="130" t="s">
        <v>506</v>
      </c>
      <c r="AF44" s="7" t="s">
        <v>502</v>
      </c>
    </row>
    <row r="45" ht="24" spans="1:32">
      <c r="A45" s="88">
        <v>43</v>
      </c>
      <c r="B45" s="98" t="s">
        <v>361</v>
      </c>
      <c r="C45" s="97" t="s">
        <v>98</v>
      </c>
      <c r="D45" s="98" t="s">
        <v>121</v>
      </c>
      <c r="E45" s="92" t="s">
        <v>68</v>
      </c>
      <c r="F45" s="99">
        <v>2</v>
      </c>
      <c r="G45" s="92" t="s">
        <v>69</v>
      </c>
      <c r="H45" s="100" t="s">
        <v>210</v>
      </c>
      <c r="I45" s="114" t="s">
        <v>527</v>
      </c>
      <c r="J45" s="112">
        <f>VLOOKUP(B45,[3]加班情况分析!D:G,4,FALSE)</f>
        <v>2.6151435185282</v>
      </c>
      <c r="K45" s="112" t="b">
        <f>VLOOKUP(B45,[3]加班情况分析!D:H,5,FALSE)</f>
        <v>1</v>
      </c>
      <c r="L45" s="113">
        <f>VLOOKUP(B45,[3]加班情况分析!D:L,6,FALSE)</f>
        <v>21</v>
      </c>
      <c r="M45" s="113">
        <f>VLOOKUP($B45,[3]加班情况分析!$D:$L,7,FALSE)</f>
        <v>13</v>
      </c>
      <c r="N45" s="113">
        <f>VLOOKUP($B45,[3]加班情况分析!$D:$L,8,FALSE)</f>
        <v>4</v>
      </c>
      <c r="O45" s="91">
        <f>VLOOKUP(B45,[3]加班情况分析!D:L,9,FALSE)</f>
        <v>22</v>
      </c>
      <c r="P45" s="91"/>
      <c r="Q45" s="91">
        <f>VLOOKUP(B45,'[3]牵头需求（当前进行中）'!A:B,2,FALSE)</f>
        <v>1</v>
      </c>
      <c r="R45" s="91"/>
      <c r="S45" s="91">
        <v>1</v>
      </c>
      <c r="T45" s="91">
        <f>VLOOKUP(B45,[3]二季度变更任务!A:B,2,FALSE)</f>
        <v>12</v>
      </c>
      <c r="U45" s="91">
        <f>VLOOKUP(B45,[3]三季度变更任务!A:B,2,FALSE)</f>
        <v>19</v>
      </c>
      <c r="V45" s="91"/>
      <c r="W45" s="91" t="s">
        <v>502</v>
      </c>
      <c r="X45" s="120" t="s">
        <v>618</v>
      </c>
      <c r="Y45" s="131" t="s">
        <v>618</v>
      </c>
      <c r="Z45" s="129">
        <v>0.9</v>
      </c>
      <c r="AA45" s="94" t="s">
        <v>619</v>
      </c>
      <c r="AB45" s="129">
        <v>0.1</v>
      </c>
      <c r="AC45" s="94"/>
      <c r="AD45" s="94" t="s">
        <v>120</v>
      </c>
      <c r="AE45" s="130" t="s">
        <v>510</v>
      </c>
      <c r="AF45" s="7" t="s">
        <v>263</v>
      </c>
    </row>
    <row r="46" ht="28.8" spans="1:32">
      <c r="A46" s="88">
        <v>44</v>
      </c>
      <c r="B46" s="96" t="s">
        <v>363</v>
      </c>
      <c r="C46" s="97" t="s">
        <v>98</v>
      </c>
      <c r="D46" s="98" t="s">
        <v>121</v>
      </c>
      <c r="E46" s="92" t="s">
        <v>56</v>
      </c>
      <c r="F46" s="99">
        <v>2</v>
      </c>
      <c r="G46" s="92" t="s">
        <v>69</v>
      </c>
      <c r="H46" s="100" t="s">
        <v>246</v>
      </c>
      <c r="I46" s="114" t="s">
        <v>527</v>
      </c>
      <c r="J46" s="112">
        <f>VLOOKUP(B46,[3]加班情况分析!D:G,4,FALSE)</f>
        <v>3.7372903563862</v>
      </c>
      <c r="K46" s="112" t="b">
        <f>VLOOKUP(B46,[3]加班情况分析!D:H,5,FALSE)</f>
        <v>1</v>
      </c>
      <c r="L46" s="113">
        <f>VLOOKUP(B46,[3]加班情况分析!D:L,6,FALSE)</f>
        <v>5</v>
      </c>
      <c r="M46" s="113">
        <f>VLOOKUP($B46,[3]加班情况分析!$D:$L,7,FALSE)</f>
        <v>11</v>
      </c>
      <c r="N46" s="113">
        <f>VLOOKUP($B46,[3]加班情况分析!$D:$L,8,FALSE)</f>
        <v>12</v>
      </c>
      <c r="O46" s="91">
        <f>VLOOKUP(B46,[3]加班情况分析!D:L,9,FALSE)</f>
        <v>25</v>
      </c>
      <c r="P46" s="91">
        <f>VLOOKUP(B46,'[3]牵头项目（当前进行中）'!A:B,2,FALSE)</f>
        <v>1</v>
      </c>
      <c r="Q46" s="91">
        <f>VLOOKUP(B46,'[3]牵头需求（当前进行中）'!A:B,2,FALSE)</f>
        <v>3</v>
      </c>
      <c r="R46" s="91">
        <f>VLOOKUP(B46,[3]主管应用系统数量!I:J,2,FALSE)</f>
        <v>2</v>
      </c>
      <c r="S46" s="91">
        <v>1</v>
      </c>
      <c r="T46" s="91">
        <f>VLOOKUP(B46,[3]二季度变更任务!A:B,2,FALSE)</f>
        <v>21</v>
      </c>
      <c r="U46" s="91">
        <f>VLOOKUP(B46,[3]三季度变更任务!A:B,2,FALSE)</f>
        <v>27</v>
      </c>
      <c r="V46" s="91"/>
      <c r="W46" s="91" t="s">
        <v>502</v>
      </c>
      <c r="X46" s="120" t="s">
        <v>620</v>
      </c>
      <c r="Y46" s="131" t="s">
        <v>621</v>
      </c>
      <c r="Z46" s="129">
        <v>1</v>
      </c>
      <c r="AA46" s="94"/>
      <c r="AB46" s="94"/>
      <c r="AC46" s="94"/>
      <c r="AD46" s="94" t="s">
        <v>372</v>
      </c>
      <c r="AE46" s="130" t="s">
        <v>510</v>
      </c>
      <c r="AF46" s="7" t="s">
        <v>263</v>
      </c>
    </row>
    <row r="47" spans="1:32">
      <c r="A47" s="88">
        <v>45</v>
      </c>
      <c r="B47" s="98" t="s">
        <v>364</v>
      </c>
      <c r="C47" s="97" t="s">
        <v>98</v>
      </c>
      <c r="D47" s="98" t="s">
        <v>121</v>
      </c>
      <c r="E47" s="92" t="s">
        <v>56</v>
      </c>
      <c r="F47" s="99">
        <v>0</v>
      </c>
      <c r="G47" s="92" t="s">
        <v>69</v>
      </c>
      <c r="H47" s="100" t="s">
        <v>365</v>
      </c>
      <c r="I47" s="114" t="s">
        <v>527</v>
      </c>
      <c r="J47" s="112">
        <f>VLOOKUP(B47,[3]加班情况分析!D:G,4,FALSE)</f>
        <v>2.33637962963549</v>
      </c>
      <c r="K47" s="112" t="b">
        <f>VLOOKUP(B47,[3]加班情况分析!D:H,5,FALSE)</f>
        <v>1</v>
      </c>
      <c r="L47" s="113">
        <f>VLOOKUP(B47,[3]加班情况分析!D:L,6,FALSE)</f>
        <v>23</v>
      </c>
      <c r="M47" s="113">
        <f>VLOOKUP($B47,[3]加班情况分析!$D:$L,7,FALSE)</f>
        <v>12</v>
      </c>
      <c r="N47" s="113">
        <f>VLOOKUP($B47,[3]加班情况分析!$D:$L,8,FALSE)</f>
        <v>8</v>
      </c>
      <c r="O47" s="91">
        <f>VLOOKUP(B47,[3]加班情况分析!D:L,9,FALSE)</f>
        <v>17</v>
      </c>
      <c r="P47" s="91"/>
      <c r="Q47" s="91">
        <f>VLOOKUP(B47,'[3]牵头需求（当前进行中）'!A:B,2,FALSE)</f>
        <v>1</v>
      </c>
      <c r="R47" s="91"/>
      <c r="S47" s="91">
        <v>1</v>
      </c>
      <c r="T47" s="91">
        <f>VLOOKUP(B47,[3]二季度变更任务!A:B,2,FALSE)</f>
        <v>23</v>
      </c>
      <c r="U47" s="91">
        <f>VLOOKUP(B47,[3]三季度变更任务!A:B,2,FALSE)</f>
        <v>36</v>
      </c>
      <c r="V47" s="91">
        <f>VLOOKUP(B47,[3]责任事件及缺陷!A:B,2,FALSE)</f>
        <v>2</v>
      </c>
      <c r="W47" s="91" t="s">
        <v>502</v>
      </c>
      <c r="X47" s="120" t="s">
        <v>622</v>
      </c>
      <c r="Y47" s="131" t="s">
        <v>623</v>
      </c>
      <c r="Z47" s="129">
        <v>0.9</v>
      </c>
      <c r="AA47" s="94" t="s">
        <v>618</v>
      </c>
      <c r="AB47" s="129">
        <v>0.1</v>
      </c>
      <c r="AC47" s="94"/>
      <c r="AD47" s="94" t="s">
        <v>624</v>
      </c>
      <c r="AE47" s="130" t="s">
        <v>510</v>
      </c>
      <c r="AF47" s="7" t="s">
        <v>263</v>
      </c>
    </row>
    <row r="48" ht="28.8" hidden="1" spans="1:32">
      <c r="A48" s="88">
        <v>46</v>
      </c>
      <c r="B48" s="98" t="s">
        <v>366</v>
      </c>
      <c r="C48" s="97" t="s">
        <v>98</v>
      </c>
      <c r="D48" s="98" t="s">
        <v>121</v>
      </c>
      <c r="E48" s="92" t="s">
        <v>56</v>
      </c>
      <c r="F48" s="99">
        <v>12</v>
      </c>
      <c r="G48" s="92" t="s">
        <v>69</v>
      </c>
      <c r="H48" s="100" t="s">
        <v>367</v>
      </c>
      <c r="I48" s="114" t="s">
        <v>527</v>
      </c>
      <c r="J48" s="112">
        <f>VLOOKUP(B48,[3]加班情况分析!D:G,4,FALSE)</f>
        <v>2.82527263374909</v>
      </c>
      <c r="K48" s="112" t="b">
        <f>VLOOKUP(B48,[3]加班情况分析!D:H,5,FALSE)</f>
        <v>1</v>
      </c>
      <c r="L48" s="113">
        <f>VLOOKUP(B48,[3]加班情况分析!D:L,6,FALSE)</f>
        <v>1</v>
      </c>
      <c r="M48" s="113">
        <f>VLOOKUP($B48,[3]加班情况分析!$D:$L,7,FALSE)</f>
        <v>6</v>
      </c>
      <c r="N48" s="113">
        <f>VLOOKUP($B48,[3]加班情况分析!$D:$L,8,FALSE)</f>
        <v>42</v>
      </c>
      <c r="O48" s="91">
        <f>VLOOKUP(B48,[3]加班情况分析!D:L,9,FALSE)</f>
        <v>5</v>
      </c>
      <c r="P48" s="91"/>
      <c r="Q48" s="91"/>
      <c r="R48" s="91">
        <f>VLOOKUP(B48,[3]主管应用系统数量!I:J,2,FALSE)</f>
        <v>1</v>
      </c>
      <c r="S48" s="91">
        <v>3</v>
      </c>
      <c r="T48" s="91">
        <f>VLOOKUP(B48,[3]二季度变更任务!A:B,2,FALSE)</f>
        <v>1</v>
      </c>
      <c r="U48" s="91">
        <f>VLOOKUP(B48,[3]三季度变更任务!A:B,2,FALSE)</f>
        <v>2</v>
      </c>
      <c r="V48" s="91"/>
      <c r="W48" s="91" t="s">
        <v>263</v>
      </c>
      <c r="X48" s="120" t="s">
        <v>625</v>
      </c>
      <c r="Y48" s="94" t="s">
        <v>626</v>
      </c>
      <c r="Z48" s="129">
        <v>0.8</v>
      </c>
      <c r="AA48" s="94" t="s">
        <v>627</v>
      </c>
      <c r="AB48" s="129">
        <v>0.2</v>
      </c>
      <c r="AC48" s="94"/>
      <c r="AD48" s="94" t="s">
        <v>120</v>
      </c>
      <c r="AE48" s="130" t="s">
        <v>510</v>
      </c>
      <c r="AF48" s="7" t="s">
        <v>263</v>
      </c>
    </row>
    <row r="49" ht="28.8" hidden="1" spans="1:32">
      <c r="A49" s="88">
        <v>47</v>
      </c>
      <c r="B49" s="103" t="s">
        <v>368</v>
      </c>
      <c r="C49" s="97" t="s">
        <v>98</v>
      </c>
      <c r="D49" s="98" t="s">
        <v>369</v>
      </c>
      <c r="E49" s="92" t="s">
        <v>56</v>
      </c>
      <c r="F49" s="99">
        <v>17</v>
      </c>
      <c r="G49" s="92" t="s">
        <v>69</v>
      </c>
      <c r="H49" s="100" t="s">
        <v>329</v>
      </c>
      <c r="I49" s="114" t="s">
        <v>527</v>
      </c>
      <c r="J49" s="112">
        <f>VLOOKUP(B49,[3]加班情况分析!D:G,4,FALSE)</f>
        <v>1.83442424243972</v>
      </c>
      <c r="K49" s="112" t="b">
        <f>VLOOKUP(B49,[3]加班情况分析!D:H,5,FALSE)</f>
        <v>0</v>
      </c>
      <c r="L49" s="113">
        <f>VLOOKUP(B49,[3]加班情况分析!D:L,6,FALSE)</f>
        <v>12</v>
      </c>
      <c r="M49" s="113">
        <f>VLOOKUP($B49,[3]加班情况分析!$D:$L,7,FALSE)</f>
        <v>25</v>
      </c>
      <c r="N49" s="113">
        <f>VLOOKUP($B49,[3]加班情况分析!$D:$L,8,FALSE)</f>
        <v>17</v>
      </c>
      <c r="O49" s="91">
        <f>VLOOKUP(B49,[3]加班情况分析!D:L,9,FALSE)</f>
        <v>1</v>
      </c>
      <c r="P49" s="91"/>
      <c r="Q49" s="91"/>
      <c r="R49" s="91"/>
      <c r="S49" s="91">
        <v>0</v>
      </c>
      <c r="T49" s="91"/>
      <c r="U49" s="91"/>
      <c r="V49" s="91"/>
      <c r="W49" s="91"/>
      <c r="X49" s="120" t="s">
        <v>628</v>
      </c>
      <c r="Y49" s="94" t="s">
        <v>629</v>
      </c>
      <c r="Z49" s="129">
        <v>1</v>
      </c>
      <c r="AA49" s="78"/>
      <c r="AB49" s="94"/>
      <c r="AC49" s="94"/>
      <c r="AD49" s="78" t="s">
        <v>348</v>
      </c>
      <c r="AE49" s="130" t="s">
        <v>510</v>
      </c>
      <c r="AF49" s="7" t="s">
        <v>502</v>
      </c>
    </row>
    <row r="50" ht="24" hidden="1" spans="1:32">
      <c r="A50" s="88">
        <v>48</v>
      </c>
      <c r="B50" s="98" t="s">
        <v>370</v>
      </c>
      <c r="C50" s="97" t="s">
        <v>98</v>
      </c>
      <c r="D50" s="98" t="s">
        <v>93</v>
      </c>
      <c r="E50" s="92" t="s">
        <v>56</v>
      </c>
      <c r="F50" s="99">
        <v>3</v>
      </c>
      <c r="G50" s="92" t="s">
        <v>69</v>
      </c>
      <c r="H50" s="100" t="s">
        <v>81</v>
      </c>
      <c r="I50" s="114" t="s">
        <v>527</v>
      </c>
      <c r="J50" s="112">
        <f>VLOOKUP(B50,[3]加班情况分析!D:G,4,FALSE)</f>
        <v>1.48300213674464</v>
      </c>
      <c r="K50" s="112" t="b">
        <f>VLOOKUP(B50,[3]加班情况分析!D:H,5,FALSE)</f>
        <v>0</v>
      </c>
      <c r="L50" s="113">
        <f>VLOOKUP(B50,[3]加班情况分析!D:L,6,FALSE)</f>
        <v>24</v>
      </c>
      <c r="M50" s="113">
        <f>VLOOKUP($B50,[3]加班情况分析!$D:$L,7,FALSE)</f>
        <v>20</v>
      </c>
      <c r="N50" s="113">
        <f>VLOOKUP($B50,[3]加班情况分析!$D:$L,8,FALSE)</f>
        <v>4</v>
      </c>
      <c r="O50" s="91">
        <f>VLOOKUP(B50,[3]加班情况分析!D:L,9,FALSE)</f>
        <v>4</v>
      </c>
      <c r="P50" s="91">
        <f>VLOOKUP(B50,'[3]牵头项目（当前进行中）'!A:B,2,FALSE)</f>
        <v>2</v>
      </c>
      <c r="Q50" s="91">
        <f>VLOOKUP(B50,'[3]牵头需求（当前进行中）'!A:B,2,FALSE)</f>
        <v>4</v>
      </c>
      <c r="R50" s="91">
        <f>VLOOKUP(B50,[3]主管应用系统数量!I:J,2,FALSE)</f>
        <v>2</v>
      </c>
      <c r="S50" s="91">
        <v>2</v>
      </c>
      <c r="T50" s="91">
        <f>VLOOKUP(B50,[3]二季度变更任务!A:B,2,FALSE)</f>
        <v>9</v>
      </c>
      <c r="U50" s="91">
        <f>VLOOKUP(B50,[3]三季度变更任务!A:B,2,FALSE)</f>
        <v>13</v>
      </c>
      <c r="V50" s="91"/>
      <c r="W50" s="91" t="s">
        <v>263</v>
      </c>
      <c r="X50" s="120" t="s">
        <v>630</v>
      </c>
      <c r="Y50" s="94" t="s">
        <v>631</v>
      </c>
      <c r="Z50" s="129">
        <v>0.5</v>
      </c>
      <c r="AA50" s="94" t="s">
        <v>632</v>
      </c>
      <c r="AB50" s="129">
        <v>0.5</v>
      </c>
      <c r="AC50" s="94"/>
      <c r="AD50" s="94" t="s">
        <v>125</v>
      </c>
      <c r="AE50" s="130" t="s">
        <v>510</v>
      </c>
      <c r="AF50" s="7" t="s">
        <v>263</v>
      </c>
    </row>
    <row r="51" ht="28.8" spans="1:32">
      <c r="A51" s="88">
        <v>49</v>
      </c>
      <c r="B51" s="98" t="s">
        <v>371</v>
      </c>
      <c r="C51" s="97" t="s">
        <v>98</v>
      </c>
      <c r="D51" s="98" t="s">
        <v>93</v>
      </c>
      <c r="E51" s="92" t="s">
        <v>56</v>
      </c>
      <c r="F51" s="99">
        <v>1</v>
      </c>
      <c r="G51" s="92" t="s">
        <v>69</v>
      </c>
      <c r="H51" s="100" t="s">
        <v>81</v>
      </c>
      <c r="I51" s="114" t="s">
        <v>527</v>
      </c>
      <c r="J51" s="112">
        <f>VLOOKUP(B51,[3]加班情况分析!D:G,4,FALSE)</f>
        <v>2.27771657248821</v>
      </c>
      <c r="K51" s="112" t="b">
        <f>VLOOKUP(B51,[3]加班情况分析!D:H,5,FALSE)</f>
        <v>1</v>
      </c>
      <c r="L51" s="113">
        <f>VLOOKUP(B51,[3]加班情况分析!D:L,6,FALSE)</f>
        <v>12</v>
      </c>
      <c r="M51" s="113">
        <f>VLOOKUP($B51,[3]加班情况分析!$D:$L,7,FALSE)</f>
        <v>22</v>
      </c>
      <c r="N51" s="113">
        <f>VLOOKUP($B51,[3]加班情况分析!$D:$L,8,FALSE)</f>
        <v>12</v>
      </c>
      <c r="O51" s="91">
        <f>VLOOKUP(B51,[3]加班情况分析!D:L,9,FALSE)</f>
        <v>13</v>
      </c>
      <c r="P51" s="91">
        <f>VLOOKUP(B51,'[3]牵头项目（当前进行中）'!A:B,2,FALSE)</f>
        <v>1</v>
      </c>
      <c r="Q51" s="91">
        <f>VLOOKUP(B51,'[3]牵头需求（当前进行中）'!A:B,2,FALSE)</f>
        <v>3</v>
      </c>
      <c r="R51" s="91">
        <f>VLOOKUP(B51,[3]主管应用系统数量!I:J,2,FALSE)</f>
        <v>3</v>
      </c>
      <c r="S51" s="91">
        <v>3</v>
      </c>
      <c r="T51" s="91">
        <f>VLOOKUP(B51,[3]二季度变更任务!A:B,2,FALSE)</f>
        <v>5</v>
      </c>
      <c r="U51" s="91">
        <f>VLOOKUP(B51,[3]三季度变更任务!A:B,2,FALSE)</f>
        <v>5</v>
      </c>
      <c r="V51" s="91"/>
      <c r="W51" s="91" t="s">
        <v>502</v>
      </c>
      <c r="X51" s="120" t="s">
        <v>633</v>
      </c>
      <c r="Y51" s="131" t="s">
        <v>634</v>
      </c>
      <c r="Z51" s="129">
        <v>0.5</v>
      </c>
      <c r="AA51" s="94" t="s">
        <v>635</v>
      </c>
      <c r="AB51" s="94"/>
      <c r="AC51" s="94"/>
      <c r="AE51" s="130" t="s">
        <v>510</v>
      </c>
      <c r="AF51" s="7" t="s">
        <v>502</v>
      </c>
    </row>
    <row r="52" ht="28.8" spans="1:32">
      <c r="A52" s="88">
        <v>50</v>
      </c>
      <c r="B52" s="96" t="s">
        <v>372</v>
      </c>
      <c r="C52" s="97" t="s">
        <v>98</v>
      </c>
      <c r="D52" s="98" t="s">
        <v>93</v>
      </c>
      <c r="E52" s="92" t="s">
        <v>68</v>
      </c>
      <c r="F52" s="99">
        <v>4</v>
      </c>
      <c r="G52" s="92" t="s">
        <v>69</v>
      </c>
      <c r="H52" s="100" t="s">
        <v>335</v>
      </c>
      <c r="I52" s="114" t="s">
        <v>527</v>
      </c>
      <c r="J52" s="112">
        <f>VLOOKUP(B52,[3]加班情况分析!D:G,4,FALSE)</f>
        <v>3.45441919193307</v>
      </c>
      <c r="K52" s="112" t="b">
        <f>VLOOKUP(B52,[3]加班情况分析!D:H,5,FALSE)</f>
        <v>1</v>
      </c>
      <c r="L52" s="113">
        <f>VLOOKUP(B52,[3]加班情况分析!D:L,6,FALSE)</f>
        <v>15</v>
      </c>
      <c r="M52" s="113">
        <f>VLOOKUP($B52,[3]加班情况分析!$D:$L,7,FALSE)</f>
        <v>9</v>
      </c>
      <c r="N52" s="113">
        <f>VLOOKUP($B52,[3]加班情况分析!$D:$L,8,FALSE)</f>
        <v>4</v>
      </c>
      <c r="O52" s="91">
        <f>VLOOKUP(B52,[3]加班情况分析!D:L,9,FALSE)</f>
        <v>27</v>
      </c>
      <c r="P52" s="91"/>
      <c r="Q52" s="91">
        <f>VLOOKUP(B52,'[3]牵头需求（当前进行中）'!A:B,2,FALSE)</f>
        <v>1</v>
      </c>
      <c r="R52" s="91">
        <f>VLOOKUP(B52,[3]主管应用系统数量!I:J,2,FALSE)</f>
        <v>2</v>
      </c>
      <c r="S52" s="91">
        <v>1</v>
      </c>
      <c r="T52" s="91">
        <f>VLOOKUP(B52,[3]二季度变更任务!A:B,2,FALSE)</f>
        <v>15</v>
      </c>
      <c r="U52" s="91">
        <f>VLOOKUP(B52,[3]三季度变更任务!A:B,2,FALSE)</f>
        <v>19</v>
      </c>
      <c r="V52" s="91">
        <f>VLOOKUP(B52,[3]责任事件及缺陷!A:B,2,FALSE)</f>
        <v>3</v>
      </c>
      <c r="W52" s="91" t="s">
        <v>502</v>
      </c>
      <c r="X52" s="120" t="s">
        <v>636</v>
      </c>
      <c r="Y52" s="131" t="s">
        <v>637</v>
      </c>
      <c r="Z52" s="129">
        <v>1</v>
      </c>
      <c r="AA52" s="94"/>
      <c r="AB52" s="94"/>
      <c r="AC52" s="94"/>
      <c r="AD52" s="94" t="s">
        <v>363</v>
      </c>
      <c r="AE52" s="130" t="s">
        <v>510</v>
      </c>
      <c r="AF52" s="7" t="s">
        <v>263</v>
      </c>
    </row>
    <row r="53" ht="43.2" hidden="1" spans="1:32">
      <c r="A53" s="88">
        <v>51</v>
      </c>
      <c r="B53" s="104" t="s">
        <v>373</v>
      </c>
      <c r="C53" s="97" t="s">
        <v>98</v>
      </c>
      <c r="D53" s="98" t="s">
        <v>93</v>
      </c>
      <c r="E53" s="92" t="s">
        <v>68</v>
      </c>
      <c r="F53" s="99">
        <v>8</v>
      </c>
      <c r="G53" s="92" t="s">
        <v>69</v>
      </c>
      <c r="H53" s="100" t="s">
        <v>374</v>
      </c>
      <c r="I53" s="114" t="s">
        <v>527</v>
      </c>
      <c r="J53" s="112">
        <f>VLOOKUP(B53,[3]加班情况分析!D:G,4,FALSE)</f>
        <v>0.841746913584777</v>
      </c>
      <c r="K53" s="112" t="b">
        <f>VLOOKUP(B53,[3]加班情况分析!D:H,5,FALSE)</f>
        <v>0</v>
      </c>
      <c r="L53" s="113">
        <f>VLOOKUP(B53,[3]加班情况分析!D:L,6,FALSE)</f>
        <v>41</v>
      </c>
      <c r="M53" s="113">
        <f>VLOOKUP($B53,[3]加班情况分析!$D:$L,7,FALSE)</f>
        <v>1</v>
      </c>
      <c r="N53" s="113">
        <f>VLOOKUP($B53,[3]加班情况分析!$D:$L,8,FALSE)</f>
        <v>1</v>
      </c>
      <c r="O53" s="91">
        <f>VLOOKUP(B53,[3]加班情况分析!D:L,9,FALSE)</f>
        <v>2</v>
      </c>
      <c r="P53" s="91">
        <f>VLOOKUP(B53,'[3]牵头项目（当前进行中）'!A:B,2,FALSE)</f>
        <v>1</v>
      </c>
      <c r="Q53" s="91">
        <f>VLOOKUP(B53,'[3]牵头需求（当前进行中）'!A:B,2,FALSE)</f>
        <v>2</v>
      </c>
      <c r="R53" s="91">
        <f>VLOOKUP(B53,[3]主管应用系统数量!I:J,2,FALSE)</f>
        <v>1</v>
      </c>
      <c r="S53" s="91">
        <v>2</v>
      </c>
      <c r="T53" s="91">
        <f>VLOOKUP(B53,[3]二季度变更任务!A:B,2,FALSE)</f>
        <v>3</v>
      </c>
      <c r="U53" s="91">
        <f>VLOOKUP(B53,[3]三季度变更任务!A:B,2,FALSE)</f>
        <v>2</v>
      </c>
      <c r="V53" s="91"/>
      <c r="W53" s="91" t="s">
        <v>515</v>
      </c>
      <c r="X53" s="120" t="s">
        <v>638</v>
      </c>
      <c r="Y53" s="94" t="s">
        <v>638</v>
      </c>
      <c r="Z53" s="129">
        <v>1</v>
      </c>
      <c r="AA53" s="94"/>
      <c r="AB53" s="94"/>
      <c r="AC53" s="94"/>
      <c r="AD53" s="94"/>
      <c r="AE53" s="130" t="s">
        <v>510</v>
      </c>
      <c r="AF53" s="7" t="s">
        <v>263</v>
      </c>
    </row>
    <row r="54" ht="24" hidden="1" spans="1:32">
      <c r="A54" s="88">
        <v>52</v>
      </c>
      <c r="B54" s="98" t="s">
        <v>375</v>
      </c>
      <c r="C54" s="97" t="s">
        <v>98</v>
      </c>
      <c r="D54" s="98" t="s">
        <v>93</v>
      </c>
      <c r="E54" s="92" t="s">
        <v>68</v>
      </c>
      <c r="F54" s="99">
        <v>0</v>
      </c>
      <c r="G54" s="92" t="s">
        <v>69</v>
      </c>
      <c r="H54" s="100" t="s">
        <v>81</v>
      </c>
      <c r="I54" s="114" t="s">
        <v>527</v>
      </c>
      <c r="J54" s="112">
        <f>VLOOKUP(B54,[3]加班情况分析!D:G,4,FALSE)</f>
        <v>2.20125000000436</v>
      </c>
      <c r="K54" s="112" t="b">
        <f>VLOOKUP(B54,[3]加班情况分析!D:H,5,FALSE)</f>
        <v>1</v>
      </c>
      <c r="L54" s="113">
        <f>VLOOKUP(B54,[3]加班情况分析!D:L,6,FALSE)</f>
        <v>23</v>
      </c>
      <c r="M54" s="113">
        <f>VLOOKUP($B54,[3]加班情况分析!$D:$L,7,FALSE)</f>
        <v>20</v>
      </c>
      <c r="N54" s="113">
        <f>VLOOKUP($B54,[3]加班情况分析!$D:$L,8,FALSE)</f>
        <v>4</v>
      </c>
      <c r="O54" s="91">
        <f>VLOOKUP(B54,[3]加班情况分析!D:L,9,FALSE)</f>
        <v>15</v>
      </c>
      <c r="P54" s="91"/>
      <c r="Q54" s="91">
        <f>VLOOKUP(B54,'[3]牵头需求（当前进行中）'!A:B,2,FALSE)</f>
        <v>11</v>
      </c>
      <c r="R54" s="91"/>
      <c r="S54" s="91">
        <v>1</v>
      </c>
      <c r="T54" s="91">
        <f>VLOOKUP(B54,[3]二季度变更任务!A:B,2,FALSE)</f>
        <v>3</v>
      </c>
      <c r="U54" s="91">
        <f>VLOOKUP(B54,[3]三季度变更任务!A:B,2,FALSE)</f>
        <v>10</v>
      </c>
      <c r="V54" s="91">
        <f>VLOOKUP(B54,[3]责任事件及缺陷!A:B,2,FALSE)</f>
        <v>1</v>
      </c>
      <c r="W54" s="91" t="s">
        <v>263</v>
      </c>
      <c r="X54" s="120" t="s">
        <v>639</v>
      </c>
      <c r="Y54" s="94" t="s">
        <v>640</v>
      </c>
      <c r="Z54" s="129">
        <v>1</v>
      </c>
      <c r="AA54" s="94"/>
      <c r="AB54" s="94"/>
      <c r="AC54" s="94"/>
      <c r="AD54" s="94" t="s">
        <v>114</v>
      </c>
      <c r="AE54" s="130" t="s">
        <v>510</v>
      </c>
      <c r="AF54" s="7" t="s">
        <v>263</v>
      </c>
    </row>
    <row r="55" ht="43.2" hidden="1" spans="1:32">
      <c r="A55" s="88">
        <v>53</v>
      </c>
      <c r="B55" s="98" t="s">
        <v>376</v>
      </c>
      <c r="C55" s="97" t="s">
        <v>98</v>
      </c>
      <c r="D55" s="98" t="s">
        <v>93</v>
      </c>
      <c r="E55" s="92" t="s">
        <v>68</v>
      </c>
      <c r="F55" s="99">
        <v>0</v>
      </c>
      <c r="G55" s="92" t="s">
        <v>69</v>
      </c>
      <c r="H55" s="100" t="s">
        <v>327</v>
      </c>
      <c r="I55" s="114" t="s">
        <v>527</v>
      </c>
      <c r="J55" s="112">
        <f>VLOOKUP(B55,[3]加班情况分析!D:G,4,FALSE)</f>
        <v>1.06639351852937</v>
      </c>
      <c r="K55" s="112" t="b">
        <f>VLOOKUP(B55,[3]加班情况分析!D:H,5,FALSE)</f>
        <v>0</v>
      </c>
      <c r="L55" s="113">
        <f>VLOOKUP(B55,[3]加班情况分析!D:L,6,FALSE)</f>
        <v>28</v>
      </c>
      <c r="M55" s="113">
        <f>VLOOKUP($B55,[3]加班情况分析!$D:$L,7,FALSE)</f>
        <v>30</v>
      </c>
      <c r="N55" s="113">
        <f>VLOOKUP($B55,[3]加班情况分析!$D:$L,8,FALSE)</f>
        <v>2</v>
      </c>
      <c r="O55" s="91">
        <f>VLOOKUP(B55,[3]加班情况分析!D:L,9,FALSE)</f>
        <v>0</v>
      </c>
      <c r="P55" s="91"/>
      <c r="Q55" s="91"/>
      <c r="R55" s="91"/>
      <c r="S55" s="91">
        <v>1</v>
      </c>
      <c r="T55" s="91">
        <f>VLOOKUP(B55,[3]二季度变更任务!A:B,2,FALSE)</f>
        <v>3</v>
      </c>
      <c r="U55" s="91"/>
      <c r="V55" s="91"/>
      <c r="W55" s="91" t="s">
        <v>263</v>
      </c>
      <c r="X55" s="120" t="s">
        <v>641</v>
      </c>
      <c r="Y55" s="120" t="s">
        <v>641</v>
      </c>
      <c r="Z55" s="129">
        <v>0.9</v>
      </c>
      <c r="AA55" s="94" t="s">
        <v>642</v>
      </c>
      <c r="AB55" s="129">
        <v>0.1</v>
      </c>
      <c r="AC55" s="94"/>
      <c r="AD55" s="94" t="s">
        <v>117</v>
      </c>
      <c r="AE55" s="130" t="s">
        <v>510</v>
      </c>
      <c r="AF55" s="7" t="s">
        <v>263</v>
      </c>
    </row>
    <row r="56" ht="57.6" spans="1:32">
      <c r="A56" s="88">
        <v>54</v>
      </c>
      <c r="B56" s="103" t="s">
        <v>377</v>
      </c>
      <c r="C56" s="97" t="s">
        <v>98</v>
      </c>
      <c r="D56" s="98" t="s">
        <v>99</v>
      </c>
      <c r="E56" s="92" t="s">
        <v>56</v>
      </c>
      <c r="F56" s="99">
        <v>5</v>
      </c>
      <c r="G56" s="92" t="s">
        <v>69</v>
      </c>
      <c r="H56" s="100" t="s">
        <v>194</v>
      </c>
      <c r="I56" s="114" t="s">
        <v>527</v>
      </c>
      <c r="J56" s="112">
        <f>VLOOKUP(B56,[3]加班情况分析!D:G,4,FALSE)</f>
        <v>1.67106666666805</v>
      </c>
      <c r="K56" s="112" t="b">
        <f>VLOOKUP(B56,[3]加班情况分析!D:H,5,FALSE)</f>
        <v>0</v>
      </c>
      <c r="L56" s="113">
        <f>VLOOKUP(B56,[3]加班情况分析!D:L,6,FALSE)</f>
        <v>11</v>
      </c>
      <c r="M56" s="113">
        <f>VLOOKUP($B56,[3]加班情况分析!$D:$L,7,FALSE)</f>
        <v>28</v>
      </c>
      <c r="N56" s="113">
        <f>VLOOKUP($B56,[3]加班情况分析!$D:$L,8,FALSE)</f>
        <v>9</v>
      </c>
      <c r="O56" s="91">
        <f>VLOOKUP(B56,[3]加班情况分析!D:L,9,FALSE)</f>
        <v>2</v>
      </c>
      <c r="P56" s="91"/>
      <c r="Q56" s="91"/>
      <c r="R56" s="91"/>
      <c r="S56" s="91">
        <v>1</v>
      </c>
      <c r="T56" s="91">
        <f>VLOOKUP(B56,[3]二季度变更任务!A:B,2,FALSE)</f>
        <v>1</v>
      </c>
      <c r="U56" s="91">
        <f>VLOOKUP(B56,[3]三季度变更任务!A:B,2,FALSE)</f>
        <v>2</v>
      </c>
      <c r="V56" s="91"/>
      <c r="W56" s="91" t="s">
        <v>502</v>
      </c>
      <c r="X56" s="120" t="s">
        <v>643</v>
      </c>
      <c r="Y56" s="131" t="s">
        <v>644</v>
      </c>
      <c r="Z56" s="129">
        <v>1</v>
      </c>
      <c r="AA56" s="94"/>
      <c r="AB56" s="94"/>
      <c r="AC56" s="94"/>
      <c r="AD56" s="94"/>
      <c r="AE56" s="130" t="s">
        <v>510</v>
      </c>
      <c r="AF56" s="7" t="s">
        <v>502</v>
      </c>
    </row>
    <row r="57" ht="100.8" hidden="1" spans="1:32">
      <c r="A57" s="88">
        <v>55</v>
      </c>
      <c r="B57" s="98" t="s">
        <v>378</v>
      </c>
      <c r="C57" s="97" t="s">
        <v>98</v>
      </c>
      <c r="D57" s="98" t="s">
        <v>99</v>
      </c>
      <c r="E57" s="92" t="s">
        <v>68</v>
      </c>
      <c r="F57" s="99">
        <v>4</v>
      </c>
      <c r="G57" s="92" t="s">
        <v>69</v>
      </c>
      <c r="H57" s="100" t="s">
        <v>81</v>
      </c>
      <c r="I57" s="114" t="s">
        <v>527</v>
      </c>
      <c r="J57" s="112">
        <f>VLOOKUP(B57,[3]加班情况分析!D:G,4,FALSE)</f>
        <v>2.11334999999614</v>
      </c>
      <c r="K57" s="112" t="b">
        <f>VLOOKUP(B57,[3]加班情况分析!D:H,5,FALSE)</f>
        <v>1</v>
      </c>
      <c r="L57" s="113">
        <f>VLOOKUP(B57,[3]加班情况分析!D:L,6,FALSE)</f>
        <v>12</v>
      </c>
      <c r="M57" s="113">
        <f>VLOOKUP($B57,[3]加班情况分析!$D:$L,7,FALSE)</f>
        <v>18</v>
      </c>
      <c r="N57" s="113">
        <f>VLOOKUP($B57,[3]加班情况分析!$D:$L,8,FALSE)</f>
        <v>12</v>
      </c>
      <c r="O57" s="91">
        <f>VLOOKUP(B57,[3]加班情况分析!D:L,9,FALSE)</f>
        <v>8</v>
      </c>
      <c r="P57" s="91">
        <f>VLOOKUP(B57,'[3]牵头项目（当前进行中）'!A:B,2,FALSE)</f>
        <v>1</v>
      </c>
      <c r="Q57" s="91"/>
      <c r="R57" s="91">
        <f>VLOOKUP(B57,[3]主管应用系统数量!I:J,2,FALSE)</f>
        <v>1</v>
      </c>
      <c r="S57" s="91">
        <v>2</v>
      </c>
      <c r="T57" s="91">
        <f>VLOOKUP(B57,[3]二季度变更任务!A:B,2,FALSE)</f>
        <v>3</v>
      </c>
      <c r="U57" s="91">
        <f>VLOOKUP(B57,[3]三季度变更任务!A:B,2,FALSE)</f>
        <v>5</v>
      </c>
      <c r="V57" s="91"/>
      <c r="W57" s="91" t="s">
        <v>263</v>
      </c>
      <c r="X57" s="120" t="s">
        <v>645</v>
      </c>
      <c r="Y57" s="94" t="s">
        <v>646</v>
      </c>
      <c r="Z57" s="129">
        <v>0.8</v>
      </c>
      <c r="AA57" s="94" t="s">
        <v>647</v>
      </c>
      <c r="AB57" s="129">
        <v>0.2</v>
      </c>
      <c r="AC57" s="94"/>
      <c r="AD57" s="94" t="s">
        <v>379</v>
      </c>
      <c r="AE57" s="130" t="s">
        <v>510</v>
      </c>
      <c r="AF57" s="7" t="s">
        <v>263</v>
      </c>
    </row>
    <row r="58" ht="57.6" hidden="1" spans="1:32">
      <c r="A58" s="88">
        <v>56</v>
      </c>
      <c r="B58" s="98" t="s">
        <v>379</v>
      </c>
      <c r="C58" s="97" t="s">
        <v>98</v>
      </c>
      <c r="D58" s="98" t="s">
        <v>99</v>
      </c>
      <c r="E58" s="92" t="s">
        <v>56</v>
      </c>
      <c r="F58" s="99">
        <v>1</v>
      </c>
      <c r="G58" s="92" t="s">
        <v>57</v>
      </c>
      <c r="H58" s="100" t="s">
        <v>239</v>
      </c>
      <c r="I58" s="114" t="s">
        <v>527</v>
      </c>
      <c r="J58" s="112">
        <f>VLOOKUP(B58,[3]加班情况分析!D:G,4,FALSE)</f>
        <v>1.11939265536069</v>
      </c>
      <c r="K58" s="112" t="b">
        <f>VLOOKUP(B58,[3]加班情况分析!D:H,5,FALSE)</f>
        <v>0</v>
      </c>
      <c r="L58" s="113">
        <f>VLOOKUP(B58,[3]加班情况分析!D:L,6,FALSE)</f>
        <v>30</v>
      </c>
      <c r="M58" s="113">
        <f>VLOOKUP($B58,[3]加班情况分析!$D:$L,7,FALSE)</f>
        <v>25</v>
      </c>
      <c r="N58" s="113">
        <f>VLOOKUP($B58,[3]加班情况分析!$D:$L,8,FALSE)</f>
        <v>4</v>
      </c>
      <c r="O58" s="91">
        <f>VLOOKUP(B58,[3]加班情况分析!D:L,9,FALSE)</f>
        <v>0</v>
      </c>
      <c r="P58" s="91">
        <f>VLOOKUP(B58,'[3]牵头项目（当前进行中）'!A:B,2,FALSE)</f>
        <v>1</v>
      </c>
      <c r="Q58" s="91"/>
      <c r="R58" s="91">
        <f>VLOOKUP(B58,[3]主管应用系统数量!I:J,2,FALSE)</f>
        <v>1</v>
      </c>
      <c r="S58" s="91">
        <v>1</v>
      </c>
      <c r="T58" s="91">
        <f>VLOOKUP(B58,[3]二季度变更任务!A:B,2,FALSE)</f>
        <v>7</v>
      </c>
      <c r="U58" s="91">
        <f>VLOOKUP(B58,[3]三季度变更任务!A:B,2,FALSE)</f>
        <v>7</v>
      </c>
      <c r="V58" s="91"/>
      <c r="W58" s="91" t="s">
        <v>263</v>
      </c>
      <c r="X58" s="120" t="s">
        <v>648</v>
      </c>
      <c r="Y58" s="94" t="s">
        <v>649</v>
      </c>
      <c r="Z58" s="129">
        <v>0.7</v>
      </c>
      <c r="AA58" s="94" t="s">
        <v>650</v>
      </c>
      <c r="AB58" s="129">
        <v>0.3</v>
      </c>
      <c r="AC58" s="94"/>
      <c r="AD58" s="94" t="s">
        <v>378</v>
      </c>
      <c r="AE58" s="130" t="s">
        <v>510</v>
      </c>
      <c r="AF58" s="7" t="s">
        <v>263</v>
      </c>
    </row>
    <row r="59" ht="24" hidden="1" spans="1:32">
      <c r="A59" s="88">
        <v>57</v>
      </c>
      <c r="B59" s="102" t="s">
        <v>380</v>
      </c>
      <c r="C59" s="97" t="s">
        <v>98</v>
      </c>
      <c r="D59" s="98" t="s">
        <v>381</v>
      </c>
      <c r="E59" s="92" t="s">
        <v>68</v>
      </c>
      <c r="F59" s="99">
        <v>1</v>
      </c>
      <c r="G59" s="92" t="s">
        <v>69</v>
      </c>
      <c r="H59" s="100" t="s">
        <v>118</v>
      </c>
      <c r="I59" s="114" t="s">
        <v>527</v>
      </c>
      <c r="J59" s="112">
        <f>VLOOKUP(B59,[3]加班情况分析!D:G,4,FALSE)</f>
        <v>0</v>
      </c>
      <c r="K59" s="112" t="b">
        <f>VLOOKUP(B59,[3]加班情况分析!D:H,5,FALSE)</f>
        <v>0</v>
      </c>
      <c r="L59" s="113">
        <f>VLOOKUP(B59,[3]加班情况分析!D:L,6,FALSE)</f>
        <v>14</v>
      </c>
      <c r="M59" s="113">
        <f>VLOOKUP($B59,[3]加班情况分析!$D:$L,7,FALSE)</f>
        <v>0</v>
      </c>
      <c r="N59" s="113">
        <f>VLOOKUP($B59,[3]加班情况分析!$D:$L,8,FALSE)</f>
        <v>0</v>
      </c>
      <c r="O59" s="91">
        <f>VLOOKUP(B59,[3]加班情况分析!D:L,9,FALSE)</f>
        <v>0</v>
      </c>
      <c r="P59" s="91"/>
      <c r="Q59" s="91"/>
      <c r="R59" s="91"/>
      <c r="S59" s="91">
        <v>0</v>
      </c>
      <c r="T59" s="91"/>
      <c r="U59" s="91"/>
      <c r="V59" s="91"/>
      <c r="W59" s="91" t="s">
        <v>515</v>
      </c>
      <c r="X59" s="120" t="s">
        <v>651</v>
      </c>
      <c r="Y59" s="94"/>
      <c r="Z59" s="94"/>
      <c r="AA59" s="94"/>
      <c r="AB59" s="94"/>
      <c r="AC59" s="94"/>
      <c r="AD59" s="94"/>
      <c r="AE59" s="130"/>
      <c r="AF59" s="7"/>
    </row>
    <row r="60" ht="28.8" hidden="1" spans="1:32">
      <c r="A60" s="88">
        <v>58</v>
      </c>
      <c r="B60" s="96" t="s">
        <v>383</v>
      </c>
      <c r="C60" s="97" t="s">
        <v>54</v>
      </c>
      <c r="D60" s="98" t="s">
        <v>273</v>
      </c>
      <c r="E60" s="92" t="s">
        <v>56</v>
      </c>
      <c r="F60" s="99">
        <v>19</v>
      </c>
      <c r="G60" s="92" t="s">
        <v>57</v>
      </c>
      <c r="H60" s="100" t="s">
        <v>194</v>
      </c>
      <c r="I60" s="114" t="s">
        <v>527</v>
      </c>
      <c r="J60" s="112">
        <f>VLOOKUP(B60,[3]加班情况分析!D:G,4,FALSE)</f>
        <v>3.64045992712338</v>
      </c>
      <c r="K60" s="112" t="b">
        <f>VLOOKUP(B60,[3]加班情况分析!D:H,5,FALSE)</f>
        <v>1</v>
      </c>
      <c r="L60" s="113">
        <f>VLOOKUP(B60,[3]加班情况分析!D:L,6,FALSE)</f>
        <v>2</v>
      </c>
      <c r="M60" s="113">
        <f>VLOOKUP($B60,[3]加班情况分析!$D:$L,7,FALSE)</f>
        <v>9</v>
      </c>
      <c r="N60" s="113">
        <f>VLOOKUP($B60,[3]加班情况分析!$D:$L,8,FALSE)</f>
        <v>17</v>
      </c>
      <c r="O60" s="91">
        <f>VLOOKUP(B60,[3]加班情况分析!D:L,9,FALSE)</f>
        <v>33</v>
      </c>
      <c r="P60" s="91"/>
      <c r="Q60" s="91"/>
      <c r="R60" s="91"/>
      <c r="S60" s="91">
        <v>0</v>
      </c>
      <c r="T60" s="91"/>
      <c r="U60" s="91"/>
      <c r="V60" s="91"/>
      <c r="W60" s="91"/>
      <c r="X60" s="120" t="s">
        <v>652</v>
      </c>
      <c r="Y60" s="94"/>
      <c r="Z60" s="94"/>
      <c r="AA60" s="94"/>
      <c r="AB60" s="94"/>
      <c r="AC60" s="94"/>
      <c r="AD60" s="94"/>
      <c r="AE60" s="130"/>
      <c r="AF60" s="7"/>
    </row>
    <row r="61" ht="28.8" hidden="1" spans="1:32">
      <c r="A61" s="88">
        <v>59</v>
      </c>
      <c r="B61" s="96" t="s">
        <v>384</v>
      </c>
      <c r="C61" s="97" t="s">
        <v>54</v>
      </c>
      <c r="D61" s="98" t="s">
        <v>273</v>
      </c>
      <c r="E61" s="92" t="s">
        <v>68</v>
      </c>
      <c r="F61" s="99">
        <v>14</v>
      </c>
      <c r="G61" s="92" t="s">
        <v>69</v>
      </c>
      <c r="H61" s="100" t="s">
        <v>194</v>
      </c>
      <c r="I61" s="114" t="s">
        <v>527</v>
      </c>
      <c r="J61" s="112">
        <f>VLOOKUP(B61,[3]加班情况分析!D:G,4,FALSE)</f>
        <v>3.15918981481324</v>
      </c>
      <c r="K61" s="112" t="b">
        <f>VLOOKUP(B61,[3]加班情况分析!D:H,5,FALSE)</f>
        <v>1</v>
      </c>
      <c r="L61" s="113">
        <f>VLOOKUP(B61,[3]加班情况分析!D:L,6,FALSE)</f>
        <v>5</v>
      </c>
      <c r="M61" s="113">
        <f>VLOOKUP($B61,[3]加班情况分析!$D:$L,7,FALSE)</f>
        <v>9</v>
      </c>
      <c r="N61" s="113">
        <f>VLOOKUP($B61,[3]加班情况分析!$D:$L,8,FALSE)</f>
        <v>30</v>
      </c>
      <c r="O61" s="91">
        <f>VLOOKUP(B61,[3]加班情况分析!D:L,9,FALSE)</f>
        <v>16</v>
      </c>
      <c r="P61" s="91"/>
      <c r="Q61" s="91"/>
      <c r="R61" s="91"/>
      <c r="S61" s="91">
        <v>0</v>
      </c>
      <c r="T61" s="91"/>
      <c r="U61" s="91"/>
      <c r="V61" s="91"/>
      <c r="W61" s="91"/>
      <c r="X61" s="120" t="s">
        <v>653</v>
      </c>
      <c r="Y61" s="94"/>
      <c r="Z61" s="94"/>
      <c r="AA61" s="94"/>
      <c r="AB61" s="94"/>
      <c r="AC61" s="94"/>
      <c r="AD61" s="94"/>
      <c r="AE61" s="130"/>
      <c r="AF61" s="7"/>
    </row>
    <row r="62" ht="28.8" hidden="1" spans="1:32">
      <c r="A62" s="88">
        <v>60</v>
      </c>
      <c r="B62" s="98" t="s">
        <v>386</v>
      </c>
      <c r="C62" s="97" t="s">
        <v>54</v>
      </c>
      <c r="D62" s="98" t="s">
        <v>55</v>
      </c>
      <c r="E62" s="92" t="s">
        <v>56</v>
      </c>
      <c r="F62" s="99">
        <v>2</v>
      </c>
      <c r="G62" s="92" t="s">
        <v>69</v>
      </c>
      <c r="H62" s="100" t="s">
        <v>122</v>
      </c>
      <c r="I62" s="114" t="s">
        <v>527</v>
      </c>
      <c r="J62" s="112">
        <f>VLOOKUP(B62,[3]加班情况分析!D:G,4,FALSE)</f>
        <v>1.74376705653042</v>
      </c>
      <c r="K62" s="112" t="b">
        <f>VLOOKUP(B62,[3]加班情况分析!D:H,5,FALSE)</f>
        <v>0</v>
      </c>
      <c r="L62" s="113">
        <f>VLOOKUP(B62,[3]加班情况分析!D:L,6,FALSE)</f>
        <v>13</v>
      </c>
      <c r="M62" s="113">
        <f>VLOOKUP($B62,[3]加班情况分析!$D:$L,7,FALSE)</f>
        <v>20</v>
      </c>
      <c r="N62" s="113">
        <f>VLOOKUP($B62,[3]加班情况分析!$D:$L,8,FALSE)</f>
        <v>24</v>
      </c>
      <c r="O62" s="91">
        <f>VLOOKUP(B62,[3]加班情况分析!D:L,9,FALSE)</f>
        <v>0</v>
      </c>
      <c r="P62" s="91"/>
      <c r="Q62" s="91"/>
      <c r="R62" s="91"/>
      <c r="S62" s="91">
        <v>1</v>
      </c>
      <c r="T62" s="91">
        <f>VLOOKUP(B62,[3]二季度变更任务!A:B,2,FALSE)</f>
        <v>3</v>
      </c>
      <c r="U62" s="91"/>
      <c r="V62" s="91"/>
      <c r="W62" s="91" t="s">
        <v>263</v>
      </c>
      <c r="X62" s="120" t="s">
        <v>654</v>
      </c>
      <c r="Y62" s="94" t="s">
        <v>655</v>
      </c>
      <c r="Z62" s="129">
        <v>1</v>
      </c>
      <c r="AA62" s="94"/>
      <c r="AB62" s="94"/>
      <c r="AC62" s="94"/>
      <c r="AD62" s="94"/>
      <c r="AE62" s="130" t="s">
        <v>510</v>
      </c>
      <c r="AF62" s="7" t="s">
        <v>263</v>
      </c>
    </row>
    <row r="63" hidden="1" spans="1:32">
      <c r="A63" s="88">
        <v>61</v>
      </c>
      <c r="B63" s="98" t="s">
        <v>387</v>
      </c>
      <c r="C63" s="97" t="s">
        <v>54</v>
      </c>
      <c r="D63" s="98" t="s">
        <v>388</v>
      </c>
      <c r="E63" s="92" t="s">
        <v>68</v>
      </c>
      <c r="F63" s="99">
        <v>5</v>
      </c>
      <c r="G63" s="92" t="s">
        <v>57</v>
      </c>
      <c r="H63" s="100" t="s">
        <v>389</v>
      </c>
      <c r="I63" s="114" t="s">
        <v>527</v>
      </c>
      <c r="J63" s="112">
        <f>VLOOKUP(B63,[3]加班情况分析!D:G,4,FALSE)</f>
        <v>2.73674291939767</v>
      </c>
      <c r="K63" s="112" t="b">
        <f>VLOOKUP(B63,[3]加班情况分析!D:H,5,FALSE)</f>
        <v>1</v>
      </c>
      <c r="L63" s="113">
        <f>VLOOKUP(B63,[3]加班情况分析!D:L,6,FALSE)</f>
        <v>1</v>
      </c>
      <c r="M63" s="113">
        <f>VLOOKUP($B63,[3]加班情况分析!$D:$L,7,FALSE)</f>
        <v>18</v>
      </c>
      <c r="N63" s="113">
        <f>VLOOKUP($B63,[3]加班情况分析!$D:$L,8,FALSE)</f>
        <v>20</v>
      </c>
      <c r="O63" s="91">
        <f>VLOOKUP(B63,[3]加班情况分析!D:L,9,FALSE)</f>
        <v>12</v>
      </c>
      <c r="P63" s="91"/>
      <c r="Q63" s="91"/>
      <c r="R63" s="91"/>
      <c r="S63" s="91">
        <v>1</v>
      </c>
      <c r="T63" s="91">
        <f>VLOOKUP(B63,[3]二季度变更任务!A:B,2,FALSE)</f>
        <v>2</v>
      </c>
      <c r="U63" s="91">
        <f>VLOOKUP(B63,[3]三季度变更任务!A:B,2,FALSE)</f>
        <v>3</v>
      </c>
      <c r="V63" s="91"/>
      <c r="W63" s="91" t="s">
        <v>263</v>
      </c>
      <c r="X63" s="120" t="s">
        <v>656</v>
      </c>
      <c r="Y63" s="94" t="s">
        <v>656</v>
      </c>
      <c r="Z63" s="129">
        <v>1</v>
      </c>
      <c r="AA63" s="94"/>
      <c r="AB63" s="94"/>
      <c r="AC63" s="94"/>
      <c r="AD63" s="94"/>
      <c r="AE63" s="130" t="s">
        <v>510</v>
      </c>
      <c r="AF63" s="7" t="s">
        <v>263</v>
      </c>
    </row>
    <row r="64" ht="24" hidden="1" spans="1:32">
      <c r="A64" s="88">
        <v>62</v>
      </c>
      <c r="B64" s="98" t="s">
        <v>391</v>
      </c>
      <c r="C64" s="97" t="s">
        <v>54</v>
      </c>
      <c r="D64" s="98" t="s">
        <v>388</v>
      </c>
      <c r="E64" s="92" t="s">
        <v>56</v>
      </c>
      <c r="F64" s="99">
        <v>2</v>
      </c>
      <c r="G64" s="92" t="s">
        <v>69</v>
      </c>
      <c r="H64" s="100" t="s">
        <v>183</v>
      </c>
      <c r="I64" s="114" t="s">
        <v>527</v>
      </c>
      <c r="J64" s="112">
        <f>VLOOKUP(B64,[3]加班情况分析!D:G,4,FALSE)</f>
        <v>2.59485632183677</v>
      </c>
      <c r="K64" s="112" t="b">
        <f>VLOOKUP(B64,[3]加班情况分析!D:H,5,FALSE)</f>
        <v>0</v>
      </c>
      <c r="L64" s="113">
        <f>VLOOKUP(B64,[3]加班情况分析!D:L,6,FALSE)</f>
        <v>0</v>
      </c>
      <c r="M64" s="113">
        <f>VLOOKUP($B64,[3]加班情况分析!$D:$L,7,FALSE)</f>
        <v>19</v>
      </c>
      <c r="N64" s="113">
        <f>VLOOKUP($B64,[3]加班情况分析!$D:$L,8,FALSE)</f>
        <v>30</v>
      </c>
      <c r="O64" s="91">
        <f>VLOOKUP(B64,[3]加班情况分析!D:L,9,FALSE)</f>
        <v>9</v>
      </c>
      <c r="P64" s="91"/>
      <c r="Q64" s="91">
        <f>VLOOKUP(B64,'[3]牵头需求（当前进行中）'!A:B,2,FALSE)</f>
        <v>1</v>
      </c>
      <c r="R64" s="91"/>
      <c r="S64" s="91">
        <v>1</v>
      </c>
      <c r="T64" s="91">
        <f>VLOOKUP(B64,[3]二季度变更任务!A:B,2,FALSE)</f>
        <v>7</v>
      </c>
      <c r="U64" s="91">
        <f>VLOOKUP(B64,[3]三季度变更任务!A:B,2,FALSE)</f>
        <v>3</v>
      </c>
      <c r="V64" s="91"/>
      <c r="W64" s="91" t="s">
        <v>263</v>
      </c>
      <c r="X64" s="120" t="s">
        <v>657</v>
      </c>
      <c r="Y64" s="94" t="s">
        <v>657</v>
      </c>
      <c r="Z64" s="129">
        <v>1</v>
      </c>
      <c r="AA64" s="94"/>
      <c r="AB64" s="94"/>
      <c r="AC64" s="94"/>
      <c r="AD64" s="94"/>
      <c r="AE64" s="130" t="s">
        <v>510</v>
      </c>
      <c r="AF64" s="7" t="s">
        <v>263</v>
      </c>
    </row>
    <row r="65" ht="24" hidden="1" spans="1:32">
      <c r="A65" s="88">
        <v>63</v>
      </c>
      <c r="B65" s="98" t="s">
        <v>393</v>
      </c>
      <c r="C65" s="97" t="s">
        <v>54</v>
      </c>
      <c r="D65" s="98" t="s">
        <v>388</v>
      </c>
      <c r="E65" s="92" t="s">
        <v>68</v>
      </c>
      <c r="F65" s="99">
        <v>2</v>
      </c>
      <c r="G65" s="92" t="s">
        <v>69</v>
      </c>
      <c r="H65" s="100" t="s">
        <v>325</v>
      </c>
      <c r="I65" s="114" t="s">
        <v>527</v>
      </c>
      <c r="J65" s="112">
        <f>VLOOKUP(B65,[3]加班情况分析!D:G,4,FALSE)</f>
        <v>2.38720760234068</v>
      </c>
      <c r="K65" s="112" t="b">
        <f>VLOOKUP(B65,[3]加班情况分析!D:H,5,FALSE)</f>
        <v>0</v>
      </c>
      <c r="L65" s="113">
        <f>VLOOKUP(B65,[3]加班情况分析!D:L,6,FALSE)</f>
        <v>2</v>
      </c>
      <c r="M65" s="113">
        <f>VLOOKUP($B65,[3]加班情况分析!$D:$L,7,FALSE)</f>
        <v>22</v>
      </c>
      <c r="N65" s="113">
        <f>VLOOKUP($B65,[3]加班情况分析!$D:$L,8,FALSE)</f>
        <v>31</v>
      </c>
      <c r="O65" s="91">
        <f>VLOOKUP(B65,[3]加班情况分析!D:L,9,FALSE)</f>
        <v>2</v>
      </c>
      <c r="P65" s="91"/>
      <c r="Q65" s="91">
        <f>VLOOKUP(B65,'[3]牵头需求（当前进行中）'!A:B,2,FALSE)</f>
        <v>2</v>
      </c>
      <c r="R65" s="91"/>
      <c r="S65" s="91">
        <v>1</v>
      </c>
      <c r="T65" s="91">
        <f>VLOOKUP(B65,[3]二季度变更任务!A:B,2,FALSE)</f>
        <v>6</v>
      </c>
      <c r="U65" s="91">
        <f>VLOOKUP(B65,[3]三季度变更任务!A:B,2,FALSE)</f>
        <v>9</v>
      </c>
      <c r="V65" s="91"/>
      <c r="W65" s="91" t="s">
        <v>263</v>
      </c>
      <c r="X65" s="120" t="s">
        <v>658</v>
      </c>
      <c r="Y65" s="94" t="s">
        <v>658</v>
      </c>
      <c r="Z65" s="129">
        <v>1</v>
      </c>
      <c r="AA65" s="94"/>
      <c r="AB65" s="94"/>
      <c r="AC65" s="94"/>
      <c r="AD65" s="94"/>
      <c r="AE65" s="130" t="s">
        <v>510</v>
      </c>
      <c r="AF65" s="7" t="s">
        <v>263</v>
      </c>
    </row>
    <row r="66" ht="72" hidden="1" spans="1:32">
      <c r="A66" s="88">
        <v>64</v>
      </c>
      <c r="B66" s="98" t="s">
        <v>394</v>
      </c>
      <c r="C66" s="97" t="s">
        <v>54</v>
      </c>
      <c r="D66" s="98" t="s">
        <v>395</v>
      </c>
      <c r="E66" s="92" t="s">
        <v>56</v>
      </c>
      <c r="F66" s="99">
        <v>2</v>
      </c>
      <c r="G66" s="92" t="s">
        <v>69</v>
      </c>
      <c r="H66" s="100" t="s">
        <v>396</v>
      </c>
      <c r="I66" s="114" t="s">
        <v>527</v>
      </c>
      <c r="J66" s="112">
        <f>VLOOKUP(B66,[3]加班情况分析!D:G,4,FALSE)</f>
        <v>2.81854838710335</v>
      </c>
      <c r="K66" s="112" t="b">
        <f>VLOOKUP(B66,[3]加班情况分析!D:H,5,FALSE)</f>
        <v>1</v>
      </c>
      <c r="L66" s="113">
        <f>VLOOKUP(B66,[3]加班情况分析!D:L,6,FALSE)</f>
        <v>2</v>
      </c>
      <c r="M66" s="113">
        <f>VLOOKUP($B66,[3]加班情况分析!$D:$L,7,FALSE)</f>
        <v>11</v>
      </c>
      <c r="N66" s="113">
        <f>VLOOKUP($B66,[3]加班情况分析!$D:$L,8,FALSE)</f>
        <v>42</v>
      </c>
      <c r="O66" s="91">
        <f>VLOOKUP(B66,[3]加班情况分析!D:L,9,FALSE)</f>
        <v>7</v>
      </c>
      <c r="P66" s="91">
        <f>VLOOKUP(B66,'[3]牵头项目（当前进行中）'!A:B,2,FALSE)</f>
        <v>1</v>
      </c>
      <c r="Q66" s="91">
        <f>VLOOKUP(B66,'[3]牵头需求（当前进行中）'!A:B,2,FALSE)</f>
        <v>7</v>
      </c>
      <c r="R66" s="91">
        <f>VLOOKUP(B66,[3]主管应用系统数量!I:J,2,FALSE)</f>
        <v>1</v>
      </c>
      <c r="S66" s="91">
        <v>2</v>
      </c>
      <c r="T66" s="91">
        <f>VLOOKUP(B66,[3]二季度变更任务!A:B,2,FALSE)</f>
        <v>17</v>
      </c>
      <c r="U66" s="91">
        <f>VLOOKUP(B66,[3]三季度变更任务!A:B,2,FALSE)</f>
        <v>11</v>
      </c>
      <c r="V66" s="91"/>
      <c r="W66" s="91" t="s">
        <v>502</v>
      </c>
      <c r="X66" s="120" t="s">
        <v>659</v>
      </c>
      <c r="Y66" s="94" t="s">
        <v>659</v>
      </c>
      <c r="Z66" s="129">
        <v>1</v>
      </c>
      <c r="AA66" s="94"/>
      <c r="AB66" s="94"/>
      <c r="AC66" s="94"/>
      <c r="AD66" s="94"/>
      <c r="AE66" s="130" t="s">
        <v>510</v>
      </c>
      <c r="AF66" s="7" t="s">
        <v>263</v>
      </c>
    </row>
    <row r="67" ht="43.2" hidden="1" spans="1:32">
      <c r="A67" s="88">
        <v>65</v>
      </c>
      <c r="B67" s="98" t="s">
        <v>397</v>
      </c>
      <c r="C67" s="97" t="s">
        <v>54</v>
      </c>
      <c r="D67" s="98" t="s">
        <v>395</v>
      </c>
      <c r="E67" s="92" t="s">
        <v>68</v>
      </c>
      <c r="F67" s="99">
        <v>6</v>
      </c>
      <c r="G67" s="92" t="s">
        <v>57</v>
      </c>
      <c r="H67" s="100" t="s">
        <v>398</v>
      </c>
      <c r="I67" s="114" t="s">
        <v>527</v>
      </c>
      <c r="J67" s="112">
        <f>VLOOKUP(B67,[3]加班情况分析!D:G,4,FALSE)</f>
        <v>2.76982279693214</v>
      </c>
      <c r="K67" s="112" t="b">
        <f>VLOOKUP(B67,[3]加班情况分析!D:H,5,FALSE)</f>
        <v>1</v>
      </c>
      <c r="L67" s="113">
        <f>VLOOKUP(B67,[3]加班情况分析!D:L,6,FALSE)</f>
        <v>6</v>
      </c>
      <c r="M67" s="113">
        <f>VLOOKUP($B67,[3]加班情况分析!$D:$L,7,FALSE)</f>
        <v>11</v>
      </c>
      <c r="N67" s="113">
        <f>VLOOKUP($B67,[3]加班情况分析!$D:$L,8,FALSE)</f>
        <v>30</v>
      </c>
      <c r="O67" s="91">
        <f>VLOOKUP(B67,[3]加班情况分析!D:L,9,FALSE)</f>
        <v>11</v>
      </c>
      <c r="P67" s="91">
        <f>VLOOKUP(B67,'[3]牵头项目（当前进行中）'!A:B,2,FALSE)</f>
        <v>1</v>
      </c>
      <c r="Q67" s="91">
        <f>VLOOKUP(B67,'[3]牵头需求（当前进行中）'!A:B,2,FALSE)</f>
        <v>28</v>
      </c>
      <c r="R67" s="91">
        <f>VLOOKUP(B67,[3]主管应用系统数量!I:J,2,FALSE)</f>
        <v>1</v>
      </c>
      <c r="S67" s="91">
        <v>5</v>
      </c>
      <c r="T67" s="91">
        <f>VLOOKUP(B67,[3]二季度变更任务!A:B,2,FALSE)</f>
        <v>9</v>
      </c>
      <c r="U67" s="91">
        <f>VLOOKUP(B67,[3]三季度变更任务!A:B,2,FALSE)</f>
        <v>22</v>
      </c>
      <c r="V67" s="91"/>
      <c r="W67" s="91" t="s">
        <v>263</v>
      </c>
      <c r="X67" s="120" t="s">
        <v>660</v>
      </c>
      <c r="Y67" s="94" t="s">
        <v>660</v>
      </c>
      <c r="Z67" s="129">
        <v>1</v>
      </c>
      <c r="AA67" s="94"/>
      <c r="AB67" s="94"/>
      <c r="AC67" s="94"/>
      <c r="AD67" s="94"/>
      <c r="AE67" s="130" t="s">
        <v>510</v>
      </c>
      <c r="AF67" s="7" t="s">
        <v>263</v>
      </c>
    </row>
    <row r="68" ht="28.8" hidden="1" spans="1:32">
      <c r="A68" s="88">
        <v>66</v>
      </c>
      <c r="B68" s="98" t="s">
        <v>399</v>
      </c>
      <c r="C68" s="97" t="s">
        <v>54</v>
      </c>
      <c r="D68" s="98" t="s">
        <v>395</v>
      </c>
      <c r="E68" s="92" t="s">
        <v>68</v>
      </c>
      <c r="F68" s="99">
        <v>6</v>
      </c>
      <c r="G68" s="92" t="s">
        <v>69</v>
      </c>
      <c r="H68" s="100" t="s">
        <v>122</v>
      </c>
      <c r="I68" s="114" t="s">
        <v>527</v>
      </c>
      <c r="J68" s="112">
        <f>VLOOKUP(B68,[3]加班情况分析!D:G,4,FALSE)</f>
        <v>2.6191165755917</v>
      </c>
      <c r="K68" s="112" t="b">
        <f>VLOOKUP(B68,[3]加班情况分析!D:H,5,FALSE)</f>
        <v>1</v>
      </c>
      <c r="L68" s="113">
        <f>VLOOKUP(B68,[3]加班情况分析!D:L,6,FALSE)</f>
        <v>4</v>
      </c>
      <c r="M68" s="113">
        <f>VLOOKUP($B68,[3]加班情况分析!$D:$L,7,FALSE)</f>
        <v>10</v>
      </c>
      <c r="N68" s="113">
        <f>VLOOKUP($B68,[3]加班情况分析!$D:$L,8,FALSE)</f>
        <v>42</v>
      </c>
      <c r="O68" s="91">
        <f>VLOOKUP(B68,[3]加班情况分析!D:L,9,FALSE)</f>
        <v>5</v>
      </c>
      <c r="P68" s="91">
        <f>VLOOKUP(B68,'[3]牵头项目（当前进行中）'!A:B,2,FALSE)</f>
        <v>2</v>
      </c>
      <c r="Q68" s="91">
        <f>VLOOKUP(B68,'[3]牵头需求（当前进行中）'!A:B,2,FALSE)</f>
        <v>8</v>
      </c>
      <c r="R68" s="91">
        <f>VLOOKUP(B68,[3]主管应用系统数量!I:J,2,FALSE)</f>
        <v>2</v>
      </c>
      <c r="S68" s="91">
        <v>1</v>
      </c>
      <c r="T68" s="91"/>
      <c r="U68" s="91">
        <f>VLOOKUP(B68,[3]三季度变更任务!A:B,2,FALSE)</f>
        <v>12</v>
      </c>
      <c r="V68" s="91"/>
      <c r="W68" s="91" t="s">
        <v>502</v>
      </c>
      <c r="X68" s="120" t="s">
        <v>661</v>
      </c>
      <c r="Y68" s="94" t="s">
        <v>661</v>
      </c>
      <c r="Z68" s="129">
        <v>1</v>
      </c>
      <c r="AA68" s="94"/>
      <c r="AB68" s="94"/>
      <c r="AC68" s="94"/>
      <c r="AD68" s="94"/>
      <c r="AE68" s="130" t="s">
        <v>510</v>
      </c>
      <c r="AF68" s="7" t="s">
        <v>263</v>
      </c>
    </row>
    <row r="69" ht="21.6" hidden="1" spans="1:32">
      <c r="A69" s="88">
        <v>9</v>
      </c>
      <c r="B69" s="89" t="s">
        <v>92</v>
      </c>
      <c r="C69" s="90" t="s">
        <v>54</v>
      </c>
      <c r="D69" s="91" t="s">
        <v>93</v>
      </c>
      <c r="E69" s="92" t="s">
        <v>56</v>
      </c>
      <c r="F69" s="93">
        <v>9</v>
      </c>
      <c r="G69" s="94" t="s">
        <v>57</v>
      </c>
      <c r="H69" s="95" t="s">
        <v>94</v>
      </c>
      <c r="I69" s="111" t="s">
        <v>70</v>
      </c>
      <c r="J69" s="112">
        <f>VLOOKUP(B69,[3]加班情况分析!D:G,4,FALSE)</f>
        <v>3.14809322034964</v>
      </c>
      <c r="K69" s="112" t="b">
        <f>VLOOKUP(B69,[3]加班情况分析!D:H,5,FALSE)</f>
        <v>1</v>
      </c>
      <c r="L69" s="113">
        <f>VLOOKUP(B69,[3]加班情况分析!D:L,6,FALSE)</f>
        <v>7</v>
      </c>
      <c r="M69" s="113">
        <f>VLOOKUP($B69,[3]加班情况分析!$D:$L,7,FALSE)</f>
        <v>7</v>
      </c>
      <c r="N69" s="113">
        <f>VLOOKUP($B69,[3]加班情况分析!$D:$L,8,FALSE)</f>
        <v>28</v>
      </c>
      <c r="O69" s="91">
        <f>VLOOKUP(B69,[3]加班情况分析!D:L,9,FALSE)</f>
        <v>17</v>
      </c>
      <c r="P69" s="91"/>
      <c r="Q69" s="91">
        <f>VLOOKUP(B69,'[3]牵头需求（当前进行中）'!A:B,2,FALSE)</f>
        <v>3</v>
      </c>
      <c r="R69" s="91">
        <f>VLOOKUP(B69,[3]主管应用系统数量!I:J,2,FALSE)</f>
        <v>1</v>
      </c>
      <c r="S69" s="91">
        <v>0</v>
      </c>
      <c r="T69" s="91"/>
      <c r="U69" s="91"/>
      <c r="V69" s="91"/>
      <c r="W69" s="91" t="s">
        <v>502</v>
      </c>
      <c r="X69" s="120" t="s">
        <v>662</v>
      </c>
      <c r="Y69" s="94" t="s">
        <v>662</v>
      </c>
      <c r="Z69" s="129">
        <v>0.6</v>
      </c>
      <c r="AA69" s="94" t="s">
        <v>663</v>
      </c>
      <c r="AB69" s="129">
        <v>0.4</v>
      </c>
      <c r="AC69" s="94"/>
      <c r="AD69" s="94"/>
      <c r="AE69" s="130" t="s">
        <v>510</v>
      </c>
      <c r="AF69" s="7" t="s">
        <v>263</v>
      </c>
    </row>
    <row r="70" ht="24" hidden="1" spans="1:32">
      <c r="A70" s="88">
        <v>68</v>
      </c>
      <c r="B70" s="98" t="s">
        <v>402</v>
      </c>
      <c r="C70" s="97" t="s">
        <v>54</v>
      </c>
      <c r="D70" s="98" t="s">
        <v>395</v>
      </c>
      <c r="E70" s="92" t="s">
        <v>56</v>
      </c>
      <c r="F70" s="99">
        <v>2</v>
      </c>
      <c r="G70" s="92" t="s">
        <v>57</v>
      </c>
      <c r="H70" s="100" t="s">
        <v>103</v>
      </c>
      <c r="I70" s="114" t="s">
        <v>527</v>
      </c>
      <c r="J70" s="112">
        <f>VLOOKUP(B70,[3]加班情况分析!D:G,4,FALSE)</f>
        <v>2.97170765026087</v>
      </c>
      <c r="K70" s="112" t="b">
        <f>VLOOKUP(B70,[3]加班情况分析!D:H,5,FALSE)</f>
        <v>1</v>
      </c>
      <c r="L70" s="113">
        <f>VLOOKUP(B70,[3]加班情况分析!D:L,6,FALSE)</f>
        <v>2</v>
      </c>
      <c r="M70" s="113">
        <f>VLOOKUP($B70,[3]加班情况分析!$D:$L,7,FALSE)</f>
        <v>15</v>
      </c>
      <c r="N70" s="113">
        <f>VLOOKUP($B70,[3]加班情况分析!$D:$L,8,FALSE)</f>
        <v>28</v>
      </c>
      <c r="O70" s="91">
        <f>VLOOKUP(B70,[3]加班情况分析!D:L,9,FALSE)</f>
        <v>16</v>
      </c>
      <c r="P70" s="91"/>
      <c r="Q70" s="91"/>
      <c r="R70" s="91"/>
      <c r="S70" s="91">
        <v>0</v>
      </c>
      <c r="T70" s="91">
        <f>VLOOKUP(B70,[3]二季度变更任务!A:B,2,FALSE)</f>
        <v>8</v>
      </c>
      <c r="U70" s="91">
        <f>VLOOKUP(B70,[3]三季度变更任务!A:B,2,FALSE)</f>
        <v>3</v>
      </c>
      <c r="V70" s="91">
        <f>VLOOKUP(B70,[3]责任事件及缺陷!A:B,2,FALSE)</f>
        <v>1</v>
      </c>
      <c r="W70" s="91" t="s">
        <v>263</v>
      </c>
      <c r="X70" s="120" t="s">
        <v>578</v>
      </c>
      <c r="Y70" s="94" t="s">
        <v>578</v>
      </c>
      <c r="Z70" s="129">
        <v>1</v>
      </c>
      <c r="AA70" s="94"/>
      <c r="AB70" s="94"/>
      <c r="AC70" s="94"/>
      <c r="AD70" s="94"/>
      <c r="AE70" s="130" t="s">
        <v>510</v>
      </c>
      <c r="AF70" s="7" t="s">
        <v>263</v>
      </c>
    </row>
    <row r="71" ht="57.6" hidden="1" spans="1:32">
      <c r="A71" s="88">
        <v>69</v>
      </c>
      <c r="B71" s="98" t="s">
        <v>403</v>
      </c>
      <c r="C71" s="97" t="s">
        <v>54</v>
      </c>
      <c r="D71" s="98" t="s">
        <v>395</v>
      </c>
      <c r="E71" s="92" t="s">
        <v>68</v>
      </c>
      <c r="F71" s="99">
        <v>1</v>
      </c>
      <c r="G71" s="92" t="s">
        <v>69</v>
      </c>
      <c r="H71" s="100" t="s">
        <v>194</v>
      </c>
      <c r="I71" s="114" t="s">
        <v>527</v>
      </c>
      <c r="J71" s="112">
        <f>VLOOKUP(B71,[3]加班情况分析!D:G,4,FALSE)</f>
        <v>2.97301724138429</v>
      </c>
      <c r="K71" s="112" t="b">
        <f>VLOOKUP(B71,[3]加班情况分析!D:H,5,FALSE)</f>
        <v>1</v>
      </c>
      <c r="L71" s="113">
        <f>VLOOKUP(B71,[3]加班情况分析!D:L,6,FALSE)</f>
        <v>8</v>
      </c>
      <c r="M71" s="113">
        <f>VLOOKUP($B71,[3]加班情况分析!$D:$L,7,FALSE)</f>
        <v>12</v>
      </c>
      <c r="N71" s="113">
        <f>VLOOKUP($B71,[3]加班情况分析!$D:$L,8,FALSE)</f>
        <v>20</v>
      </c>
      <c r="O71" s="91">
        <f>VLOOKUP(B71,[3]加班情况分析!D:L,9,FALSE)</f>
        <v>18</v>
      </c>
      <c r="P71" s="91">
        <f>VLOOKUP(B71,'[3]牵头项目（当前进行中）'!A:B,2,FALSE)</f>
        <v>1</v>
      </c>
      <c r="Q71" s="91">
        <f>VLOOKUP(B71,'[3]牵头需求（当前进行中）'!A:B,2,FALSE)</f>
        <v>2</v>
      </c>
      <c r="R71" s="91"/>
      <c r="S71" s="91">
        <v>7</v>
      </c>
      <c r="T71" s="91">
        <f>VLOOKUP(B71,[3]二季度变更任务!A:B,2,FALSE)</f>
        <v>14</v>
      </c>
      <c r="U71" s="91">
        <f>VLOOKUP(B71,[3]三季度变更任务!A:B,2,FALSE)</f>
        <v>17</v>
      </c>
      <c r="V71" s="91"/>
      <c r="W71" s="91" t="s">
        <v>502</v>
      </c>
      <c r="X71" s="120" t="s">
        <v>664</v>
      </c>
      <c r="Y71" s="120" t="s">
        <v>664</v>
      </c>
      <c r="Z71" s="129">
        <v>1</v>
      </c>
      <c r="AA71" s="94"/>
      <c r="AB71" s="94"/>
      <c r="AC71" s="94"/>
      <c r="AD71" s="94"/>
      <c r="AE71" s="130" t="s">
        <v>510</v>
      </c>
      <c r="AF71" s="7" t="s">
        <v>263</v>
      </c>
    </row>
    <row r="72" ht="28.8" hidden="1" spans="1:32">
      <c r="A72" s="88">
        <v>12</v>
      </c>
      <c r="B72" s="93" t="s">
        <v>106</v>
      </c>
      <c r="C72" s="90" t="s">
        <v>98</v>
      </c>
      <c r="D72" s="91" t="s">
        <v>107</v>
      </c>
      <c r="E72" s="92" t="s">
        <v>56</v>
      </c>
      <c r="F72" s="93">
        <v>5</v>
      </c>
      <c r="G72" s="94" t="s">
        <v>69</v>
      </c>
      <c r="H72" s="95" t="s">
        <v>108</v>
      </c>
      <c r="I72" s="111" t="s">
        <v>59</v>
      </c>
      <c r="J72" s="112">
        <f>VLOOKUP(B72,[3]加班情况分析!D:G,4,FALSE)</f>
        <v>2.00475633529162</v>
      </c>
      <c r="K72" s="112" t="b">
        <f>VLOOKUP(B72,[3]加班情况分析!D:H,5,FALSE)</f>
        <v>0</v>
      </c>
      <c r="L72" s="113">
        <f>VLOOKUP(B72,[3]加班情况分析!D:L,6,FALSE)</f>
        <v>12</v>
      </c>
      <c r="M72" s="113">
        <f>VLOOKUP($B72,[3]加班情况分析!$D:$L,7,FALSE)</f>
        <v>23</v>
      </c>
      <c r="N72" s="113">
        <f>VLOOKUP($B72,[3]加班情况分析!$D:$L,8,FALSE)</f>
        <v>14</v>
      </c>
      <c r="O72" s="91">
        <f>VLOOKUP(B72,[3]加班情况分析!D:L,9,FALSE)</f>
        <v>8</v>
      </c>
      <c r="P72" s="91">
        <f>VLOOKUP(B72,'[3]牵头项目（当前进行中）'!A:B,2,FALSE)</f>
        <v>1</v>
      </c>
      <c r="Q72" s="91"/>
      <c r="R72" s="91">
        <f>VLOOKUP(B72,[3]主管应用系统数量!I:J,2,FALSE)</f>
        <v>1</v>
      </c>
      <c r="S72" s="91">
        <v>5</v>
      </c>
      <c r="T72" s="91"/>
      <c r="U72" s="91"/>
      <c r="V72" s="91"/>
      <c r="W72" s="91" t="s">
        <v>263</v>
      </c>
      <c r="X72" s="120" t="s">
        <v>665</v>
      </c>
      <c r="Y72" s="94" t="s">
        <v>666</v>
      </c>
      <c r="Z72" s="129">
        <v>0.9</v>
      </c>
      <c r="AA72" s="94" t="s">
        <v>667</v>
      </c>
      <c r="AB72" s="129">
        <v>0.1</v>
      </c>
      <c r="AC72" s="94"/>
      <c r="AD72" s="94" t="s">
        <v>352</v>
      </c>
      <c r="AE72" s="130" t="s">
        <v>510</v>
      </c>
      <c r="AF72" s="7" t="s">
        <v>263</v>
      </c>
    </row>
    <row r="73" ht="72" hidden="1" spans="1:32">
      <c r="A73" s="88">
        <v>71</v>
      </c>
      <c r="B73" s="98" t="s">
        <v>406</v>
      </c>
      <c r="C73" s="97" t="s">
        <v>54</v>
      </c>
      <c r="D73" s="98" t="s">
        <v>395</v>
      </c>
      <c r="E73" s="92" t="s">
        <v>68</v>
      </c>
      <c r="F73" s="99">
        <v>4</v>
      </c>
      <c r="G73" s="92" t="s">
        <v>69</v>
      </c>
      <c r="H73" s="100" t="s">
        <v>407</v>
      </c>
      <c r="I73" s="114" t="s">
        <v>527</v>
      </c>
      <c r="J73" s="112">
        <f>VLOOKUP(B73,[3]加班情况分析!D:G,4,FALSE)</f>
        <v>1.2779074074002</v>
      </c>
      <c r="K73" s="112" t="b">
        <f>VLOOKUP(B73,[3]加班情况分析!D:H,5,FALSE)</f>
        <v>0</v>
      </c>
      <c r="L73" s="113">
        <f>VLOOKUP(B73,[3]加班情况分析!D:L,6,FALSE)</f>
        <v>32</v>
      </c>
      <c r="M73" s="113">
        <f>VLOOKUP($B73,[3]加班情况分析!$D:$L,7,FALSE)</f>
        <v>18</v>
      </c>
      <c r="N73" s="113">
        <f>VLOOKUP($B73,[3]加班情况分析!$D:$L,8,FALSE)</f>
        <v>9</v>
      </c>
      <c r="O73" s="91">
        <f>VLOOKUP(B73,[3]加班情况分析!D:L,9,FALSE)</f>
        <v>1</v>
      </c>
      <c r="P73" s="91"/>
      <c r="Q73" s="91">
        <f>VLOOKUP(B73,'[3]牵头需求（当前进行中）'!A:B,2,FALSE)</f>
        <v>3</v>
      </c>
      <c r="R73" s="91"/>
      <c r="S73" s="91">
        <v>1</v>
      </c>
      <c r="T73" s="91"/>
      <c r="U73" s="91"/>
      <c r="V73" s="91"/>
      <c r="W73" s="91" t="s">
        <v>263</v>
      </c>
      <c r="X73" s="120" t="s">
        <v>668</v>
      </c>
      <c r="Y73" s="120" t="s">
        <v>668</v>
      </c>
      <c r="Z73" s="129">
        <v>1</v>
      </c>
      <c r="AA73" s="94"/>
      <c r="AB73" s="94"/>
      <c r="AC73" s="94"/>
      <c r="AD73" s="94"/>
      <c r="AE73" s="130" t="s">
        <v>510</v>
      </c>
      <c r="AF73" s="7" t="s">
        <v>263</v>
      </c>
    </row>
    <row r="74" ht="43.2" hidden="1" spans="1:32">
      <c r="A74" s="88">
        <v>72</v>
      </c>
      <c r="B74" s="98" t="s">
        <v>408</v>
      </c>
      <c r="C74" s="97" t="s">
        <v>54</v>
      </c>
      <c r="D74" s="98" t="s">
        <v>409</v>
      </c>
      <c r="E74" s="92" t="s">
        <v>68</v>
      </c>
      <c r="F74" s="99">
        <v>0</v>
      </c>
      <c r="G74" s="92" t="s">
        <v>69</v>
      </c>
      <c r="H74" s="100" t="s">
        <v>410</v>
      </c>
      <c r="I74" s="114" t="s">
        <v>527</v>
      </c>
      <c r="J74" s="112">
        <f>VLOOKUP(B74,[3]加班情况分析!D:G,4,FALSE)</f>
        <v>1.56365277778338</v>
      </c>
      <c r="K74" s="112" t="b">
        <f>VLOOKUP(B74,[3]加班情况分析!D:H,5,FALSE)</f>
        <v>0</v>
      </c>
      <c r="L74" s="113">
        <f>VLOOKUP(B74,[3]加班情况分析!D:L,6,FALSE)</f>
        <v>24</v>
      </c>
      <c r="M74" s="113">
        <f>VLOOKUP($B74,[3]加班情况分析!$D:$L,7,FALSE)</f>
        <v>17</v>
      </c>
      <c r="N74" s="113">
        <f>VLOOKUP($B74,[3]加班情况分析!$D:$L,8,FALSE)</f>
        <v>18</v>
      </c>
      <c r="O74" s="91">
        <f>VLOOKUP(B74,[3]加班情况分析!D:L,9,FALSE)</f>
        <v>1</v>
      </c>
      <c r="P74" s="91"/>
      <c r="Q74" s="91"/>
      <c r="R74" s="91"/>
      <c r="S74" s="91">
        <v>1</v>
      </c>
      <c r="T74" s="91"/>
      <c r="U74" s="91"/>
      <c r="V74" s="91"/>
      <c r="W74" s="91" t="s">
        <v>515</v>
      </c>
      <c r="X74" s="120" t="s">
        <v>577</v>
      </c>
      <c r="Y74" s="120" t="s">
        <v>577</v>
      </c>
      <c r="Z74" s="129">
        <v>1</v>
      </c>
      <c r="AA74" s="94"/>
      <c r="AB74" s="94"/>
      <c r="AC74" s="94"/>
      <c r="AD74" s="94"/>
      <c r="AE74" s="130" t="s">
        <v>510</v>
      </c>
      <c r="AF74" s="7" t="s">
        <v>263</v>
      </c>
    </row>
    <row r="75" ht="28.8" hidden="1" spans="1:32">
      <c r="A75" s="88">
        <v>73</v>
      </c>
      <c r="B75" s="98" t="s">
        <v>411</v>
      </c>
      <c r="C75" s="97" t="s">
        <v>54</v>
      </c>
      <c r="D75" s="98" t="s">
        <v>409</v>
      </c>
      <c r="E75" s="92" t="s">
        <v>68</v>
      </c>
      <c r="F75" s="99">
        <v>3</v>
      </c>
      <c r="G75" s="92" t="s">
        <v>69</v>
      </c>
      <c r="H75" s="100" t="s">
        <v>154</v>
      </c>
      <c r="I75" s="114" t="s">
        <v>527</v>
      </c>
      <c r="J75" s="112">
        <f>VLOOKUP(B75,[3]加班情况分析!D:G,4,FALSE)</f>
        <v>1.54124999998776</v>
      </c>
      <c r="K75" s="112" t="b">
        <f>VLOOKUP(B75,[3]加班情况分析!D:H,5,FALSE)</f>
        <v>0</v>
      </c>
      <c r="L75" s="113">
        <f>VLOOKUP(B75,[3]加班情况分析!D:L,6,FALSE)</f>
        <v>12</v>
      </c>
      <c r="M75" s="113">
        <f>VLOOKUP($B75,[3]加班情况分析!$D:$L,7,FALSE)</f>
        <v>30</v>
      </c>
      <c r="N75" s="113">
        <f>VLOOKUP($B75,[3]加班情况分析!$D:$L,8,FALSE)</f>
        <v>12</v>
      </c>
      <c r="O75" s="91">
        <f>VLOOKUP(B75,[3]加班情况分析!D:L,9,FALSE)</f>
        <v>0</v>
      </c>
      <c r="P75" s="91"/>
      <c r="Q75" s="91">
        <f>VLOOKUP(B75,'[3]牵头需求（当前进行中）'!A:B,2,FALSE)</f>
        <v>1</v>
      </c>
      <c r="R75" s="91"/>
      <c r="S75" s="91">
        <v>1</v>
      </c>
      <c r="T75" s="91">
        <f>VLOOKUP(B75,[3]二季度变更任务!A:B,2,FALSE)</f>
        <v>7</v>
      </c>
      <c r="U75" s="91">
        <f>VLOOKUP(B75,[3]三季度变更任务!A:B,2,FALSE)</f>
        <v>1</v>
      </c>
      <c r="V75" s="91"/>
      <c r="W75" s="91" t="s">
        <v>263</v>
      </c>
      <c r="X75" s="120" t="s">
        <v>669</v>
      </c>
      <c r="Y75" s="120" t="s">
        <v>669</v>
      </c>
      <c r="Z75" s="129">
        <v>1</v>
      </c>
      <c r="AA75" s="94"/>
      <c r="AB75" s="94"/>
      <c r="AC75" s="94"/>
      <c r="AD75" s="94"/>
      <c r="AE75" s="130" t="s">
        <v>510</v>
      </c>
      <c r="AF75" s="7" t="s">
        <v>263</v>
      </c>
    </row>
    <row r="76" ht="28.8" hidden="1" spans="1:32">
      <c r="A76" s="88">
        <v>74</v>
      </c>
      <c r="B76" s="98" t="s">
        <v>413</v>
      </c>
      <c r="C76" s="97" t="s">
        <v>54</v>
      </c>
      <c r="D76" s="98" t="s">
        <v>409</v>
      </c>
      <c r="E76" s="92" t="s">
        <v>68</v>
      </c>
      <c r="F76" s="99">
        <v>3</v>
      </c>
      <c r="G76" s="92" t="s">
        <v>57</v>
      </c>
      <c r="H76" s="100" t="s">
        <v>325</v>
      </c>
      <c r="I76" s="114" t="s">
        <v>527</v>
      </c>
      <c r="J76" s="112">
        <f>VLOOKUP(B76,[3]加班情况分析!D:G,4,FALSE)</f>
        <v>1.32944444444061</v>
      </c>
      <c r="K76" s="112" t="b">
        <f>VLOOKUP(B76,[3]加班情况分析!D:H,5,FALSE)</f>
        <v>0</v>
      </c>
      <c r="L76" s="113">
        <f>VLOOKUP(B76,[3]加班情况分析!D:L,6,FALSE)</f>
        <v>14</v>
      </c>
      <c r="M76" s="113">
        <f>VLOOKUP($B76,[3]加班情况分析!$D:$L,7,FALSE)</f>
        <v>38</v>
      </c>
      <c r="N76" s="113">
        <f>VLOOKUP($B76,[3]加班情况分析!$D:$L,8,FALSE)</f>
        <v>7</v>
      </c>
      <c r="O76" s="91">
        <f>VLOOKUP(B76,[3]加班情况分析!D:L,9,FALSE)</f>
        <v>2</v>
      </c>
      <c r="P76" s="91"/>
      <c r="Q76" s="91">
        <f>VLOOKUP(B76,'[3]牵头需求（当前进行中）'!A:B,2,FALSE)</f>
        <v>25</v>
      </c>
      <c r="R76" s="91"/>
      <c r="S76" s="91">
        <v>1</v>
      </c>
      <c r="T76" s="91">
        <f>VLOOKUP(B76,[3]二季度变更任务!A:B,2,FALSE)</f>
        <v>10</v>
      </c>
      <c r="U76" s="91">
        <f>VLOOKUP(B76,[3]三季度变更任务!A:B,2,FALSE)</f>
        <v>4</v>
      </c>
      <c r="V76" s="91"/>
      <c r="W76" s="91" t="s">
        <v>263</v>
      </c>
      <c r="X76" s="120" t="s">
        <v>670</v>
      </c>
      <c r="Y76" s="120" t="s">
        <v>670</v>
      </c>
      <c r="Z76" s="129">
        <v>1</v>
      </c>
      <c r="AA76" s="94"/>
      <c r="AB76" s="94"/>
      <c r="AC76" s="94"/>
      <c r="AD76" s="94"/>
      <c r="AE76" s="130" t="s">
        <v>510</v>
      </c>
      <c r="AF76" s="7" t="s">
        <v>263</v>
      </c>
    </row>
    <row r="77" ht="28.8" hidden="1" spans="1:32">
      <c r="A77" s="88">
        <v>75</v>
      </c>
      <c r="B77" s="98" t="s">
        <v>414</v>
      </c>
      <c r="C77" s="97" t="s">
        <v>54</v>
      </c>
      <c r="D77" s="98" t="s">
        <v>409</v>
      </c>
      <c r="E77" s="92" t="s">
        <v>56</v>
      </c>
      <c r="F77" s="99">
        <v>1</v>
      </c>
      <c r="G77" s="92" t="s">
        <v>69</v>
      </c>
      <c r="H77" s="100" t="s">
        <v>137</v>
      </c>
      <c r="I77" s="114" t="s">
        <v>527</v>
      </c>
      <c r="J77" s="112">
        <f>VLOOKUP(B77,[3]加班情况分析!D:G,4,FALSE)</f>
        <v>1.63499551971496</v>
      </c>
      <c r="K77" s="112" t="b">
        <f>VLOOKUP(B77,[3]加班情况分析!D:H,5,FALSE)</f>
        <v>0</v>
      </c>
      <c r="L77" s="113">
        <f>VLOOKUP(B77,[3]加班情况分析!D:L,6,FALSE)</f>
        <v>8</v>
      </c>
      <c r="M77" s="113">
        <f>VLOOKUP($B77,[3]加班情况分析!$D:$L,7,FALSE)</f>
        <v>45</v>
      </c>
      <c r="N77" s="113">
        <f>VLOOKUP($B77,[3]加班情况分析!$D:$L,8,FALSE)</f>
        <v>6</v>
      </c>
      <c r="O77" s="91">
        <f>VLOOKUP(B77,[3]加班情况分析!D:L,9,FALSE)</f>
        <v>3</v>
      </c>
      <c r="P77" s="91"/>
      <c r="Q77" s="91">
        <f>VLOOKUP(B77,'[3]牵头需求（当前进行中）'!A:B,2,FALSE)</f>
        <v>12</v>
      </c>
      <c r="R77" s="91"/>
      <c r="S77" s="91">
        <v>1</v>
      </c>
      <c r="T77" s="91">
        <f>VLOOKUP(B77,[3]二季度变更任务!A:B,2,FALSE)</f>
        <v>11</v>
      </c>
      <c r="U77" s="91">
        <f>VLOOKUP(B77,[3]三季度变更任务!A:B,2,FALSE)</f>
        <v>3</v>
      </c>
      <c r="V77" s="91"/>
      <c r="W77" s="91" t="s">
        <v>263</v>
      </c>
      <c r="X77" s="120" t="s">
        <v>671</v>
      </c>
      <c r="Y77" s="120" t="s">
        <v>671</v>
      </c>
      <c r="Z77" s="129">
        <v>1</v>
      </c>
      <c r="AA77" s="94"/>
      <c r="AB77" s="94"/>
      <c r="AC77" s="94"/>
      <c r="AD77" s="94"/>
      <c r="AE77" s="130" t="s">
        <v>510</v>
      </c>
      <c r="AF77" s="7" t="s">
        <v>263</v>
      </c>
    </row>
    <row r="78" ht="24" hidden="1" spans="1:32">
      <c r="A78" s="88">
        <v>76</v>
      </c>
      <c r="B78" s="98" t="s">
        <v>415</v>
      </c>
      <c r="C78" s="97" t="s">
        <v>54</v>
      </c>
      <c r="D78" s="98" t="s">
        <v>409</v>
      </c>
      <c r="E78" s="92" t="s">
        <v>56</v>
      </c>
      <c r="F78" s="99">
        <v>1</v>
      </c>
      <c r="G78" s="92" t="s">
        <v>69</v>
      </c>
      <c r="H78" s="100" t="s">
        <v>175</v>
      </c>
      <c r="I78" s="114" t="s">
        <v>527</v>
      </c>
      <c r="J78" s="112">
        <f>VLOOKUP(B78,[3]加班情况分析!D:G,4,FALSE)</f>
        <v>1.37168032787053</v>
      </c>
      <c r="K78" s="112" t="b">
        <f>VLOOKUP(B78,[3]加班情况分析!D:H,5,FALSE)</f>
        <v>0</v>
      </c>
      <c r="L78" s="113">
        <f>VLOOKUP(B78,[3]加班情况分析!D:L,6,FALSE)</f>
        <v>18</v>
      </c>
      <c r="M78" s="113">
        <f>VLOOKUP($B78,[3]加班情况分析!$D:$L,7,FALSE)</f>
        <v>39</v>
      </c>
      <c r="N78" s="113">
        <f>VLOOKUP($B78,[3]加班情况分析!$D:$L,8,FALSE)</f>
        <v>3</v>
      </c>
      <c r="O78" s="91">
        <f>VLOOKUP(B78,[3]加班情况分析!D:L,9,FALSE)</f>
        <v>1</v>
      </c>
      <c r="P78" s="91"/>
      <c r="Q78" s="91">
        <f>VLOOKUP(B78,'[3]牵头需求（当前进行中）'!A:B,2,FALSE)</f>
        <v>4</v>
      </c>
      <c r="R78" s="91"/>
      <c r="S78" s="91">
        <v>2</v>
      </c>
      <c r="T78" s="91">
        <f>VLOOKUP(B78,[3]二季度变更任务!A:B,2,FALSE)</f>
        <v>2</v>
      </c>
      <c r="U78" s="91">
        <f>VLOOKUP(B78,[3]三季度变更任务!A:B,2,FALSE)</f>
        <v>1</v>
      </c>
      <c r="V78" s="91"/>
      <c r="W78" s="91" t="s">
        <v>263</v>
      </c>
      <c r="X78" s="120" t="s">
        <v>672</v>
      </c>
      <c r="Y78" s="120" t="s">
        <v>672</v>
      </c>
      <c r="Z78" s="129">
        <v>1</v>
      </c>
      <c r="AA78" s="94"/>
      <c r="AB78" s="94"/>
      <c r="AC78" s="94"/>
      <c r="AD78" s="94"/>
      <c r="AE78" s="130" t="s">
        <v>510</v>
      </c>
      <c r="AF78" s="7" t="s">
        <v>263</v>
      </c>
    </row>
    <row r="79" hidden="1" spans="1:32">
      <c r="A79" s="88">
        <v>77</v>
      </c>
      <c r="B79" s="98" t="s">
        <v>416</v>
      </c>
      <c r="C79" s="97" t="s">
        <v>54</v>
      </c>
      <c r="D79" s="98" t="s">
        <v>409</v>
      </c>
      <c r="E79" s="92" t="s">
        <v>68</v>
      </c>
      <c r="F79" s="99">
        <v>5</v>
      </c>
      <c r="G79" s="92" t="s">
        <v>57</v>
      </c>
      <c r="H79" s="100" t="s">
        <v>235</v>
      </c>
      <c r="I79" s="114" t="s">
        <v>527</v>
      </c>
      <c r="J79" s="112">
        <f>VLOOKUP(B79,[3]加班情况分析!D:G,4,FALSE)</f>
        <v>1.45581056464933</v>
      </c>
      <c r="K79" s="112" t="b">
        <f>VLOOKUP(B79,[3]加班情况分析!D:H,5,FALSE)</f>
        <v>0</v>
      </c>
      <c r="L79" s="113">
        <f>VLOOKUP(B79,[3]加班情况分析!D:L,6,FALSE)</f>
        <v>29</v>
      </c>
      <c r="M79" s="113">
        <f>VLOOKUP($B79,[3]加班情况分析!$D:$L,7,FALSE)</f>
        <v>16</v>
      </c>
      <c r="N79" s="113">
        <f>VLOOKUP($B79,[3]加班情况分析!$D:$L,8,FALSE)</f>
        <v>12</v>
      </c>
      <c r="O79" s="91">
        <f>VLOOKUP(B79,[3]加班情况分析!D:L,9,FALSE)</f>
        <v>4</v>
      </c>
      <c r="P79" s="91"/>
      <c r="Q79" s="91">
        <f>VLOOKUP(B79,'[3]牵头需求（当前进行中）'!A:B,2,FALSE)</f>
        <v>23</v>
      </c>
      <c r="R79" s="91"/>
      <c r="S79" s="91">
        <v>1</v>
      </c>
      <c r="T79" s="91">
        <f>VLOOKUP(B79,[3]二季度变更任务!A:B,2,FALSE)</f>
        <v>9</v>
      </c>
      <c r="U79" s="91">
        <f>VLOOKUP(B79,[3]三季度变更任务!A:B,2,FALSE)</f>
        <v>3</v>
      </c>
      <c r="V79" s="91"/>
      <c r="W79" s="91" t="s">
        <v>263</v>
      </c>
      <c r="X79" s="120" t="s">
        <v>673</v>
      </c>
      <c r="Y79" s="120" t="s">
        <v>673</v>
      </c>
      <c r="Z79" s="129">
        <v>1</v>
      </c>
      <c r="AA79" s="94"/>
      <c r="AB79" s="94"/>
      <c r="AC79" s="94"/>
      <c r="AD79" s="94"/>
      <c r="AE79" s="130" t="s">
        <v>510</v>
      </c>
      <c r="AF79" s="7" t="s">
        <v>263</v>
      </c>
    </row>
    <row r="80" hidden="1" spans="1:32">
      <c r="A80" s="88">
        <v>78</v>
      </c>
      <c r="B80" s="96" t="s">
        <v>417</v>
      </c>
      <c r="C80" s="97" t="s">
        <v>54</v>
      </c>
      <c r="D80" s="98" t="s">
        <v>84</v>
      </c>
      <c r="E80" s="92" t="s">
        <v>56</v>
      </c>
      <c r="F80" s="99">
        <v>1</v>
      </c>
      <c r="G80" s="92" t="s">
        <v>69</v>
      </c>
      <c r="H80" s="100" t="s">
        <v>122</v>
      </c>
      <c r="I80" s="114" t="s">
        <v>527</v>
      </c>
      <c r="J80" s="112">
        <f>VLOOKUP(B80,[3]加班情况分析!D:G,4,FALSE)</f>
        <v>3.31908154122216</v>
      </c>
      <c r="K80" s="112" t="b">
        <f>VLOOKUP(B80,[3]加班情况分析!D:H,5,FALSE)</f>
        <v>1</v>
      </c>
      <c r="L80" s="113">
        <f>VLOOKUP(B80,[3]加班情况分析!D:L,6,FALSE)</f>
        <v>4</v>
      </c>
      <c r="M80" s="113">
        <f>VLOOKUP($B80,[3]加班情况分析!$D:$L,7,FALSE)</f>
        <v>3</v>
      </c>
      <c r="N80" s="113">
        <f>VLOOKUP($B80,[3]加班情况分析!$D:$L,8,FALSE)</f>
        <v>42</v>
      </c>
      <c r="O80" s="91">
        <f>VLOOKUP(B80,[3]加班情况分析!D:L,9,FALSE)</f>
        <v>13</v>
      </c>
      <c r="P80" s="91"/>
      <c r="Q80" s="91">
        <f>VLOOKUP(B80,'[3]牵头需求（当前进行中）'!A:B,2,FALSE)</f>
        <v>12</v>
      </c>
      <c r="R80" s="91"/>
      <c r="S80" s="91">
        <v>2</v>
      </c>
      <c r="T80" s="91">
        <f>VLOOKUP(B80,[3]二季度变更任务!A:B,2,FALSE)</f>
        <v>19</v>
      </c>
      <c r="U80" s="91">
        <f>VLOOKUP(B80,[3]三季度变更任务!A:B,2,FALSE)</f>
        <v>11</v>
      </c>
      <c r="V80" s="91">
        <f>VLOOKUP(B80,[3]责任事件及缺陷!A:B,2,FALSE)</f>
        <v>1</v>
      </c>
      <c r="W80" s="91" t="s">
        <v>502</v>
      </c>
      <c r="X80" s="120" t="s">
        <v>658</v>
      </c>
      <c r="Y80" s="120" t="s">
        <v>658</v>
      </c>
      <c r="Z80" s="129">
        <v>1</v>
      </c>
      <c r="AA80" s="94"/>
      <c r="AB80" s="94"/>
      <c r="AC80" s="94"/>
      <c r="AD80" s="94"/>
      <c r="AE80" s="130" t="s">
        <v>510</v>
      </c>
      <c r="AF80" s="7" t="s">
        <v>502</v>
      </c>
    </row>
    <row r="81" ht="28.8" hidden="1" spans="1:32">
      <c r="A81" s="88">
        <v>79</v>
      </c>
      <c r="B81" s="98" t="s">
        <v>418</v>
      </c>
      <c r="C81" s="97" t="s">
        <v>54</v>
      </c>
      <c r="D81" s="98" t="s">
        <v>84</v>
      </c>
      <c r="E81" s="92" t="s">
        <v>56</v>
      </c>
      <c r="F81" s="99">
        <v>2</v>
      </c>
      <c r="G81" s="92" t="s">
        <v>69</v>
      </c>
      <c r="H81" s="100" t="s">
        <v>419</v>
      </c>
      <c r="I81" s="114" t="s">
        <v>527</v>
      </c>
      <c r="J81" s="112">
        <f>VLOOKUP(B81,[3]加班情况分析!D:G,4,FALSE)</f>
        <v>2.78641165754678</v>
      </c>
      <c r="K81" s="112" t="b">
        <f>VLOOKUP(B81,[3]加班情况分析!D:H,5,FALSE)</f>
        <v>1</v>
      </c>
      <c r="L81" s="113">
        <f>VLOOKUP(B81,[3]加班情况分析!D:L,6,FALSE)</f>
        <v>4</v>
      </c>
      <c r="M81" s="113">
        <f>VLOOKUP($B81,[3]加班情况分析!$D:$L,7,FALSE)</f>
        <v>12</v>
      </c>
      <c r="N81" s="113">
        <f>VLOOKUP($B81,[3]加班情况分析!$D:$L,8,FALSE)</f>
        <v>32</v>
      </c>
      <c r="O81" s="91">
        <f>VLOOKUP(B81,[3]加班情况分析!D:L,9,FALSE)</f>
        <v>13</v>
      </c>
      <c r="P81" s="91"/>
      <c r="Q81" s="91">
        <f>VLOOKUP(B81,'[3]牵头需求（当前进行中）'!A:B,2,FALSE)</f>
        <v>14</v>
      </c>
      <c r="R81" s="91"/>
      <c r="S81" s="91">
        <v>1</v>
      </c>
      <c r="T81" s="91">
        <f>VLOOKUP(B81,[3]二季度变更任务!A:B,2,FALSE)</f>
        <v>3</v>
      </c>
      <c r="U81" s="91">
        <f>VLOOKUP(B81,[3]三季度变更任务!A:B,2,FALSE)</f>
        <v>12</v>
      </c>
      <c r="V81" s="91"/>
      <c r="W81" s="91" t="s">
        <v>502</v>
      </c>
      <c r="X81" s="120" t="s">
        <v>674</v>
      </c>
      <c r="Y81" s="120" t="s">
        <v>674</v>
      </c>
      <c r="Z81" s="129">
        <v>1</v>
      </c>
      <c r="AA81" s="94"/>
      <c r="AB81" s="94"/>
      <c r="AC81" s="94"/>
      <c r="AD81" s="94"/>
      <c r="AE81" s="130" t="s">
        <v>510</v>
      </c>
      <c r="AF81" s="7" t="s">
        <v>502</v>
      </c>
    </row>
    <row r="82" ht="43.2" hidden="1" spans="1:32">
      <c r="A82" s="88">
        <v>80</v>
      </c>
      <c r="B82" s="96" t="s">
        <v>420</v>
      </c>
      <c r="C82" s="97" t="s">
        <v>54</v>
      </c>
      <c r="D82" s="98" t="s">
        <v>84</v>
      </c>
      <c r="E82" s="92" t="s">
        <v>68</v>
      </c>
      <c r="F82" s="99">
        <v>2</v>
      </c>
      <c r="G82" s="92" t="s">
        <v>69</v>
      </c>
      <c r="H82" s="100" t="s">
        <v>421</v>
      </c>
      <c r="I82" s="114" t="s">
        <v>527</v>
      </c>
      <c r="J82" s="112">
        <f>VLOOKUP(B82,[3]加班情况分析!D:G,4,FALSE)</f>
        <v>3.5245277777809</v>
      </c>
      <c r="K82" s="112" t="b">
        <f>VLOOKUP(B82,[3]加班情况分析!D:H,5,FALSE)</f>
        <v>1</v>
      </c>
      <c r="L82" s="113">
        <f>VLOOKUP(B82,[3]加班情况分析!D:L,6,FALSE)</f>
        <v>2</v>
      </c>
      <c r="M82" s="113">
        <f>VLOOKUP($B82,[3]加班情况分析!$D:$L,7,FALSE)</f>
        <v>9</v>
      </c>
      <c r="N82" s="113">
        <f>VLOOKUP($B82,[3]加班情况分析!$D:$L,8,FALSE)</f>
        <v>27</v>
      </c>
      <c r="O82" s="91">
        <f>VLOOKUP(B82,[3]加班情况分析!D:L,9,FALSE)</f>
        <v>22</v>
      </c>
      <c r="P82" s="91"/>
      <c r="Q82" s="91">
        <f>VLOOKUP(B82,'[3]牵头需求（当前进行中）'!A:B,2,FALSE)</f>
        <v>4</v>
      </c>
      <c r="R82" s="91"/>
      <c r="S82" s="91">
        <v>3</v>
      </c>
      <c r="T82" s="91">
        <f>VLOOKUP(B82,[3]二季度变更任务!A:B,2,FALSE)</f>
        <v>8</v>
      </c>
      <c r="U82" s="91">
        <f>VLOOKUP(B82,[3]三季度变更任务!A:B,2,FALSE)</f>
        <v>6</v>
      </c>
      <c r="V82" s="91">
        <f>VLOOKUP(B82,[3]责任事件及缺陷!A:B,2,FALSE)</f>
        <v>1</v>
      </c>
      <c r="W82" s="91" t="s">
        <v>502</v>
      </c>
      <c r="X82" s="120" t="s">
        <v>675</v>
      </c>
      <c r="Y82" s="120" t="s">
        <v>675</v>
      </c>
      <c r="Z82" s="129">
        <v>1</v>
      </c>
      <c r="AA82" s="94"/>
      <c r="AB82" s="94"/>
      <c r="AC82" s="94"/>
      <c r="AD82" s="94"/>
      <c r="AE82" s="130" t="s">
        <v>510</v>
      </c>
      <c r="AF82" s="7" t="s">
        <v>263</v>
      </c>
    </row>
    <row r="83" ht="43.2" hidden="1" spans="1:32">
      <c r="A83" s="88">
        <v>81</v>
      </c>
      <c r="B83" s="98" t="s">
        <v>422</v>
      </c>
      <c r="C83" s="97" t="s">
        <v>54</v>
      </c>
      <c r="D83" s="98" t="s">
        <v>84</v>
      </c>
      <c r="E83" s="92" t="s">
        <v>68</v>
      </c>
      <c r="F83" s="99">
        <v>2</v>
      </c>
      <c r="G83" s="92" t="s">
        <v>69</v>
      </c>
      <c r="H83" s="100" t="s">
        <v>194</v>
      </c>
      <c r="I83" s="114" t="s">
        <v>527</v>
      </c>
      <c r="J83" s="112">
        <f>VLOOKUP(B83,[3]加班情况分析!D:G,4,FALSE)</f>
        <v>2.78553535354916</v>
      </c>
      <c r="K83" s="112" t="b">
        <f>VLOOKUP(B83,[3]加班情况分析!D:H,5,FALSE)</f>
        <v>1</v>
      </c>
      <c r="L83" s="113">
        <f>VLOOKUP(B83,[3]加班情况分析!D:L,6,FALSE)</f>
        <v>2</v>
      </c>
      <c r="M83" s="113">
        <f>VLOOKUP($B83,[3]加班情况分析!$D:$L,7,FALSE)</f>
        <v>10</v>
      </c>
      <c r="N83" s="113">
        <f>VLOOKUP($B83,[3]加班情况分析!$D:$L,8,FALSE)</f>
        <v>34</v>
      </c>
      <c r="O83" s="91">
        <f>VLOOKUP(B83,[3]加班情况分析!D:L,9,FALSE)</f>
        <v>9</v>
      </c>
      <c r="P83" s="91"/>
      <c r="Q83" s="91"/>
      <c r="R83" s="91"/>
      <c r="S83" s="91">
        <v>1</v>
      </c>
      <c r="T83" s="91">
        <f>VLOOKUP(B83,[3]二季度变更任务!A:B,2,FALSE)</f>
        <v>2</v>
      </c>
      <c r="U83" s="91"/>
      <c r="V83" s="91"/>
      <c r="W83" s="91" t="s">
        <v>263</v>
      </c>
      <c r="X83" s="120" t="s">
        <v>676</v>
      </c>
      <c r="Y83" s="120" t="s">
        <v>677</v>
      </c>
      <c r="Z83" s="129">
        <v>1</v>
      </c>
      <c r="AA83" s="94"/>
      <c r="AB83" s="94"/>
      <c r="AC83" s="94"/>
      <c r="AD83" s="94"/>
      <c r="AE83" s="130" t="s">
        <v>510</v>
      </c>
      <c r="AF83" s="7" t="s">
        <v>263</v>
      </c>
    </row>
    <row r="84" ht="28.8" hidden="1" spans="1:32">
      <c r="A84" s="88">
        <v>82</v>
      </c>
      <c r="B84" s="98" t="s">
        <v>423</v>
      </c>
      <c r="C84" s="97" t="s">
        <v>54</v>
      </c>
      <c r="D84" s="98" t="s">
        <v>84</v>
      </c>
      <c r="E84" s="92" t="s">
        <v>68</v>
      </c>
      <c r="F84" s="99">
        <v>2</v>
      </c>
      <c r="G84" s="92" t="s">
        <v>69</v>
      </c>
      <c r="H84" s="100" t="s">
        <v>292</v>
      </c>
      <c r="I84" s="114" t="s">
        <v>527</v>
      </c>
      <c r="J84" s="112">
        <f>VLOOKUP(B84,[3]加班情况分析!D:G,4,FALSE)</f>
        <v>2.38550546449766</v>
      </c>
      <c r="K84" s="112" t="b">
        <f>VLOOKUP(B84,[3]加班情况分析!D:H,5,FALSE)</f>
        <v>0</v>
      </c>
      <c r="L84" s="113">
        <f>VLOOKUP(B84,[3]加班情况分析!D:L,6,FALSE)</f>
        <v>2</v>
      </c>
      <c r="M84" s="113">
        <f>VLOOKUP($B84,[3]加班情况分析!$D:$L,7,FALSE)</f>
        <v>22</v>
      </c>
      <c r="N84" s="113">
        <f>VLOOKUP($B84,[3]加班情况分析!$D:$L,8,FALSE)</f>
        <v>33</v>
      </c>
      <c r="O84" s="91">
        <f>VLOOKUP(B84,[3]加班情况分析!D:L,9,FALSE)</f>
        <v>4</v>
      </c>
      <c r="P84" s="91"/>
      <c r="Q84" s="91">
        <f>VLOOKUP(B84,'[3]牵头需求（当前进行中）'!A:B,2,FALSE)</f>
        <v>1</v>
      </c>
      <c r="R84" s="91"/>
      <c r="S84" s="91">
        <v>1</v>
      </c>
      <c r="T84" s="91"/>
      <c r="U84" s="91"/>
      <c r="V84" s="91"/>
      <c r="W84" s="91" t="s">
        <v>263</v>
      </c>
      <c r="X84" s="120" t="s">
        <v>678</v>
      </c>
      <c r="Y84" s="120" t="s">
        <v>679</v>
      </c>
      <c r="Z84" s="129">
        <v>1</v>
      </c>
      <c r="AA84" s="94"/>
      <c r="AB84" s="94"/>
      <c r="AC84" s="94"/>
      <c r="AD84" s="94"/>
      <c r="AE84" s="130" t="s">
        <v>510</v>
      </c>
      <c r="AF84" s="7" t="s">
        <v>263</v>
      </c>
    </row>
    <row r="85" ht="24" hidden="1" spans="1:32">
      <c r="A85" s="88">
        <v>83</v>
      </c>
      <c r="B85" s="98" t="s">
        <v>424</v>
      </c>
      <c r="C85" s="97" t="s">
        <v>54</v>
      </c>
      <c r="D85" s="98" t="s">
        <v>84</v>
      </c>
      <c r="E85" s="92" t="s">
        <v>56</v>
      </c>
      <c r="F85" s="99">
        <v>2</v>
      </c>
      <c r="G85" s="92" t="s">
        <v>69</v>
      </c>
      <c r="H85" s="100" t="s">
        <v>425</v>
      </c>
      <c r="I85" s="114" t="s">
        <v>527</v>
      </c>
      <c r="J85" s="112">
        <f>VLOOKUP(B85,[3]加班情况分析!D:G,4,FALSE)</f>
        <v>1.84995370371228</v>
      </c>
      <c r="K85" s="112" t="b">
        <f>VLOOKUP(B85,[3]加班情况分析!D:H,5,FALSE)</f>
        <v>0</v>
      </c>
      <c r="L85" s="113">
        <f>VLOOKUP(B85,[3]加班情况分析!D:L,6,FALSE)</f>
        <v>3</v>
      </c>
      <c r="M85" s="113">
        <f>VLOOKUP($B85,[3]加班情况分析!$D:$L,7,FALSE)</f>
        <v>38</v>
      </c>
      <c r="N85" s="113">
        <f>VLOOKUP($B85,[3]加班情况分析!$D:$L,8,FALSE)</f>
        <v>17</v>
      </c>
      <c r="O85" s="91">
        <f>VLOOKUP(B85,[3]加班情况分析!D:L,9,FALSE)</f>
        <v>2</v>
      </c>
      <c r="P85" s="91"/>
      <c r="Q85" s="91">
        <f>VLOOKUP(B85,'[3]牵头需求（当前进行中）'!A:B,2,FALSE)</f>
        <v>2</v>
      </c>
      <c r="R85" s="91"/>
      <c r="S85" s="91">
        <v>1</v>
      </c>
      <c r="T85" s="91">
        <f>VLOOKUP(B85,[3]二季度变更任务!A:B,2,FALSE)</f>
        <v>6</v>
      </c>
      <c r="U85" s="91">
        <f>VLOOKUP(B85,[3]三季度变更任务!A:B,2,FALSE)</f>
        <v>6</v>
      </c>
      <c r="V85" s="91">
        <f>VLOOKUP(B85,[3]责任事件及缺陷!A:B,2,FALSE)</f>
        <v>1</v>
      </c>
      <c r="W85" s="91" t="s">
        <v>263</v>
      </c>
      <c r="X85" s="120" t="s">
        <v>680</v>
      </c>
      <c r="Y85" s="120" t="s">
        <v>680</v>
      </c>
      <c r="Z85" s="129">
        <v>1</v>
      </c>
      <c r="AA85" s="94"/>
      <c r="AB85" s="94"/>
      <c r="AC85" s="94"/>
      <c r="AD85" s="94"/>
      <c r="AE85" s="130" t="s">
        <v>510</v>
      </c>
      <c r="AF85" s="7" t="s">
        <v>263</v>
      </c>
    </row>
    <row r="86" ht="36" hidden="1" spans="1:32">
      <c r="A86" s="88">
        <v>84</v>
      </c>
      <c r="B86" s="98" t="s">
        <v>426</v>
      </c>
      <c r="C86" s="97" t="s">
        <v>54</v>
      </c>
      <c r="D86" s="98" t="s">
        <v>84</v>
      </c>
      <c r="E86" s="92" t="s">
        <v>68</v>
      </c>
      <c r="F86" s="99">
        <v>2</v>
      </c>
      <c r="G86" s="92" t="s">
        <v>69</v>
      </c>
      <c r="H86" s="100" t="s">
        <v>427</v>
      </c>
      <c r="I86" s="114" t="s">
        <v>527</v>
      </c>
      <c r="J86" s="112"/>
      <c r="K86" s="112"/>
      <c r="L86" s="112"/>
      <c r="M86" s="112"/>
      <c r="N86" s="112"/>
      <c r="O86" s="91"/>
      <c r="P86" s="91"/>
      <c r="Q86" s="91">
        <f>VLOOKUP(B86,'[3]牵头需求（当前进行中）'!A:B,2,FALSE)</f>
        <v>1</v>
      </c>
      <c r="R86" s="91"/>
      <c r="S86" s="91">
        <v>1</v>
      </c>
      <c r="T86" s="91">
        <f>VLOOKUP(B86,[3]二季度变更任务!A:B,2,FALSE)</f>
        <v>3</v>
      </c>
      <c r="U86" s="91"/>
      <c r="V86" s="91">
        <f>VLOOKUP(B86,[3]责任事件及缺陷!A:B,2,FALSE)</f>
        <v>1</v>
      </c>
      <c r="W86" s="91" t="s">
        <v>263</v>
      </c>
      <c r="X86" s="120" t="s">
        <v>681</v>
      </c>
      <c r="Y86" s="120" t="s">
        <v>681</v>
      </c>
      <c r="Z86" s="129">
        <v>1</v>
      </c>
      <c r="AA86" s="94"/>
      <c r="AB86" s="94"/>
      <c r="AC86" s="94"/>
      <c r="AD86" s="94"/>
      <c r="AE86" s="130" t="s">
        <v>510</v>
      </c>
      <c r="AF86" s="7" t="s">
        <v>263</v>
      </c>
    </row>
    <row r="87" ht="43.2" hidden="1" spans="1:32">
      <c r="A87" s="88">
        <v>85</v>
      </c>
      <c r="B87" s="98" t="s">
        <v>428</v>
      </c>
      <c r="C87" s="97" t="s">
        <v>54</v>
      </c>
      <c r="D87" s="98" t="s">
        <v>84</v>
      </c>
      <c r="E87" s="92" t="s">
        <v>68</v>
      </c>
      <c r="F87" s="99">
        <v>3</v>
      </c>
      <c r="G87" s="92" t="s">
        <v>69</v>
      </c>
      <c r="H87" s="100" t="s">
        <v>429</v>
      </c>
      <c r="I87" s="114" t="s">
        <v>527</v>
      </c>
      <c r="J87" s="112">
        <f>VLOOKUP(B87,[3]加班情况分析!D:G,4,FALSE)</f>
        <v>2.78639880953207</v>
      </c>
      <c r="K87" s="112" t="b">
        <f>VLOOKUP(B87,[3]加班情况分析!D:H,5,FALSE)</f>
        <v>1</v>
      </c>
      <c r="L87" s="112">
        <f>VLOOKUP(B87,[3]加班情况分析!D:L,6,FALSE)</f>
        <v>3</v>
      </c>
      <c r="M87" s="112">
        <f>VLOOKUP($B87,[3]加班情况分析!$D:$L,7,FALSE)</f>
        <v>9</v>
      </c>
      <c r="N87" s="112">
        <f>VLOOKUP($B87,[3]加班情况分析!$D:$L,8,FALSE)</f>
        <v>36</v>
      </c>
      <c r="O87" s="91">
        <f>VLOOKUP(B87,[3]加班情况分析!D:L,9,FALSE)</f>
        <v>8</v>
      </c>
      <c r="P87" s="91"/>
      <c r="Q87" s="91">
        <f>VLOOKUP(B87,'[3]牵头需求（当前进行中）'!A:B,2,FALSE)</f>
        <v>6</v>
      </c>
      <c r="R87" s="91"/>
      <c r="S87" s="91">
        <v>1</v>
      </c>
      <c r="T87" s="91">
        <f>VLOOKUP(B87,[3]二季度变更任务!A:B,2,FALSE)</f>
        <v>13</v>
      </c>
      <c r="U87" s="91">
        <f>VLOOKUP(B87,[3]三季度变更任务!A:B,2,FALSE)</f>
        <v>11</v>
      </c>
      <c r="V87" s="91">
        <f>VLOOKUP(B87,[3]责任事件及缺陷!A:B,2,FALSE)</f>
        <v>1</v>
      </c>
      <c r="W87" s="91" t="s">
        <v>502</v>
      </c>
      <c r="X87" s="120" t="s">
        <v>682</v>
      </c>
      <c r="Y87" s="120" t="s">
        <v>683</v>
      </c>
      <c r="Z87" s="129">
        <v>1</v>
      </c>
      <c r="AA87" s="94"/>
      <c r="AB87" s="94"/>
      <c r="AC87" s="94"/>
      <c r="AD87" s="94"/>
      <c r="AE87" s="130" t="s">
        <v>510</v>
      </c>
      <c r="AF87" s="7" t="s">
        <v>263</v>
      </c>
    </row>
    <row r="88" ht="28.8" hidden="1" spans="1:32">
      <c r="A88" s="88">
        <v>86</v>
      </c>
      <c r="B88" s="98" t="s">
        <v>430</v>
      </c>
      <c r="C88" s="97" t="s">
        <v>54</v>
      </c>
      <c r="D88" s="98" t="s">
        <v>84</v>
      </c>
      <c r="E88" s="92" t="s">
        <v>68</v>
      </c>
      <c r="F88" s="99">
        <v>2</v>
      </c>
      <c r="G88" s="92" t="s">
        <v>69</v>
      </c>
      <c r="H88" s="100" t="s">
        <v>337</v>
      </c>
      <c r="I88" s="114" t="s">
        <v>527</v>
      </c>
      <c r="J88" s="112">
        <f>VLOOKUP(B88,[3]加班情况分析!D:G,4,FALSE)</f>
        <v>1.93338293651427</v>
      </c>
      <c r="K88" s="112" t="b">
        <f>VLOOKUP(B88,[3]加班情况分析!D:H,5,FALSE)</f>
        <v>0</v>
      </c>
      <c r="L88" s="113">
        <f>VLOOKUP(B88,[3]加班情况分析!D:L,6,FALSE)</f>
        <v>3</v>
      </c>
      <c r="M88" s="113">
        <f>VLOOKUP($B88,[3]加班情况分析!$D:$L,7,FALSE)</f>
        <v>23</v>
      </c>
      <c r="N88" s="113">
        <f>VLOOKUP($B88,[3]加班情况分析!$D:$L,8,FALSE)</f>
        <v>29</v>
      </c>
      <c r="O88" s="91">
        <f>VLOOKUP(B88,[3]加班情况分析!D:L,9,FALSE)</f>
        <v>1</v>
      </c>
      <c r="P88" s="91"/>
      <c r="Q88" s="91">
        <f>VLOOKUP(B88,'[3]牵头需求（当前进行中）'!A:B,2,FALSE)</f>
        <v>2</v>
      </c>
      <c r="R88" s="91"/>
      <c r="S88" s="91">
        <v>1</v>
      </c>
      <c r="T88" s="91">
        <f>VLOOKUP(B88,[3]二季度变更任务!A:B,2,FALSE)</f>
        <v>4</v>
      </c>
      <c r="U88" s="91"/>
      <c r="V88" s="91">
        <f>VLOOKUP(B88,[3]责任事件及缺陷!A:B,2,FALSE)</f>
        <v>1</v>
      </c>
      <c r="W88" s="91" t="s">
        <v>263</v>
      </c>
      <c r="X88" s="120" t="s">
        <v>684</v>
      </c>
      <c r="Y88" s="120" t="s">
        <v>684</v>
      </c>
      <c r="Z88" s="129">
        <v>1</v>
      </c>
      <c r="AA88" s="94"/>
      <c r="AB88" s="94"/>
      <c r="AC88" s="94"/>
      <c r="AD88" s="94"/>
      <c r="AE88" s="130" t="s">
        <v>510</v>
      </c>
      <c r="AF88" s="7" t="s">
        <v>263</v>
      </c>
    </row>
    <row r="89" ht="28.8" hidden="1" spans="1:32">
      <c r="A89" s="88">
        <v>87</v>
      </c>
      <c r="B89" s="98" t="s">
        <v>431</v>
      </c>
      <c r="C89" s="97" t="s">
        <v>54</v>
      </c>
      <c r="D89" s="98" t="s">
        <v>84</v>
      </c>
      <c r="E89" s="92" t="s">
        <v>68</v>
      </c>
      <c r="F89" s="99">
        <v>0</v>
      </c>
      <c r="G89" s="92" t="s">
        <v>69</v>
      </c>
      <c r="H89" s="100" t="s">
        <v>432</v>
      </c>
      <c r="I89" s="114" t="s">
        <v>527</v>
      </c>
      <c r="J89" s="112">
        <f>VLOOKUP(B89,[3]加班情况分析!D:G,4,FALSE)</f>
        <v>1.13697589099087</v>
      </c>
      <c r="K89" s="112" t="b">
        <f>VLOOKUP(B89,[3]加班情况分析!D:H,5,FALSE)</f>
        <v>0</v>
      </c>
      <c r="L89" s="113">
        <f>VLOOKUP(B89,[3]加班情况分析!D:L,6,FALSE)</f>
        <v>30</v>
      </c>
      <c r="M89" s="113">
        <f>VLOOKUP($B89,[3]加班情况分析!$D:$L,7,FALSE)</f>
        <v>15</v>
      </c>
      <c r="N89" s="113">
        <f>VLOOKUP($B89,[3]加班情况分析!$D:$L,8,FALSE)</f>
        <v>7</v>
      </c>
      <c r="O89" s="91">
        <f>VLOOKUP(B89,[3]加班情况分析!D:L,9,FALSE)</f>
        <v>1</v>
      </c>
      <c r="P89" s="91"/>
      <c r="Q89" s="91"/>
      <c r="R89" s="91"/>
      <c r="S89" s="91">
        <v>1</v>
      </c>
      <c r="T89" s="91"/>
      <c r="U89" s="91"/>
      <c r="V89" s="91"/>
      <c r="W89" s="91" t="s">
        <v>515</v>
      </c>
      <c r="X89" s="120" t="s">
        <v>685</v>
      </c>
      <c r="Y89" s="120" t="s">
        <v>685</v>
      </c>
      <c r="Z89" s="129">
        <v>1</v>
      </c>
      <c r="AA89" s="94"/>
      <c r="AB89" s="94"/>
      <c r="AC89" s="94"/>
      <c r="AD89" s="94"/>
      <c r="AE89" s="130" t="s">
        <v>510</v>
      </c>
      <c r="AF89" s="7" t="s">
        <v>263</v>
      </c>
    </row>
    <row r="90" hidden="1" spans="1:32">
      <c r="A90" s="88">
        <v>88</v>
      </c>
      <c r="B90" s="102" t="s">
        <v>433</v>
      </c>
      <c r="C90" s="97" t="s">
        <v>54</v>
      </c>
      <c r="D90" s="98" t="s">
        <v>75</v>
      </c>
      <c r="E90" s="92" t="s">
        <v>68</v>
      </c>
      <c r="F90" s="99">
        <v>3</v>
      </c>
      <c r="G90" s="92" t="s">
        <v>69</v>
      </c>
      <c r="H90" s="100" t="s">
        <v>186</v>
      </c>
      <c r="I90" s="114" t="s">
        <v>527</v>
      </c>
      <c r="J90" s="112">
        <f>VLOOKUP(B90,[3]加班情况分析!D:G,4,FALSE)</f>
        <v>0.346564814806334</v>
      </c>
      <c r="K90" s="112" t="b">
        <f>VLOOKUP(B90,[3]加班情况分析!D:H,5,FALSE)</f>
        <v>0</v>
      </c>
      <c r="L90" s="113">
        <f>VLOOKUP(B90,[3]加班情况分析!D:L,6,FALSE)</f>
        <v>56</v>
      </c>
      <c r="M90" s="113">
        <f>VLOOKUP($B90,[3]加班情况分析!$D:$L,7,FALSE)</f>
        <v>3</v>
      </c>
      <c r="N90" s="113">
        <f>VLOOKUP($B90,[3]加班情况分析!$D:$L,8,FALSE)</f>
        <v>0</v>
      </c>
      <c r="O90" s="91">
        <f>VLOOKUP(B90,[3]加班情况分析!D:L,9,FALSE)</f>
        <v>1</v>
      </c>
      <c r="P90" s="91"/>
      <c r="Q90" s="91">
        <f>VLOOKUP(B90,'[3]牵头需求（当前进行中）'!A:B,2,FALSE)</f>
        <v>3</v>
      </c>
      <c r="R90" s="91"/>
      <c r="S90" s="91">
        <v>0</v>
      </c>
      <c r="T90" s="91">
        <f>VLOOKUP(B90,[3]二季度变更任务!A:B,2,FALSE)</f>
        <v>29</v>
      </c>
      <c r="U90" s="91">
        <f>VLOOKUP(B90,[3]三季度变更任务!A:B,2,FALSE)</f>
        <v>3</v>
      </c>
      <c r="V90" s="91"/>
      <c r="W90" s="91" t="s">
        <v>515</v>
      </c>
      <c r="X90" s="120" t="s">
        <v>686</v>
      </c>
      <c r="Y90" s="76" t="s">
        <v>686</v>
      </c>
      <c r="Z90" s="129">
        <v>1</v>
      </c>
      <c r="AA90" s="94"/>
      <c r="AB90" s="94"/>
      <c r="AC90" s="94"/>
      <c r="AD90" s="94"/>
      <c r="AE90" s="130" t="s">
        <v>510</v>
      </c>
      <c r="AF90" s="7" t="s">
        <v>263</v>
      </c>
    </row>
    <row r="91" ht="24" hidden="1" spans="1:32">
      <c r="A91" s="88">
        <v>89</v>
      </c>
      <c r="B91" s="96" t="s">
        <v>434</v>
      </c>
      <c r="C91" s="97" t="s">
        <v>54</v>
      </c>
      <c r="D91" s="98" t="s">
        <v>75</v>
      </c>
      <c r="E91" s="92" t="s">
        <v>56</v>
      </c>
      <c r="F91" s="99">
        <v>2</v>
      </c>
      <c r="G91" s="92" t="s">
        <v>69</v>
      </c>
      <c r="H91" s="100" t="s">
        <v>118</v>
      </c>
      <c r="I91" s="114" t="s">
        <v>527</v>
      </c>
      <c r="J91" s="112">
        <f>VLOOKUP(B91,[3]加班情况分析!D:G,4,FALSE)</f>
        <v>3.79044802868344</v>
      </c>
      <c r="K91" s="112" t="b">
        <f>VLOOKUP(B91,[3]加班情况分析!D:H,5,FALSE)</f>
        <v>1</v>
      </c>
      <c r="L91" s="112">
        <f>VLOOKUP(B91,[3]加班情况分析!D:L,6,FALSE)</f>
        <v>2</v>
      </c>
      <c r="M91" s="112">
        <f>VLOOKUP($B91,[3]加班情况分析!$D:$L,7,FALSE)</f>
        <v>11</v>
      </c>
      <c r="N91" s="112">
        <f>VLOOKUP($B91,[3]加班情况分析!$D:$L,8,FALSE)</f>
        <v>11</v>
      </c>
      <c r="O91" s="91">
        <f>VLOOKUP(B91,[3]加班情况分析!D:L,9,FALSE)</f>
        <v>38</v>
      </c>
      <c r="P91" s="91"/>
      <c r="Q91" s="91">
        <f>VLOOKUP(B91,'[3]牵头需求（当前进行中）'!A:B,2,FALSE)</f>
        <v>1</v>
      </c>
      <c r="R91" s="91">
        <f>VLOOKUP(B91,[3]主管应用系统数量!I:J,2,FALSE)</f>
        <v>2</v>
      </c>
      <c r="S91" s="91">
        <v>1</v>
      </c>
      <c r="T91" s="91">
        <f>VLOOKUP(B91,[3]二季度变更任务!A:B,2,FALSE)</f>
        <v>3</v>
      </c>
      <c r="U91" s="91">
        <f>VLOOKUP(B91,[3]三季度变更任务!A:B,2,FALSE)</f>
        <v>6</v>
      </c>
      <c r="V91" s="91"/>
      <c r="W91" s="91" t="s">
        <v>502</v>
      </c>
      <c r="X91" s="120" t="s">
        <v>687</v>
      </c>
      <c r="Y91" s="120" t="s">
        <v>688</v>
      </c>
      <c r="Z91" s="129">
        <v>1</v>
      </c>
      <c r="AA91" s="94"/>
      <c r="AB91" s="94"/>
      <c r="AC91" s="94"/>
      <c r="AD91" s="94"/>
      <c r="AE91" s="130" t="s">
        <v>510</v>
      </c>
      <c r="AF91" s="7" t="s">
        <v>263</v>
      </c>
    </row>
    <row r="92" ht="24" hidden="1" spans="1:32">
      <c r="A92" s="88">
        <v>90</v>
      </c>
      <c r="B92" s="96" t="s">
        <v>435</v>
      </c>
      <c r="C92" s="97" t="s">
        <v>54</v>
      </c>
      <c r="D92" s="98" t="s">
        <v>75</v>
      </c>
      <c r="E92" s="92" t="s">
        <v>56</v>
      </c>
      <c r="F92" s="99">
        <v>1</v>
      </c>
      <c r="G92" s="92" t="s">
        <v>69</v>
      </c>
      <c r="H92" s="100" t="s">
        <v>201</v>
      </c>
      <c r="I92" s="114" t="s">
        <v>527</v>
      </c>
      <c r="J92" s="112">
        <f>VLOOKUP(B92,[3]加班情况分析!D:G,4,FALSE)</f>
        <v>3.18540489641847</v>
      </c>
      <c r="K92" s="112" t="b">
        <f>VLOOKUP(B92,[3]加班情况分析!D:H,5,FALSE)</f>
        <v>1</v>
      </c>
      <c r="L92" s="112">
        <f>VLOOKUP(B92,[3]加班情况分析!D:L,6,FALSE)</f>
        <v>4</v>
      </c>
      <c r="M92" s="112">
        <f>VLOOKUP($B92,[3]加班情况分析!$D:$L,7,FALSE)</f>
        <v>18</v>
      </c>
      <c r="N92" s="112">
        <f>VLOOKUP($B92,[3]加班情况分析!$D:$L,8,FALSE)</f>
        <v>17</v>
      </c>
      <c r="O92" s="91">
        <f>VLOOKUP(B92,[3]加班情况分析!D:L,9,FALSE)</f>
        <v>20</v>
      </c>
      <c r="P92" s="91"/>
      <c r="Q92" s="91">
        <f>VLOOKUP(B92,'[3]牵头需求（当前进行中）'!A:B,2,FALSE)</f>
        <v>2</v>
      </c>
      <c r="R92" s="91">
        <f>VLOOKUP(B92,[3]主管应用系统数量!I:J,2,FALSE)</f>
        <v>1</v>
      </c>
      <c r="S92" s="91">
        <v>1</v>
      </c>
      <c r="T92" s="91">
        <f>VLOOKUP(B92,[3]二季度变更任务!A:B,2,FALSE)</f>
        <v>11</v>
      </c>
      <c r="U92" s="91">
        <f>VLOOKUP(B92,[3]三季度变更任务!A:B,2,FALSE)</f>
        <v>64</v>
      </c>
      <c r="V92" s="91"/>
      <c r="W92" s="91" t="s">
        <v>502</v>
      </c>
      <c r="X92" s="120" t="s">
        <v>687</v>
      </c>
      <c r="Y92" s="120" t="s">
        <v>688</v>
      </c>
      <c r="Z92" s="129">
        <v>1</v>
      </c>
      <c r="AA92" s="94"/>
      <c r="AB92" s="94"/>
      <c r="AC92" s="94"/>
      <c r="AD92" s="94"/>
      <c r="AE92" s="130" t="s">
        <v>510</v>
      </c>
      <c r="AF92" s="7" t="s">
        <v>263</v>
      </c>
    </row>
    <row r="93" ht="28.8" hidden="1" spans="1:32">
      <c r="A93" s="88">
        <v>91</v>
      </c>
      <c r="B93" s="98" t="s">
        <v>436</v>
      </c>
      <c r="C93" s="97" t="s">
        <v>54</v>
      </c>
      <c r="D93" s="98" t="s">
        <v>75</v>
      </c>
      <c r="E93" s="92" t="s">
        <v>68</v>
      </c>
      <c r="F93" s="99">
        <v>1</v>
      </c>
      <c r="G93" s="92" t="s">
        <v>69</v>
      </c>
      <c r="H93" s="100" t="s">
        <v>186</v>
      </c>
      <c r="I93" s="114" t="s">
        <v>527</v>
      </c>
      <c r="J93" s="112">
        <f>VLOOKUP(B93,[3]加班情况分析!D:G,4,FALSE)</f>
        <v>2.98881720429598</v>
      </c>
      <c r="K93" s="112" t="b">
        <f>VLOOKUP(B93,[3]加班情况分析!D:H,5,FALSE)</f>
        <v>1</v>
      </c>
      <c r="L93" s="112">
        <f>VLOOKUP(B93,[3]加班情况分析!D:L,6,FALSE)</f>
        <v>13</v>
      </c>
      <c r="M93" s="112">
        <f>VLOOKUP($B93,[3]加班情况分析!$D:$L,7,FALSE)</f>
        <v>9</v>
      </c>
      <c r="N93" s="112">
        <f>VLOOKUP($B93,[3]加班情况分析!$D:$L,8,FALSE)</f>
        <v>11</v>
      </c>
      <c r="O93" s="91">
        <f>VLOOKUP(B93,[3]加班情况分析!D:L,9,FALSE)</f>
        <v>29</v>
      </c>
      <c r="P93" s="91"/>
      <c r="Q93" s="91">
        <f>VLOOKUP(B93,'[3]牵头需求（当前进行中）'!A:B,2,FALSE)</f>
        <v>3</v>
      </c>
      <c r="R93" s="91">
        <f>VLOOKUP(B93,[3]主管应用系统数量!I:J,2,FALSE)</f>
        <v>1</v>
      </c>
      <c r="S93" s="91">
        <v>1</v>
      </c>
      <c r="T93" s="91">
        <f>VLOOKUP(B93,[3]二季度变更任务!A:B,2,FALSE)</f>
        <v>8</v>
      </c>
      <c r="U93" s="91">
        <f>VLOOKUP(B93,[3]三季度变更任务!A:B,2,FALSE)</f>
        <v>6</v>
      </c>
      <c r="V93" s="91"/>
      <c r="W93" s="91" t="s">
        <v>263</v>
      </c>
      <c r="X93" s="120" t="s">
        <v>689</v>
      </c>
      <c r="Y93" s="120" t="s">
        <v>689</v>
      </c>
      <c r="Z93" s="129">
        <v>1</v>
      </c>
      <c r="AA93" s="94"/>
      <c r="AB93" s="94"/>
      <c r="AC93" s="94"/>
      <c r="AD93" s="94"/>
      <c r="AE93" s="130" t="s">
        <v>510</v>
      </c>
      <c r="AF93" s="7" t="s">
        <v>263</v>
      </c>
    </row>
    <row r="94" ht="86.25" hidden="1" customHeight="1" spans="1:32">
      <c r="A94" s="88">
        <v>92</v>
      </c>
      <c r="B94" s="98" t="s">
        <v>466</v>
      </c>
      <c r="C94" s="97" t="s">
        <v>189</v>
      </c>
      <c r="D94" s="98" t="s">
        <v>273</v>
      </c>
      <c r="E94" s="92" t="s">
        <v>56</v>
      </c>
      <c r="F94" s="99">
        <v>9</v>
      </c>
      <c r="G94" s="92" t="s">
        <v>57</v>
      </c>
      <c r="H94" s="100" t="s">
        <v>467</v>
      </c>
      <c r="I94" s="114" t="s">
        <v>527</v>
      </c>
      <c r="J94" s="112">
        <f>VLOOKUP(B94,[3]加班情况分析!D:G,4,FALSE)</f>
        <v>2.60234934087326</v>
      </c>
      <c r="K94" s="112" t="b">
        <f>VLOOKUP(B94,[3]加班情况分析!D:H,5,FALSE)</f>
        <v>1</v>
      </c>
      <c r="L94" s="112">
        <f>VLOOKUP(B94,[3]加班情况分析!D:L,6,FALSE)</f>
        <v>11</v>
      </c>
      <c r="M94" s="112">
        <f>VLOOKUP($B94,[3]加班情况分析!$D:$L,7,FALSE)</f>
        <v>9</v>
      </c>
      <c r="N94" s="112">
        <f>VLOOKUP($B94,[3]加班情况分析!$D:$L,8,FALSE)</f>
        <v>27</v>
      </c>
      <c r="O94" s="91">
        <f>VLOOKUP(B94,[3]加班情况分析!D:L,9,FALSE)</f>
        <v>12</v>
      </c>
      <c r="P94" s="91"/>
      <c r="Q94" s="91"/>
      <c r="R94" s="91"/>
      <c r="S94" s="91">
        <v>0</v>
      </c>
      <c r="T94" s="91"/>
      <c r="U94" s="91"/>
      <c r="V94" s="91"/>
      <c r="W94" s="91"/>
      <c r="X94" s="120" t="s">
        <v>690</v>
      </c>
      <c r="Y94" s="95" t="s">
        <v>691</v>
      </c>
      <c r="Z94" s="94"/>
      <c r="AA94" s="94"/>
      <c r="AB94" s="94"/>
      <c r="AC94" s="94"/>
      <c r="AD94" s="94"/>
      <c r="AE94" s="130"/>
      <c r="AF94" s="7" t="s">
        <v>502</v>
      </c>
    </row>
    <row r="95" ht="57" hidden="1" customHeight="1" spans="1:32">
      <c r="A95" s="88">
        <v>93</v>
      </c>
      <c r="B95" s="98" t="s">
        <v>468</v>
      </c>
      <c r="C95" s="97" t="s">
        <v>189</v>
      </c>
      <c r="D95" s="98" t="s">
        <v>381</v>
      </c>
      <c r="E95" s="92" t="s">
        <v>68</v>
      </c>
      <c r="F95" s="99">
        <v>6</v>
      </c>
      <c r="G95" s="92" t="s">
        <v>69</v>
      </c>
      <c r="H95" s="100" t="s">
        <v>250</v>
      </c>
      <c r="I95" s="114" t="s">
        <v>527</v>
      </c>
      <c r="J95" s="112"/>
      <c r="K95" s="112"/>
      <c r="L95" s="112"/>
      <c r="M95" s="112"/>
      <c r="N95" s="112"/>
      <c r="O95" s="91"/>
      <c r="P95" s="91"/>
      <c r="Q95" s="91"/>
      <c r="R95" s="91"/>
      <c r="S95" s="91">
        <v>0</v>
      </c>
      <c r="T95" s="91"/>
      <c r="U95" s="91"/>
      <c r="V95" s="91"/>
      <c r="W95" s="91" t="s">
        <v>263</v>
      </c>
      <c r="X95" s="120" t="s">
        <v>651</v>
      </c>
      <c r="Y95" s="94"/>
      <c r="Z95" s="94"/>
      <c r="AA95" s="94"/>
      <c r="AB95" s="94"/>
      <c r="AC95" s="94"/>
      <c r="AD95" s="94"/>
      <c r="AE95" s="130"/>
      <c r="AF95" s="7"/>
    </row>
    <row r="96" ht="84" hidden="1" customHeight="1" spans="1:32">
      <c r="A96" s="88">
        <v>94</v>
      </c>
      <c r="B96" s="98" t="s">
        <v>470</v>
      </c>
      <c r="C96" s="97" t="s">
        <v>189</v>
      </c>
      <c r="D96" s="98" t="s">
        <v>197</v>
      </c>
      <c r="E96" s="92" t="s">
        <v>56</v>
      </c>
      <c r="F96" s="99">
        <v>3</v>
      </c>
      <c r="G96" s="92" t="s">
        <v>69</v>
      </c>
      <c r="H96" s="100" t="s">
        <v>471</v>
      </c>
      <c r="I96" s="114" t="s">
        <v>527</v>
      </c>
      <c r="J96" s="112">
        <f>VLOOKUP(B96,[3]加班情况分析!D:G,4,FALSE)</f>
        <v>2.04754629629897</v>
      </c>
      <c r="K96" s="112" t="b">
        <f>VLOOKUP(B96,[3]加班情况分析!D:H,5,FALSE)</f>
        <v>0</v>
      </c>
      <c r="L96" s="113">
        <f>VLOOKUP(B96,[3]加班情况分析!D:L,6,FALSE)</f>
        <v>9</v>
      </c>
      <c r="M96" s="113">
        <f>VLOOKUP($B96,[3]加班情况分析!$D:$L,7,FALSE)</f>
        <v>31</v>
      </c>
      <c r="N96" s="113">
        <f>VLOOKUP($B96,[3]加班情况分析!$D:$L,8,FALSE)</f>
        <v>14</v>
      </c>
      <c r="O96" s="91">
        <f>VLOOKUP(B96,[3]加班情况分析!D:L,9,FALSE)</f>
        <v>6</v>
      </c>
      <c r="P96" s="91"/>
      <c r="Q96" s="91">
        <f>VLOOKUP(B96,'[3]牵头需求（当前进行中）'!A:B,2,FALSE)</f>
        <v>1</v>
      </c>
      <c r="R96" s="91"/>
      <c r="S96" s="91">
        <v>1</v>
      </c>
      <c r="T96" s="91"/>
      <c r="U96" s="91">
        <f>VLOOKUP(B96,[3]三季度变更任务!A:B,2,FALSE)</f>
        <v>1</v>
      </c>
      <c r="V96" s="91"/>
      <c r="W96" s="91" t="s">
        <v>263</v>
      </c>
      <c r="X96" s="120" t="s">
        <v>692</v>
      </c>
      <c r="Y96" s="94" t="s">
        <v>693</v>
      </c>
      <c r="Z96" s="129">
        <v>0.5</v>
      </c>
      <c r="AA96" s="94" t="s">
        <v>694</v>
      </c>
      <c r="AB96" s="129">
        <v>0.3</v>
      </c>
      <c r="AC96" s="94"/>
      <c r="AD96" s="94" t="s">
        <v>553</v>
      </c>
      <c r="AE96" s="130" t="s">
        <v>510</v>
      </c>
      <c r="AF96" s="7" t="s">
        <v>263</v>
      </c>
    </row>
    <row r="97" ht="77.25" hidden="1" customHeight="1" spans="1:32">
      <c r="A97" s="88">
        <v>95</v>
      </c>
      <c r="B97" s="96" t="s">
        <v>472</v>
      </c>
      <c r="C97" s="97" t="s">
        <v>189</v>
      </c>
      <c r="D97" s="98" t="s">
        <v>197</v>
      </c>
      <c r="E97" s="92" t="s">
        <v>56</v>
      </c>
      <c r="F97" s="99">
        <v>1</v>
      </c>
      <c r="G97" s="92" t="s">
        <v>69</v>
      </c>
      <c r="H97" s="100" t="s">
        <v>141</v>
      </c>
      <c r="I97" s="114" t="s">
        <v>527</v>
      </c>
      <c r="J97" s="112">
        <f>VLOOKUP(B97,[3]加班情况分析!D:G,4,FALSE)</f>
        <v>4.5298703703651</v>
      </c>
      <c r="K97" s="112" t="b">
        <f>VLOOKUP(B97,[3]加班情况分析!D:H,5,FALSE)</f>
        <v>1</v>
      </c>
      <c r="L97" s="112">
        <f>VLOOKUP(B97,[3]加班情况分析!D:L,6,FALSE)</f>
        <v>3</v>
      </c>
      <c r="M97" s="112">
        <f>VLOOKUP($B97,[3]加班情况分析!$D:$L,7,FALSE)</f>
        <v>11</v>
      </c>
      <c r="N97" s="112">
        <f>VLOOKUP($B97,[3]加班情况分析!$D:$L,8,FALSE)</f>
        <v>11</v>
      </c>
      <c r="O97" s="91">
        <f>VLOOKUP(B97,[3]加班情况分析!D:L,9,FALSE)</f>
        <v>35</v>
      </c>
      <c r="P97" s="91"/>
      <c r="Q97" s="91"/>
      <c r="R97" s="91">
        <f>VLOOKUP(B97,[3]主管应用系统数量!I:J,2,FALSE)</f>
        <v>1</v>
      </c>
      <c r="S97" s="91">
        <v>2</v>
      </c>
      <c r="T97" s="91">
        <f>VLOOKUP(B97,[3]二季度变更任务!A:B,2,FALSE)</f>
        <v>1</v>
      </c>
      <c r="U97" s="91">
        <f>VLOOKUP(B97,[3]三季度变更任务!A:B,2,FALSE)</f>
        <v>10</v>
      </c>
      <c r="V97" s="91"/>
      <c r="W97" s="91" t="s">
        <v>502</v>
      </c>
      <c r="X97" s="120" t="s">
        <v>695</v>
      </c>
      <c r="Y97" s="94" t="s">
        <v>696</v>
      </c>
      <c r="Z97" s="129">
        <v>0.9</v>
      </c>
      <c r="AA97" s="94" t="s">
        <v>697</v>
      </c>
      <c r="AB97" s="129">
        <v>0.1</v>
      </c>
      <c r="AC97" s="94"/>
      <c r="AD97" s="94" t="s">
        <v>473</v>
      </c>
      <c r="AE97" s="130" t="s">
        <v>506</v>
      </c>
      <c r="AF97" s="7" t="s">
        <v>502</v>
      </c>
    </row>
    <row r="98" ht="28.8" hidden="1" spans="1:32">
      <c r="A98" s="88">
        <v>96</v>
      </c>
      <c r="B98" s="96" t="s">
        <v>473</v>
      </c>
      <c r="C98" s="97" t="s">
        <v>189</v>
      </c>
      <c r="D98" s="98" t="s">
        <v>197</v>
      </c>
      <c r="E98" s="92" t="s">
        <v>56</v>
      </c>
      <c r="F98" s="99">
        <v>1</v>
      </c>
      <c r="G98" s="92" t="s">
        <v>69</v>
      </c>
      <c r="H98" s="100" t="s">
        <v>398</v>
      </c>
      <c r="I98" s="114" t="s">
        <v>527</v>
      </c>
      <c r="J98" s="112">
        <f>VLOOKUP(B98,[3]加班情况分析!D:G,4,FALSE)</f>
        <v>4.03545833333531</v>
      </c>
      <c r="K98" s="112" t="b">
        <f>VLOOKUP(B98,[3]加班情况分析!D:H,5,FALSE)</f>
        <v>1</v>
      </c>
      <c r="L98" s="112">
        <f>VLOOKUP(B98,[3]加班情况分析!D:L,6,FALSE)</f>
        <v>6</v>
      </c>
      <c r="M98" s="112">
        <f>VLOOKUP($B98,[3]加班情况分析!$D:$L,7,FALSE)</f>
        <v>4</v>
      </c>
      <c r="N98" s="112">
        <f>VLOOKUP($B98,[3]加班情况分析!$D:$L,8,FALSE)</f>
        <v>16</v>
      </c>
      <c r="O98" s="91">
        <f>VLOOKUP(B98,[3]加班情况分析!D:L,9,FALSE)</f>
        <v>34</v>
      </c>
      <c r="P98" s="91"/>
      <c r="Q98" s="91">
        <f>VLOOKUP(B98,'[3]牵头需求（当前进行中）'!A:B,2,FALSE)</f>
        <v>7</v>
      </c>
      <c r="R98" s="91"/>
      <c r="S98" s="91">
        <v>1</v>
      </c>
      <c r="T98" s="91">
        <f>VLOOKUP(B98,[3]二季度变更任务!A:B,2,FALSE)</f>
        <v>3</v>
      </c>
      <c r="U98" s="91">
        <f>VLOOKUP(B98,[3]三季度变更任务!A:B,2,FALSE)</f>
        <v>7</v>
      </c>
      <c r="V98" s="91"/>
      <c r="W98" s="91" t="s">
        <v>502</v>
      </c>
      <c r="X98" s="120" t="s">
        <v>695</v>
      </c>
      <c r="Y98" s="94" t="s">
        <v>696</v>
      </c>
      <c r="Z98" s="129">
        <v>0.7</v>
      </c>
      <c r="AA98" s="94" t="s">
        <v>698</v>
      </c>
      <c r="AB98" s="129">
        <v>0.3</v>
      </c>
      <c r="AC98" s="94"/>
      <c r="AD98" s="94" t="s">
        <v>472</v>
      </c>
      <c r="AE98" s="130" t="s">
        <v>506</v>
      </c>
      <c r="AF98" s="7" t="s">
        <v>502</v>
      </c>
    </row>
    <row r="99" ht="59.25" hidden="1" customHeight="1" spans="1:33">
      <c r="A99" s="88">
        <v>97</v>
      </c>
      <c r="B99" s="102" t="s">
        <v>474</v>
      </c>
      <c r="C99" s="97" t="s">
        <v>189</v>
      </c>
      <c r="D99" s="98" t="s">
        <v>197</v>
      </c>
      <c r="E99" s="92" t="s">
        <v>68</v>
      </c>
      <c r="F99" s="99">
        <v>1</v>
      </c>
      <c r="G99" s="92" t="s">
        <v>69</v>
      </c>
      <c r="H99" s="100" t="s">
        <v>157</v>
      </c>
      <c r="I99" s="114" t="s">
        <v>527</v>
      </c>
      <c r="J99" s="112">
        <f>VLOOKUP(B99,[3]加班情况分析!D:G,4,FALSE)</f>
        <v>0.91328625236263</v>
      </c>
      <c r="K99" s="112" t="b">
        <f>VLOOKUP(B99,[3]加班情况分析!D:H,5,FALSE)</f>
        <v>0</v>
      </c>
      <c r="L99" s="113">
        <f>VLOOKUP(B99,[3]加班情况分析!D:L,6,FALSE)</f>
        <v>46</v>
      </c>
      <c r="M99" s="113">
        <f>VLOOKUP($B99,[3]加班情况分析!$D:$L,7,FALSE)</f>
        <v>8</v>
      </c>
      <c r="N99" s="113">
        <f>VLOOKUP($B99,[3]加班情况分析!$D:$L,8,FALSE)</f>
        <v>3</v>
      </c>
      <c r="O99" s="91">
        <f>VLOOKUP(B99,[3]加班情况分析!D:L,9,FALSE)</f>
        <v>2</v>
      </c>
      <c r="P99" s="91"/>
      <c r="Q99" s="91"/>
      <c r="R99" s="91"/>
      <c r="S99" s="91">
        <v>0</v>
      </c>
      <c r="T99" s="91"/>
      <c r="U99" s="91"/>
      <c r="V99" s="91"/>
      <c r="W99" s="91" t="s">
        <v>699</v>
      </c>
      <c r="X99" s="120" t="s">
        <v>700</v>
      </c>
      <c r="Y99" s="94" t="s">
        <v>700</v>
      </c>
      <c r="Z99" s="129">
        <v>0.1</v>
      </c>
      <c r="AA99" s="94" t="s">
        <v>701</v>
      </c>
      <c r="AB99" s="129">
        <v>0.5</v>
      </c>
      <c r="AC99" s="94"/>
      <c r="AD99" s="94" t="s">
        <v>553</v>
      </c>
      <c r="AE99" s="130" t="s">
        <v>510</v>
      </c>
      <c r="AF99" s="7" t="s">
        <v>515</v>
      </c>
      <c r="AG99" t="s">
        <v>702</v>
      </c>
    </row>
    <row r="100" ht="28.8" hidden="1" spans="1:32">
      <c r="A100" s="88">
        <v>98</v>
      </c>
      <c r="B100" s="103" t="s">
        <v>475</v>
      </c>
      <c r="C100" s="97" t="s">
        <v>189</v>
      </c>
      <c r="D100" s="98" t="s">
        <v>476</v>
      </c>
      <c r="E100" s="92" t="s">
        <v>68</v>
      </c>
      <c r="F100" s="99">
        <v>0</v>
      </c>
      <c r="G100" s="92" t="s">
        <v>69</v>
      </c>
      <c r="H100" s="100" t="s">
        <v>477</v>
      </c>
      <c r="I100" s="114" t="s">
        <v>527</v>
      </c>
      <c r="J100" s="112">
        <f>VLOOKUP(B100,[3]加班情况分析!D:G,4,FALSE)</f>
        <v>1.96525089606275</v>
      </c>
      <c r="K100" s="112" t="b">
        <f>VLOOKUP(B100,[3]加班情况分析!D:H,5,FALSE)</f>
        <v>0</v>
      </c>
      <c r="L100" s="113">
        <f>VLOOKUP(B100,[3]加班情况分析!D:L,6,FALSE)</f>
        <v>6</v>
      </c>
      <c r="M100" s="113">
        <f>VLOOKUP($B100,[3]加班情况分析!$D:$L,7,FALSE)</f>
        <v>33</v>
      </c>
      <c r="N100" s="113">
        <f>VLOOKUP($B100,[3]加班情况分析!$D:$L,8,FALSE)</f>
        <v>20</v>
      </c>
      <c r="O100" s="91">
        <f>VLOOKUP(B100,[3]加班情况分析!D:L,9,FALSE)</f>
        <v>3</v>
      </c>
      <c r="P100" s="91"/>
      <c r="Q100" s="91">
        <f>VLOOKUP(B100,'[3]牵头需求（当前进行中）'!A:B,2,FALSE)</f>
        <v>1</v>
      </c>
      <c r="R100" s="91"/>
      <c r="S100" s="91">
        <v>1</v>
      </c>
      <c r="T100" s="91"/>
      <c r="U100" s="91"/>
      <c r="V100" s="91"/>
      <c r="W100" s="91" t="s">
        <v>502</v>
      </c>
      <c r="X100" s="120" t="s">
        <v>695</v>
      </c>
      <c r="Y100" s="94" t="s">
        <v>696</v>
      </c>
      <c r="Z100" s="129">
        <v>0.7</v>
      </c>
      <c r="AA100" s="94" t="s">
        <v>698</v>
      </c>
      <c r="AB100" s="129">
        <v>0.3</v>
      </c>
      <c r="AC100" s="94"/>
      <c r="AD100" s="94" t="s">
        <v>703</v>
      </c>
      <c r="AE100" s="130" t="s">
        <v>510</v>
      </c>
      <c r="AF100" s="7" t="s">
        <v>502</v>
      </c>
    </row>
    <row r="101" ht="72.75" hidden="1" customHeight="1" spans="1:32">
      <c r="A101" s="88">
        <v>99</v>
      </c>
      <c r="B101" s="98" t="s">
        <v>478</v>
      </c>
      <c r="C101" s="97" t="s">
        <v>189</v>
      </c>
      <c r="D101" s="98" t="s">
        <v>197</v>
      </c>
      <c r="E101" s="133"/>
      <c r="F101" s="99" t="e">
        <v>#N/A</v>
      </c>
      <c r="G101" s="134"/>
      <c r="H101" s="135"/>
      <c r="I101" s="114" t="s">
        <v>527</v>
      </c>
      <c r="J101" s="112">
        <f>VLOOKUP(B101,[3]加班情况分析!D:G,4,FALSE)</f>
        <v>2.56414444444701</v>
      </c>
      <c r="K101" s="112" t="b">
        <f>VLOOKUP(B101,[3]加班情况分析!D:H,5,FALSE)</f>
        <v>1</v>
      </c>
      <c r="L101" s="112">
        <f>VLOOKUP(B101,[3]加班情况分析!D:L,6,FALSE)</f>
        <v>2</v>
      </c>
      <c r="M101" s="112">
        <f>VLOOKUP($B101,[3]加班情况分析!$D:$L,7,FALSE)</f>
        <v>5</v>
      </c>
      <c r="N101" s="112">
        <f>VLOOKUP($B101,[3]加班情况分析!$D:$L,8,FALSE)</f>
        <v>17</v>
      </c>
      <c r="O101" s="91">
        <f>VLOOKUP(B101,[3]加班情况分析!D:L,9,FALSE)</f>
        <v>1</v>
      </c>
      <c r="P101" s="91"/>
      <c r="Q101" s="91"/>
      <c r="R101" s="91"/>
      <c r="S101" s="91">
        <v>1</v>
      </c>
      <c r="T101" s="91"/>
      <c r="U101" s="91"/>
      <c r="V101" s="91"/>
      <c r="W101" s="91" t="s">
        <v>263</v>
      </c>
      <c r="X101" s="120" t="s">
        <v>704</v>
      </c>
      <c r="Y101" s="95" t="s">
        <v>705</v>
      </c>
      <c r="Z101" s="129">
        <v>0.7</v>
      </c>
      <c r="AA101" s="94" t="s">
        <v>706</v>
      </c>
      <c r="AB101" s="129">
        <v>0.3</v>
      </c>
      <c r="AC101" s="94"/>
      <c r="AD101" s="94" t="s">
        <v>553</v>
      </c>
      <c r="AE101" s="130" t="s">
        <v>510</v>
      </c>
      <c r="AF101" s="7" t="s">
        <v>263</v>
      </c>
    </row>
    <row r="102" ht="60.75" hidden="1" customHeight="1" spans="1:32">
      <c r="A102" s="88">
        <v>100</v>
      </c>
      <c r="B102" s="98" t="s">
        <v>479</v>
      </c>
      <c r="C102" s="97" t="s">
        <v>189</v>
      </c>
      <c r="D102" s="98" t="s">
        <v>190</v>
      </c>
      <c r="E102" s="92" t="s">
        <v>56</v>
      </c>
      <c r="F102" s="99">
        <v>3</v>
      </c>
      <c r="G102" s="92" t="s">
        <v>69</v>
      </c>
      <c r="H102" s="100" t="s">
        <v>337</v>
      </c>
      <c r="I102" s="114" t="s">
        <v>527</v>
      </c>
      <c r="J102" s="112">
        <f>VLOOKUP(B102,[3]加班情况分析!D:G,4,FALSE)</f>
        <v>2.63681481483509</v>
      </c>
      <c r="K102" s="112" t="b">
        <f>VLOOKUP(B102,[3]加班情况分析!D:H,5,FALSE)</f>
        <v>1</v>
      </c>
      <c r="L102" s="112">
        <f>VLOOKUP(B102,[3]加班情况分析!D:L,6,FALSE)</f>
        <v>0</v>
      </c>
      <c r="M102" s="112">
        <f>VLOOKUP($B102,[3]加班情况分析!$D:$L,7,FALSE)</f>
        <v>11</v>
      </c>
      <c r="N102" s="112">
        <f>VLOOKUP($B102,[3]加班情况分析!$D:$L,8,FALSE)</f>
        <v>45</v>
      </c>
      <c r="O102" s="91">
        <f>VLOOKUP(B102,[3]加班情况分析!D:L,9,FALSE)</f>
        <v>4</v>
      </c>
      <c r="P102" s="91">
        <f>VLOOKUP(B102,'[3]牵头项目（当前进行中）'!A:B,2,FALSE)</f>
        <v>1</v>
      </c>
      <c r="Q102" s="91">
        <f>VLOOKUP(B102,'[3]牵头需求（当前进行中）'!A:B,2,FALSE)</f>
        <v>1</v>
      </c>
      <c r="R102" s="91">
        <f>VLOOKUP(B102,[3]主管应用系统数量!I:J,2,FALSE)</f>
        <v>1</v>
      </c>
      <c r="S102" s="91">
        <v>3</v>
      </c>
      <c r="T102" s="91">
        <f>VLOOKUP(B102,[3]二季度变更任务!A:B,2,FALSE)</f>
        <v>2</v>
      </c>
      <c r="U102" s="91">
        <f>VLOOKUP(B102,[3]三季度变更任务!A:B,2,FALSE)</f>
        <v>2</v>
      </c>
      <c r="V102" s="91"/>
      <c r="W102" s="91" t="s">
        <v>502</v>
      </c>
      <c r="X102" s="120" t="s">
        <v>707</v>
      </c>
      <c r="Y102" s="94" t="s">
        <v>708</v>
      </c>
      <c r="Z102" s="129">
        <v>0.7</v>
      </c>
      <c r="AA102" s="94" t="s">
        <v>709</v>
      </c>
      <c r="AB102" s="129">
        <v>0.3</v>
      </c>
      <c r="AC102" s="94"/>
      <c r="AD102" s="94" t="s">
        <v>553</v>
      </c>
      <c r="AE102" s="130" t="s">
        <v>510</v>
      </c>
      <c r="AF102" s="7" t="s">
        <v>502</v>
      </c>
    </row>
    <row r="103" ht="72.75" hidden="1" customHeight="1" spans="1:32">
      <c r="A103" s="88">
        <v>101</v>
      </c>
      <c r="B103" s="98" t="s">
        <v>481</v>
      </c>
      <c r="C103" s="97" t="s">
        <v>189</v>
      </c>
      <c r="D103" s="98" t="s">
        <v>190</v>
      </c>
      <c r="E103" s="92" t="s">
        <v>68</v>
      </c>
      <c r="F103" s="99">
        <v>2</v>
      </c>
      <c r="G103" s="92" t="s">
        <v>69</v>
      </c>
      <c r="H103" s="100" t="s">
        <v>325</v>
      </c>
      <c r="I103" s="114" t="s">
        <v>527</v>
      </c>
      <c r="J103" s="112">
        <f>VLOOKUP(B103,[3]加班情况分析!D:G,4,FALSE)</f>
        <v>1.16506830601548</v>
      </c>
      <c r="K103" s="112" t="b">
        <f>VLOOKUP(B103,[3]加班情况分析!D:H,5,FALSE)</f>
        <v>0</v>
      </c>
      <c r="L103" s="113">
        <f>VLOOKUP(B103,[3]加班情况分析!D:L,6,FALSE)</f>
        <v>28</v>
      </c>
      <c r="M103" s="113">
        <f>VLOOKUP($B103,[3]加班情况分析!$D:$L,7,FALSE)</f>
        <v>28</v>
      </c>
      <c r="N103" s="113">
        <f>VLOOKUP($B103,[3]加班情况分析!$D:$L,8,FALSE)</f>
        <v>3</v>
      </c>
      <c r="O103" s="91">
        <f>VLOOKUP(B103,[3]加班情况分析!D:L,9,FALSE)</f>
        <v>2</v>
      </c>
      <c r="P103" s="91">
        <f>VLOOKUP(B103,'[3]牵头项目（当前进行中）'!A:B,2,FALSE)</f>
        <v>1</v>
      </c>
      <c r="Q103" s="91">
        <f>VLOOKUP(B103,'[3]牵头需求（当前进行中）'!A:B,2,FALSE)</f>
        <v>2</v>
      </c>
      <c r="R103" s="91">
        <f>VLOOKUP(B103,[3]主管应用系统数量!I:J,2,FALSE)</f>
        <v>1</v>
      </c>
      <c r="S103" s="91">
        <v>3</v>
      </c>
      <c r="T103" s="91">
        <f>VLOOKUP(B103,[3]二季度变更任务!A:B,2,FALSE)</f>
        <v>8</v>
      </c>
      <c r="U103" s="91">
        <f>VLOOKUP(B103,[3]三季度变更任务!A:B,2,FALSE)</f>
        <v>1</v>
      </c>
      <c r="V103" s="91"/>
      <c r="W103" s="91" t="s">
        <v>263</v>
      </c>
      <c r="X103" s="120" t="s">
        <v>710</v>
      </c>
      <c r="Y103" s="94" t="s">
        <v>711</v>
      </c>
      <c r="Z103" s="129">
        <v>0.6</v>
      </c>
      <c r="AA103" s="94" t="s">
        <v>712</v>
      </c>
      <c r="AB103" s="129">
        <v>0.4</v>
      </c>
      <c r="AC103" s="94"/>
      <c r="AD103" s="94" t="s">
        <v>553</v>
      </c>
      <c r="AE103" s="130" t="s">
        <v>510</v>
      </c>
      <c r="AF103" s="7" t="s">
        <v>263</v>
      </c>
    </row>
    <row r="104" ht="84" hidden="1" customHeight="1" spans="1:33">
      <c r="A104" s="88">
        <v>102</v>
      </c>
      <c r="B104" s="98" t="s">
        <v>482</v>
      </c>
      <c r="C104" s="97" t="s">
        <v>189</v>
      </c>
      <c r="D104" s="98" t="s">
        <v>476</v>
      </c>
      <c r="E104" s="92" t="s">
        <v>56</v>
      </c>
      <c r="F104" s="99">
        <v>2</v>
      </c>
      <c r="G104" s="92" t="s">
        <v>69</v>
      </c>
      <c r="H104" s="100" t="s">
        <v>81</v>
      </c>
      <c r="I104" s="114" t="s">
        <v>527</v>
      </c>
      <c r="J104" s="112">
        <f>VLOOKUP(B104,[3]加班情况分析!D:G,4,FALSE)</f>
        <v>2.23449453551009</v>
      </c>
      <c r="K104" s="112" t="b">
        <f>VLOOKUP(B104,[3]加班情况分析!D:H,5,FALSE)</f>
        <v>1</v>
      </c>
      <c r="L104" s="112">
        <f>VLOOKUP(B104,[3]加班情况分析!D:L,6,FALSE)</f>
        <v>15</v>
      </c>
      <c r="M104" s="112">
        <f>VLOOKUP($B104,[3]加班情况分析!$D:$L,7,FALSE)</f>
        <v>15</v>
      </c>
      <c r="N104" s="112">
        <f>VLOOKUP($B104,[3]加班情况分析!$D:$L,8,FALSE)</f>
        <v>23</v>
      </c>
      <c r="O104" s="91">
        <f>VLOOKUP(B104,[3]加班情况分析!D:L,9,FALSE)</f>
        <v>8</v>
      </c>
      <c r="P104" s="91">
        <f>VLOOKUP(B104,'[3]牵头项目（当前进行中）'!A:B,2,FALSE)</f>
        <v>1</v>
      </c>
      <c r="Q104" s="91"/>
      <c r="R104" s="91">
        <f>VLOOKUP(B104,[3]主管应用系统数量!I:J,2,FALSE)</f>
        <v>1</v>
      </c>
      <c r="S104" s="91">
        <v>3</v>
      </c>
      <c r="T104" s="91"/>
      <c r="U104" s="91">
        <f>VLOOKUP(B104,[3]三季度变更任务!A:B,2,FALSE)</f>
        <v>1</v>
      </c>
      <c r="V104" s="91"/>
      <c r="W104" s="91" t="s">
        <v>699</v>
      </c>
      <c r="X104" s="120" t="s">
        <v>713</v>
      </c>
      <c r="Y104" s="94" t="s">
        <v>555</v>
      </c>
      <c r="Z104" s="129">
        <v>0.5</v>
      </c>
      <c r="AA104" s="94" t="s">
        <v>714</v>
      </c>
      <c r="AB104" s="129">
        <v>0.5</v>
      </c>
      <c r="AC104" s="94"/>
      <c r="AD104" s="94" t="s">
        <v>553</v>
      </c>
      <c r="AE104" s="130" t="s">
        <v>506</v>
      </c>
      <c r="AF104" s="7" t="s">
        <v>515</v>
      </c>
      <c r="AG104" t="s">
        <v>699</v>
      </c>
    </row>
    <row r="105" ht="78.75" hidden="1" customHeight="1" spans="1:32">
      <c r="A105" s="88">
        <v>103</v>
      </c>
      <c r="B105" s="98" t="s">
        <v>483</v>
      </c>
      <c r="C105" s="97" t="s">
        <v>189</v>
      </c>
      <c r="D105" s="98" t="s">
        <v>476</v>
      </c>
      <c r="E105" s="92" t="s">
        <v>68</v>
      </c>
      <c r="F105" s="99">
        <v>2</v>
      </c>
      <c r="G105" s="92" t="s">
        <v>69</v>
      </c>
      <c r="H105" s="100" t="s">
        <v>183</v>
      </c>
      <c r="I105" s="114" t="s">
        <v>527</v>
      </c>
      <c r="J105" s="112">
        <f>VLOOKUP(B105,[3]加班情况分析!D:G,4,FALSE)</f>
        <v>2.18163082436208</v>
      </c>
      <c r="K105" s="112" t="b">
        <f>VLOOKUP(B105,[3]加班情况分析!D:H,5,FALSE)</f>
        <v>1</v>
      </c>
      <c r="L105" s="112">
        <f>VLOOKUP(B105,[3]加班情况分析!D:L,6,FALSE)</f>
        <v>6</v>
      </c>
      <c r="M105" s="112">
        <f>VLOOKUP($B105,[3]加班情况分析!$D:$L,7,FALSE)</f>
        <v>33</v>
      </c>
      <c r="N105" s="112">
        <f>VLOOKUP($B105,[3]加班情况分析!$D:$L,8,FALSE)</f>
        <v>19</v>
      </c>
      <c r="O105" s="91">
        <f>VLOOKUP(B105,[3]加班情况分析!D:L,9,FALSE)</f>
        <v>4</v>
      </c>
      <c r="P105" s="91"/>
      <c r="Q105" s="91">
        <f>VLOOKUP(B105,'[3]牵头需求（当前进行中）'!A:B,2,FALSE)</f>
        <v>1</v>
      </c>
      <c r="R105" s="91"/>
      <c r="S105" s="91">
        <v>1</v>
      </c>
      <c r="T105" s="91"/>
      <c r="U105" s="91"/>
      <c r="V105" s="91"/>
      <c r="W105" s="91" t="s">
        <v>263</v>
      </c>
      <c r="X105" s="120" t="s">
        <v>715</v>
      </c>
      <c r="Y105" s="94" t="s">
        <v>716</v>
      </c>
      <c r="Z105" s="129"/>
      <c r="AA105" s="94" t="s">
        <v>717</v>
      </c>
      <c r="AB105" s="129"/>
      <c r="AC105" s="94"/>
      <c r="AD105" s="94"/>
      <c r="AE105" s="130"/>
      <c r="AF105" s="7"/>
    </row>
    <row r="106" ht="60.75" hidden="1" customHeight="1" spans="1:32">
      <c r="A106" s="88">
        <v>104</v>
      </c>
      <c r="B106" s="102" t="s">
        <v>484</v>
      </c>
      <c r="C106" s="97" t="s">
        <v>189</v>
      </c>
      <c r="D106" s="98" t="s">
        <v>476</v>
      </c>
      <c r="E106" s="92" t="s">
        <v>56</v>
      </c>
      <c r="F106" s="99">
        <v>21</v>
      </c>
      <c r="G106" s="92" t="s">
        <v>69</v>
      </c>
      <c r="H106" s="100" t="s">
        <v>485</v>
      </c>
      <c r="I106" s="114" t="s">
        <v>527</v>
      </c>
      <c r="J106" s="112">
        <f>VLOOKUP(B106,[3]加班情况分析!D:G,4,FALSE)</f>
        <v>0.631701388847432</v>
      </c>
      <c r="K106" s="112" t="b">
        <f>VLOOKUP(B106,[3]加班情况分析!D:H,5,FALSE)</f>
        <v>0</v>
      </c>
      <c r="L106" s="113">
        <f>VLOOKUP(B106,[3]加班情况分析!D:L,6,FALSE)</f>
        <v>16</v>
      </c>
      <c r="M106" s="113">
        <f>VLOOKUP($B106,[3]加班情况分析!$D:$L,7,FALSE)</f>
        <v>0</v>
      </c>
      <c r="N106" s="113">
        <f>VLOOKUP($B106,[3]加班情况分析!$D:$L,8,FALSE)</f>
        <v>0</v>
      </c>
      <c r="O106" s="91">
        <f>VLOOKUP(B106,[3]加班情况分析!D:L,9,FALSE)</f>
        <v>0</v>
      </c>
      <c r="P106" s="91"/>
      <c r="Q106" s="91"/>
      <c r="R106" s="91"/>
      <c r="S106" s="91">
        <v>1</v>
      </c>
      <c r="T106" s="91"/>
      <c r="U106" s="91"/>
      <c r="V106" s="91"/>
      <c r="W106" s="91" t="s">
        <v>515</v>
      </c>
      <c r="X106" s="120" t="s">
        <v>718</v>
      </c>
      <c r="Y106" s="94" t="s">
        <v>719</v>
      </c>
      <c r="Z106" s="129">
        <v>0.3</v>
      </c>
      <c r="AA106" s="94" t="s">
        <v>720</v>
      </c>
      <c r="AB106" s="129">
        <v>0.2</v>
      </c>
      <c r="AC106" s="94"/>
      <c r="AD106" s="94" t="s">
        <v>553</v>
      </c>
      <c r="AE106" s="130" t="s">
        <v>510</v>
      </c>
      <c r="AF106" s="7" t="s">
        <v>515</v>
      </c>
    </row>
    <row r="107" ht="110.25" hidden="1" customHeight="1" spans="1:32">
      <c r="A107" s="88">
        <v>105</v>
      </c>
      <c r="B107" s="98" t="s">
        <v>486</v>
      </c>
      <c r="C107" s="97" t="s">
        <v>189</v>
      </c>
      <c r="D107" s="97" t="s">
        <v>476</v>
      </c>
      <c r="E107" s="92" t="s">
        <v>68</v>
      </c>
      <c r="F107" s="99">
        <v>2</v>
      </c>
      <c r="G107" s="92" t="s">
        <v>69</v>
      </c>
      <c r="H107" s="100" t="s">
        <v>405</v>
      </c>
      <c r="I107" s="114" t="s">
        <v>527</v>
      </c>
      <c r="J107" s="112">
        <f>VLOOKUP(B107,[3]加班情况分析!D:G,4,FALSE)</f>
        <v>1.38917624520877</v>
      </c>
      <c r="K107" s="112" t="b">
        <f>VLOOKUP(B107,[3]加班情况分析!D:H,5,FALSE)</f>
        <v>0</v>
      </c>
      <c r="L107" s="113">
        <f>VLOOKUP(B107,[3]加班情况分析!D:L,6,FALSE)</f>
        <v>19</v>
      </c>
      <c r="M107" s="113">
        <f>VLOOKUP($B107,[3]加班情况分析!$D:$L,7,FALSE)</f>
        <v>28</v>
      </c>
      <c r="N107" s="113">
        <f>VLOOKUP($B107,[3]加班情况分析!$D:$L,8,FALSE)</f>
        <v>10</v>
      </c>
      <c r="O107" s="91">
        <f>VLOOKUP(B107,[3]加班情况分析!D:L,9,FALSE)</f>
        <v>1</v>
      </c>
      <c r="P107" s="91"/>
      <c r="Q107" s="91"/>
      <c r="R107" s="91"/>
      <c r="S107" s="91">
        <v>1</v>
      </c>
      <c r="T107" s="91"/>
      <c r="U107" s="91"/>
      <c r="V107" s="91"/>
      <c r="W107" s="91" t="s">
        <v>263</v>
      </c>
      <c r="X107" s="120" t="s">
        <v>721</v>
      </c>
      <c r="Y107" s="94" t="s">
        <v>721</v>
      </c>
      <c r="Z107" s="129"/>
      <c r="AA107" s="94"/>
      <c r="AB107" s="94"/>
      <c r="AC107" s="94"/>
      <c r="AD107" s="94"/>
      <c r="AE107" s="130"/>
      <c r="AF107" s="7"/>
    </row>
    <row r="108" ht="88.5" hidden="1" customHeight="1" spans="1:32">
      <c r="A108" s="88">
        <v>106</v>
      </c>
      <c r="B108" s="98" t="s">
        <v>487</v>
      </c>
      <c r="C108" s="97" t="s">
        <v>189</v>
      </c>
      <c r="D108" s="98" t="s">
        <v>476</v>
      </c>
      <c r="E108" s="133"/>
      <c r="F108" s="99" t="e">
        <v>#N/A</v>
      </c>
      <c r="G108" s="92" t="s">
        <v>69</v>
      </c>
      <c r="H108" s="100" t="s">
        <v>407</v>
      </c>
      <c r="I108" s="114" t="s">
        <v>527</v>
      </c>
      <c r="J108" s="112">
        <f>VLOOKUP(B108,[3]加班情况分析!D:G,4,FALSE)</f>
        <v>2.25766393442955</v>
      </c>
      <c r="K108" s="112" t="b">
        <f>VLOOKUP(B108,[3]加班情况分析!D:H,5,FALSE)</f>
        <v>1</v>
      </c>
      <c r="L108" s="112">
        <f>VLOOKUP(B108,[3]加班情况分析!D:L,6,FALSE)</f>
        <v>8</v>
      </c>
      <c r="M108" s="112">
        <f>VLOOKUP($B108,[3]加班情况分析!$D:$L,7,FALSE)</f>
        <v>22</v>
      </c>
      <c r="N108" s="112">
        <f>VLOOKUP($B108,[3]加班情况分析!$D:$L,8,FALSE)</f>
        <v>26</v>
      </c>
      <c r="O108" s="91">
        <f>VLOOKUP(B108,[3]加班情况分析!D:L,9,FALSE)</f>
        <v>5</v>
      </c>
      <c r="P108" s="91"/>
      <c r="Q108" s="91"/>
      <c r="R108" s="91"/>
      <c r="S108" s="91">
        <v>1</v>
      </c>
      <c r="T108" s="91"/>
      <c r="U108" s="91"/>
      <c r="V108" s="91"/>
      <c r="W108" s="91" t="s">
        <v>263</v>
      </c>
      <c r="X108" s="120" t="s">
        <v>722</v>
      </c>
      <c r="Y108" s="94" t="s">
        <v>723</v>
      </c>
      <c r="Z108" s="129"/>
      <c r="AA108" s="94" t="s">
        <v>724</v>
      </c>
      <c r="AB108" s="129"/>
      <c r="AC108" s="94"/>
      <c r="AD108" s="94"/>
      <c r="AE108" s="130"/>
      <c r="AF108" s="7"/>
    </row>
  </sheetData>
  <sheetProtection formatCells="0" insertHyperlinks="0" autoFilter="0"/>
  <autoFilter ref="A2:AG108">
    <filterColumn colId="2">
      <customFilters>
        <customFilter operator="equal" val="数据平台部"/>
      </customFilters>
    </filterColumn>
    <filterColumn colId="22">
      <customFilters>
        <customFilter operator="equal" val="超负荷"/>
      </customFilters>
    </filterColumn>
    <extLst/>
  </autoFilter>
  <mergeCells count="7">
    <mergeCell ref="C1:I1"/>
    <mergeCell ref="J1:U1"/>
    <mergeCell ref="X1:AD1"/>
    <mergeCell ref="AE1:AF1"/>
    <mergeCell ref="A1:A2"/>
    <mergeCell ref="B1:B2"/>
    <mergeCell ref="W1:W2"/>
  </mergeCells>
  <conditionalFormatting sqref="B$1:B$1048576">
    <cfRule type="duplicateValues" dxfId="1" priority="1"/>
  </conditionalFormatting>
  <dataValidations count="3">
    <dataValidation type="list" allowBlank="1" showInputMessage="1" showErrorMessage="1" sqref="AF1 AF18 AF32 AF3:AF17 AF19:AF31 AF33:AF65 AF66:AF69 AF70:AF93 AF94:AF1048576">
      <formula1>"不饱和,适中,超负荷"</formula1>
    </dataValidation>
    <dataValidation allowBlank="1" showInputMessage="1" showErrorMessage="1" sqref="AF2 AC24 AD24 AA25 AB42 Z43 AB43 Z49 AA50 AD50 Z52 AD52 Z53 Z54 Z55 Z56 Z57 Y58 Z58 Z62 Z63 Z64 Z65 Z66 Z67 Z68 Z69 Z93 Y2:Y9 Y12:Y25 Y27:Y54 Y56:Y57 Y59:Y62 Z2:Z42 Z44:Z48 Z50:Z51 Z59:Z61 Z70:Z92 AA2:AA23 AA26:AA48 AA51:AA1048576 AB2:AB23 AB25:AB41 AB44:AB1048576 AC25:AC1048576 AD25:AD48 AD53:AD1048576 AC2:AD23 Y94:Z1048576"/>
    <dataValidation type="list" allowBlank="1" showErrorMessage="1" errorTitle="错误提示" error="请输入下拉列表中的一个值" sqref="AE18 AE32 AE3:AE17 AE19:AE31 AE33:AE65 AE66:AE69 AE70:AE93 AE94:AE1048576">
      <formula1>"任务难度远高/远低于个人能力,任务难度略高/略低于个人能力,基本适配"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zoomScale="130" zoomScaleNormal="130" workbookViewId="0">
      <pane ySplit="2" topLeftCell="A41" activePane="bottomLeft" state="frozen"/>
      <selection/>
      <selection pane="bottomLeft" activeCell="A54" sqref="A54:A55"/>
    </sheetView>
  </sheetViews>
  <sheetFormatPr defaultColWidth="8.88888888888889" defaultRowHeight="14.4" outlineLevelCol="7"/>
  <cols>
    <col min="1" max="1" width="22.4722222222222" customWidth="1"/>
    <col min="2" max="2" width="8.88888888888889" style="1"/>
    <col min="3" max="3" width="44.1759259259259" customWidth="1"/>
    <col min="4" max="4" width="13.8425925925926" hidden="1" customWidth="1"/>
    <col min="5" max="5" width="22" style="1" customWidth="1"/>
    <col min="6" max="6" width="12.3333333333333" style="1" customWidth="1"/>
    <col min="7" max="7" width="21.1944444444444" style="1" customWidth="1"/>
    <col min="8" max="8" width="22.7314814814815" customWidth="1"/>
  </cols>
  <sheetData>
    <row r="1" ht="33" customHeight="1" spans="1:7">
      <c r="A1" s="72" t="s">
        <v>725</v>
      </c>
      <c r="B1" s="72"/>
      <c r="C1" s="72"/>
      <c r="D1" s="72"/>
      <c r="E1" s="72"/>
      <c r="F1" s="72"/>
      <c r="G1" s="72"/>
    </row>
    <row r="2" ht="24" customHeight="1" spans="1:8">
      <c r="A2" s="46" t="s">
        <v>726</v>
      </c>
      <c r="B2" s="46" t="s">
        <v>0</v>
      </c>
      <c r="C2" s="46" t="s">
        <v>727</v>
      </c>
      <c r="D2" s="46" t="s">
        <v>728</v>
      </c>
      <c r="E2" s="46" t="s">
        <v>729</v>
      </c>
      <c r="F2" s="46" t="s">
        <v>730</v>
      </c>
      <c r="G2" s="46" t="s">
        <v>731</v>
      </c>
      <c r="H2" s="46" t="s">
        <v>732</v>
      </c>
    </row>
    <row r="3" spans="1:8">
      <c r="A3" s="36" t="s">
        <v>733</v>
      </c>
      <c r="B3" s="12">
        <f t="shared" ref="B3:B12" si="0">ROW()-2</f>
        <v>1</v>
      </c>
      <c r="C3" s="7" t="s">
        <v>734</v>
      </c>
      <c r="D3" s="7"/>
      <c r="E3" s="12" t="s">
        <v>735</v>
      </c>
      <c r="F3" s="12" t="s">
        <v>382</v>
      </c>
      <c r="G3" s="12" t="s">
        <v>736</v>
      </c>
      <c r="H3" s="12"/>
    </row>
    <row r="4" spans="1:8">
      <c r="A4" s="12"/>
      <c r="B4" s="12">
        <f t="shared" si="0"/>
        <v>2</v>
      </c>
      <c r="C4" s="7" t="s">
        <v>14</v>
      </c>
      <c r="D4" s="7"/>
      <c r="E4" s="12" t="s">
        <v>735</v>
      </c>
      <c r="F4" s="12" t="s">
        <v>382</v>
      </c>
      <c r="G4" s="12" t="s">
        <v>736</v>
      </c>
      <c r="H4" s="12"/>
    </row>
    <row r="5" spans="1:8">
      <c r="A5" s="12"/>
      <c r="B5" s="12">
        <f t="shared" si="0"/>
        <v>3</v>
      </c>
      <c r="C5" s="7" t="s">
        <v>737</v>
      </c>
      <c r="D5" s="7"/>
      <c r="E5" s="12" t="s">
        <v>735</v>
      </c>
      <c r="F5" s="12" t="s">
        <v>382</v>
      </c>
      <c r="G5" s="12" t="s">
        <v>736</v>
      </c>
      <c r="H5" s="12"/>
    </row>
    <row r="6" spans="1:8">
      <c r="A6" s="12"/>
      <c r="B6" s="12">
        <f t="shared" si="0"/>
        <v>4</v>
      </c>
      <c r="C6" s="7" t="s">
        <v>738</v>
      </c>
      <c r="D6" s="7"/>
      <c r="E6" s="12" t="s">
        <v>735</v>
      </c>
      <c r="F6" s="12" t="s">
        <v>382</v>
      </c>
      <c r="G6" s="12" t="s">
        <v>736</v>
      </c>
      <c r="H6" s="12"/>
    </row>
    <row r="7" spans="1:8">
      <c r="A7" s="12"/>
      <c r="B7" s="12">
        <f t="shared" si="0"/>
        <v>5</v>
      </c>
      <c r="C7" s="7" t="s">
        <v>739</v>
      </c>
      <c r="D7" s="7"/>
      <c r="E7" s="12" t="s">
        <v>735</v>
      </c>
      <c r="F7" s="12" t="s">
        <v>740</v>
      </c>
      <c r="G7" s="12" t="s">
        <v>736</v>
      </c>
      <c r="H7" s="12"/>
    </row>
    <row r="8" spans="1:8">
      <c r="A8" s="12"/>
      <c r="B8" s="12">
        <f t="shared" si="0"/>
        <v>6</v>
      </c>
      <c r="C8" s="7" t="s">
        <v>741</v>
      </c>
      <c r="D8" s="7"/>
      <c r="E8" s="12" t="s">
        <v>735</v>
      </c>
      <c r="F8" s="12" t="s">
        <v>740</v>
      </c>
      <c r="G8" s="12" t="s">
        <v>736</v>
      </c>
      <c r="H8" s="12"/>
    </row>
    <row r="9" spans="1:8">
      <c r="A9" s="12"/>
      <c r="B9" s="12">
        <f t="shared" si="0"/>
        <v>7</v>
      </c>
      <c r="C9" s="7" t="s">
        <v>742</v>
      </c>
      <c r="D9" s="7"/>
      <c r="E9" s="12" t="s">
        <v>735</v>
      </c>
      <c r="F9" s="12" t="s">
        <v>740</v>
      </c>
      <c r="G9" s="12" t="s">
        <v>736</v>
      </c>
      <c r="H9" s="12"/>
    </row>
    <row r="10" spans="1:8">
      <c r="A10" s="12"/>
      <c r="B10" s="12">
        <f t="shared" si="0"/>
        <v>8</v>
      </c>
      <c r="C10" s="7" t="s">
        <v>743</v>
      </c>
      <c r="D10" s="7"/>
      <c r="E10" s="12" t="s">
        <v>735</v>
      </c>
      <c r="F10" s="12" t="s">
        <v>740</v>
      </c>
      <c r="G10" s="12" t="s">
        <v>736</v>
      </c>
      <c r="H10" s="12"/>
    </row>
    <row r="11" spans="1:8">
      <c r="A11" s="12"/>
      <c r="B11" s="12">
        <f t="shared" si="0"/>
        <v>9</v>
      </c>
      <c r="C11" s="7" t="s">
        <v>23</v>
      </c>
      <c r="D11" s="7"/>
      <c r="E11" s="12" t="s">
        <v>735</v>
      </c>
      <c r="F11" s="12" t="s">
        <v>740</v>
      </c>
      <c r="G11" s="12" t="s">
        <v>736</v>
      </c>
      <c r="H11" s="12"/>
    </row>
    <row r="12" spans="1:8">
      <c r="A12" s="12"/>
      <c r="B12" s="12">
        <f t="shared" si="0"/>
        <v>10</v>
      </c>
      <c r="C12" s="7" t="s">
        <v>744</v>
      </c>
      <c r="D12" s="7"/>
      <c r="E12" s="12" t="s">
        <v>735</v>
      </c>
      <c r="F12" s="12" t="s">
        <v>740</v>
      </c>
      <c r="G12" s="12" t="s">
        <v>736</v>
      </c>
      <c r="H12" s="12"/>
    </row>
    <row r="13" spans="1:8">
      <c r="A13" s="36" t="s">
        <v>745</v>
      </c>
      <c r="B13" s="12">
        <f t="shared" ref="B12:B24" si="1">ROW()-2</f>
        <v>11</v>
      </c>
      <c r="C13" s="7" t="s">
        <v>746</v>
      </c>
      <c r="D13" s="7"/>
      <c r="E13" s="12" t="s">
        <v>747</v>
      </c>
      <c r="F13" s="12" t="s">
        <v>740</v>
      </c>
      <c r="G13" s="12" t="s">
        <v>736</v>
      </c>
      <c r="H13" s="12"/>
    </row>
    <row r="14" spans="1:8">
      <c r="A14" s="12"/>
      <c r="B14" s="12">
        <f t="shared" si="1"/>
        <v>12</v>
      </c>
      <c r="C14" s="7" t="s">
        <v>748</v>
      </c>
      <c r="D14" s="7"/>
      <c r="E14" s="12" t="s">
        <v>749</v>
      </c>
      <c r="F14" s="12" t="s">
        <v>740</v>
      </c>
      <c r="G14" s="12" t="s">
        <v>736</v>
      </c>
      <c r="H14" s="12"/>
    </row>
    <row r="15" spans="1:8">
      <c r="A15" s="12"/>
      <c r="B15" s="12">
        <f t="shared" si="1"/>
        <v>13</v>
      </c>
      <c r="C15" s="7" t="s">
        <v>750</v>
      </c>
      <c r="D15" s="7"/>
      <c r="E15" s="12" t="s">
        <v>747</v>
      </c>
      <c r="F15" s="12" t="s">
        <v>740</v>
      </c>
      <c r="G15" s="12" t="s">
        <v>736</v>
      </c>
      <c r="H15" s="12"/>
    </row>
    <row r="16" spans="1:8">
      <c r="A16" s="12"/>
      <c r="B16" s="12">
        <f t="shared" si="1"/>
        <v>14</v>
      </c>
      <c r="C16" s="7" t="s">
        <v>751</v>
      </c>
      <c r="D16" s="7"/>
      <c r="E16" s="12" t="s">
        <v>749</v>
      </c>
      <c r="F16" s="12" t="s">
        <v>740</v>
      </c>
      <c r="G16" s="12" t="s">
        <v>736</v>
      </c>
      <c r="H16" s="12"/>
    </row>
    <row r="17" spans="1:8">
      <c r="A17" s="12"/>
      <c r="B17" s="12">
        <f t="shared" si="1"/>
        <v>15</v>
      </c>
      <c r="C17" s="7" t="s">
        <v>752</v>
      </c>
      <c r="D17" s="7"/>
      <c r="E17" s="12" t="s">
        <v>749</v>
      </c>
      <c r="F17" s="12" t="s">
        <v>740</v>
      </c>
      <c r="G17" s="12" t="s">
        <v>736</v>
      </c>
      <c r="H17" s="12"/>
    </row>
    <row r="18" spans="1:8">
      <c r="A18" s="12"/>
      <c r="B18" s="12">
        <f t="shared" si="1"/>
        <v>16</v>
      </c>
      <c r="C18" s="7" t="s">
        <v>753</v>
      </c>
      <c r="D18" s="7"/>
      <c r="E18" s="12" t="s">
        <v>749</v>
      </c>
      <c r="F18" s="12" t="s">
        <v>740</v>
      </c>
      <c r="G18" s="12" t="s">
        <v>736</v>
      </c>
      <c r="H18" s="12"/>
    </row>
    <row r="19" spans="1:8">
      <c r="A19" s="12"/>
      <c r="B19" s="12">
        <f t="shared" si="1"/>
        <v>17</v>
      </c>
      <c r="C19" s="7" t="s">
        <v>754</v>
      </c>
      <c r="D19" s="7"/>
      <c r="E19" s="12" t="s">
        <v>735</v>
      </c>
      <c r="F19" s="12" t="s">
        <v>740</v>
      </c>
      <c r="G19" s="12" t="s">
        <v>736</v>
      </c>
      <c r="H19" s="12"/>
    </row>
    <row r="20" spans="1:8">
      <c r="A20" s="67" t="s">
        <v>755</v>
      </c>
      <c r="B20" s="12">
        <f t="shared" si="1"/>
        <v>18</v>
      </c>
      <c r="C20" s="7" t="s">
        <v>491</v>
      </c>
      <c r="D20" s="7"/>
      <c r="E20" s="12" t="s">
        <v>749</v>
      </c>
      <c r="F20" s="12" t="s">
        <v>740</v>
      </c>
      <c r="G20" s="12" t="s">
        <v>736</v>
      </c>
      <c r="H20" s="12"/>
    </row>
    <row r="21" spans="1:8">
      <c r="A21" s="68"/>
      <c r="B21" s="12">
        <f t="shared" si="1"/>
        <v>19</v>
      </c>
      <c r="C21" s="7" t="s">
        <v>756</v>
      </c>
      <c r="D21" s="7"/>
      <c r="E21" s="12" t="s">
        <v>749</v>
      </c>
      <c r="F21" s="12" t="s">
        <v>740</v>
      </c>
      <c r="G21" s="12" t="s">
        <v>736</v>
      </c>
      <c r="H21" s="12"/>
    </row>
    <row r="22" spans="1:8">
      <c r="A22" s="69"/>
      <c r="B22" s="12">
        <f t="shared" si="1"/>
        <v>20</v>
      </c>
      <c r="C22" s="7" t="s">
        <v>757</v>
      </c>
      <c r="D22" s="7"/>
      <c r="E22" s="12" t="s">
        <v>749</v>
      </c>
      <c r="F22" s="12" t="s">
        <v>740</v>
      </c>
      <c r="G22" s="12" t="s">
        <v>736</v>
      </c>
      <c r="H22" s="12"/>
    </row>
    <row r="23" spans="1:8">
      <c r="A23" s="36" t="s">
        <v>758</v>
      </c>
      <c r="B23" s="12">
        <f t="shared" si="1"/>
        <v>21</v>
      </c>
      <c r="C23" s="7" t="s">
        <v>759</v>
      </c>
      <c r="D23" s="7"/>
      <c r="E23" s="12" t="s">
        <v>749</v>
      </c>
      <c r="F23" s="12" t="s">
        <v>740</v>
      </c>
      <c r="G23" s="12" t="s">
        <v>736</v>
      </c>
      <c r="H23" s="12"/>
    </row>
    <row r="24" spans="1:8">
      <c r="A24" s="12"/>
      <c r="B24" s="12">
        <f t="shared" si="1"/>
        <v>22</v>
      </c>
      <c r="C24" s="7" t="s">
        <v>760</v>
      </c>
      <c r="D24" s="7"/>
      <c r="E24" s="12" t="s">
        <v>749</v>
      </c>
      <c r="F24" s="12" t="s">
        <v>740</v>
      </c>
      <c r="G24" s="12" t="s">
        <v>736</v>
      </c>
      <c r="H24" s="12"/>
    </row>
    <row r="25" spans="1:8">
      <c r="A25" s="12"/>
      <c r="B25" s="12">
        <f t="shared" ref="B25:B56" si="2">ROW()-2</f>
        <v>23</v>
      </c>
      <c r="C25" s="7" t="s">
        <v>761</v>
      </c>
      <c r="D25" s="7"/>
      <c r="E25" s="12" t="s">
        <v>749</v>
      </c>
      <c r="F25" s="12" t="s">
        <v>740</v>
      </c>
      <c r="G25" s="12" t="s">
        <v>736</v>
      </c>
      <c r="H25" s="12"/>
    </row>
    <row r="26" spans="1:8">
      <c r="A26" s="12"/>
      <c r="B26" s="12">
        <f t="shared" si="2"/>
        <v>24</v>
      </c>
      <c r="C26" s="7" t="s">
        <v>762</v>
      </c>
      <c r="D26" s="7"/>
      <c r="E26" s="12" t="s">
        <v>763</v>
      </c>
      <c r="F26" s="12" t="s">
        <v>740</v>
      </c>
      <c r="G26" s="12" t="s">
        <v>736</v>
      </c>
      <c r="H26" s="12"/>
    </row>
    <row r="27" spans="1:8">
      <c r="A27" s="12"/>
      <c r="B27" s="12">
        <f t="shared" si="2"/>
        <v>25</v>
      </c>
      <c r="C27" s="7" t="s">
        <v>764</v>
      </c>
      <c r="D27" s="7"/>
      <c r="E27" s="12" t="s">
        <v>763</v>
      </c>
      <c r="F27" s="12" t="s">
        <v>740</v>
      </c>
      <c r="G27" s="12" t="s">
        <v>736</v>
      </c>
      <c r="H27" s="12"/>
    </row>
    <row r="28" spans="1:8">
      <c r="A28" s="12"/>
      <c r="B28" s="12">
        <f t="shared" si="2"/>
        <v>26</v>
      </c>
      <c r="C28" s="7" t="s">
        <v>765</v>
      </c>
      <c r="D28" s="7"/>
      <c r="E28" s="12" t="s">
        <v>763</v>
      </c>
      <c r="F28" s="12" t="s">
        <v>740</v>
      </c>
      <c r="G28" s="12" t="s">
        <v>736</v>
      </c>
      <c r="H28" s="12"/>
    </row>
    <row r="29" spans="1:8">
      <c r="A29" s="12"/>
      <c r="B29" s="12">
        <f t="shared" si="2"/>
        <v>27</v>
      </c>
      <c r="C29" s="7" t="s">
        <v>766</v>
      </c>
      <c r="D29" s="7"/>
      <c r="E29" s="12" t="s">
        <v>763</v>
      </c>
      <c r="F29" s="12" t="s">
        <v>740</v>
      </c>
      <c r="G29" s="12" t="s">
        <v>736</v>
      </c>
      <c r="H29" s="12"/>
    </row>
    <row r="30" spans="1:8">
      <c r="A30" s="12"/>
      <c r="B30" s="12">
        <f t="shared" si="2"/>
        <v>28</v>
      </c>
      <c r="C30" s="7" t="s">
        <v>767</v>
      </c>
      <c r="D30" s="7"/>
      <c r="E30" s="12" t="s">
        <v>768</v>
      </c>
      <c r="F30" s="12" t="s">
        <v>740</v>
      </c>
      <c r="G30" s="12" t="s">
        <v>736</v>
      </c>
      <c r="H30" s="12"/>
    </row>
    <row r="31" spans="1:8">
      <c r="A31" s="12"/>
      <c r="B31" s="12">
        <f t="shared" si="2"/>
        <v>29</v>
      </c>
      <c r="C31" s="7" t="s">
        <v>769</v>
      </c>
      <c r="D31" s="7"/>
      <c r="E31" s="12" t="s">
        <v>768</v>
      </c>
      <c r="F31" s="12" t="s">
        <v>740</v>
      </c>
      <c r="G31" s="12" t="s">
        <v>736</v>
      </c>
      <c r="H31" s="12"/>
    </row>
    <row r="32" spans="1:8">
      <c r="A32" s="12"/>
      <c r="B32" s="12">
        <f t="shared" si="2"/>
        <v>30</v>
      </c>
      <c r="C32" s="7" t="s">
        <v>770</v>
      </c>
      <c r="D32" s="7"/>
      <c r="E32" s="12" t="s">
        <v>768</v>
      </c>
      <c r="F32" s="12" t="s">
        <v>740</v>
      </c>
      <c r="G32" s="12" t="s">
        <v>736</v>
      </c>
      <c r="H32" s="12"/>
    </row>
    <row r="33" spans="1:8">
      <c r="A33" s="12"/>
      <c r="B33" s="12">
        <f t="shared" si="2"/>
        <v>31</v>
      </c>
      <c r="C33" s="7" t="s">
        <v>771</v>
      </c>
      <c r="D33" s="7"/>
      <c r="E33" s="12" t="s">
        <v>735</v>
      </c>
      <c r="F33" s="12" t="s">
        <v>740</v>
      </c>
      <c r="G33" s="12" t="s">
        <v>736</v>
      </c>
      <c r="H33" s="12"/>
    </row>
    <row r="34" spans="1:8">
      <c r="A34" s="12"/>
      <c r="B34" s="12">
        <f t="shared" si="2"/>
        <v>32</v>
      </c>
      <c r="C34" s="7" t="s">
        <v>772</v>
      </c>
      <c r="D34" s="7"/>
      <c r="E34" s="12" t="s">
        <v>773</v>
      </c>
      <c r="F34" s="12" t="s">
        <v>740</v>
      </c>
      <c r="G34" s="12" t="s">
        <v>736</v>
      </c>
      <c r="H34" s="12"/>
    </row>
    <row r="35" spans="1:8">
      <c r="A35" s="12"/>
      <c r="B35" s="12">
        <f t="shared" si="2"/>
        <v>33</v>
      </c>
      <c r="C35" s="7" t="s">
        <v>774</v>
      </c>
      <c r="D35" s="7"/>
      <c r="E35" s="12" t="s">
        <v>775</v>
      </c>
      <c r="F35" s="12" t="s">
        <v>740</v>
      </c>
      <c r="G35" s="12" t="s">
        <v>736</v>
      </c>
      <c r="H35" s="12"/>
    </row>
    <row r="36" spans="1:8">
      <c r="A36" s="67" t="s">
        <v>776</v>
      </c>
      <c r="B36" s="12">
        <f t="shared" si="2"/>
        <v>34</v>
      </c>
      <c r="C36" s="7" t="s">
        <v>777</v>
      </c>
      <c r="D36" s="7"/>
      <c r="E36" s="12" t="s">
        <v>778</v>
      </c>
      <c r="F36" s="12" t="s">
        <v>740</v>
      </c>
      <c r="G36" s="12" t="s">
        <v>779</v>
      </c>
      <c r="H36" s="12" t="s">
        <v>780</v>
      </c>
    </row>
    <row r="37" spans="1:8">
      <c r="A37" s="68"/>
      <c r="B37" s="12">
        <f t="shared" si="2"/>
        <v>35</v>
      </c>
      <c r="C37" s="7" t="s">
        <v>781</v>
      </c>
      <c r="D37" s="7"/>
      <c r="E37" s="12" t="s">
        <v>778</v>
      </c>
      <c r="F37" s="12" t="s">
        <v>740</v>
      </c>
      <c r="G37" s="12" t="s">
        <v>779</v>
      </c>
      <c r="H37" s="12" t="s">
        <v>780</v>
      </c>
    </row>
    <row r="38" spans="1:8">
      <c r="A38" s="68"/>
      <c r="B38" s="12">
        <f t="shared" si="2"/>
        <v>36</v>
      </c>
      <c r="C38" s="7" t="s">
        <v>782</v>
      </c>
      <c r="D38" s="7"/>
      <c r="E38" s="12" t="s">
        <v>778</v>
      </c>
      <c r="F38" s="12" t="s">
        <v>740</v>
      </c>
      <c r="G38" s="12" t="s">
        <v>779</v>
      </c>
      <c r="H38" s="12" t="s">
        <v>780</v>
      </c>
    </row>
    <row r="39" spans="1:8">
      <c r="A39" s="68"/>
      <c r="B39" s="12">
        <f t="shared" si="2"/>
        <v>37</v>
      </c>
      <c r="C39" s="7" t="s">
        <v>783</v>
      </c>
      <c r="D39" s="7"/>
      <c r="E39" s="12" t="s">
        <v>778</v>
      </c>
      <c r="F39" s="12" t="s">
        <v>740</v>
      </c>
      <c r="G39" s="12" t="s">
        <v>779</v>
      </c>
      <c r="H39" s="12" t="s">
        <v>780</v>
      </c>
    </row>
    <row r="40" spans="1:8">
      <c r="A40" s="68"/>
      <c r="B40" s="12">
        <f t="shared" si="2"/>
        <v>38</v>
      </c>
      <c r="C40" s="7" t="s">
        <v>784</v>
      </c>
      <c r="D40" s="7"/>
      <c r="E40" s="12" t="s">
        <v>778</v>
      </c>
      <c r="F40" s="12" t="s">
        <v>740</v>
      </c>
      <c r="G40" s="12" t="s">
        <v>779</v>
      </c>
      <c r="H40" s="12" t="s">
        <v>780</v>
      </c>
    </row>
    <row r="41" spans="1:8">
      <c r="A41" s="68"/>
      <c r="B41" s="12">
        <f t="shared" si="2"/>
        <v>39</v>
      </c>
      <c r="C41" s="7" t="s">
        <v>785</v>
      </c>
      <c r="D41" s="7"/>
      <c r="E41" s="12" t="s">
        <v>778</v>
      </c>
      <c r="F41" s="12" t="s">
        <v>740</v>
      </c>
      <c r="G41" s="12" t="s">
        <v>779</v>
      </c>
      <c r="H41" s="12" t="s">
        <v>780</v>
      </c>
    </row>
    <row r="42" spans="1:8">
      <c r="A42" s="68"/>
      <c r="B42" s="12">
        <f t="shared" si="2"/>
        <v>40</v>
      </c>
      <c r="C42" s="7" t="s">
        <v>786</v>
      </c>
      <c r="D42" s="7"/>
      <c r="E42" s="12" t="s">
        <v>778</v>
      </c>
      <c r="F42" s="12" t="s">
        <v>740</v>
      </c>
      <c r="G42" s="12" t="s">
        <v>779</v>
      </c>
      <c r="H42" s="12" t="s">
        <v>780</v>
      </c>
    </row>
    <row r="43" spans="1:8">
      <c r="A43" s="68"/>
      <c r="B43" s="12">
        <f t="shared" si="2"/>
        <v>41</v>
      </c>
      <c r="C43" s="7" t="s">
        <v>787</v>
      </c>
      <c r="D43" s="7"/>
      <c r="E43" s="12" t="s">
        <v>778</v>
      </c>
      <c r="F43" s="12" t="s">
        <v>740</v>
      </c>
      <c r="G43" s="12" t="s">
        <v>779</v>
      </c>
      <c r="H43" s="12" t="s">
        <v>780</v>
      </c>
    </row>
    <row r="44" spans="1:8">
      <c r="A44" s="68"/>
      <c r="B44" s="12">
        <f t="shared" si="2"/>
        <v>42</v>
      </c>
      <c r="C44" s="73" t="s">
        <v>788</v>
      </c>
      <c r="D44" s="73"/>
      <c r="E44" s="12" t="s">
        <v>778</v>
      </c>
      <c r="F44" s="12" t="s">
        <v>740</v>
      </c>
      <c r="G44" s="12" t="s">
        <v>779</v>
      </c>
      <c r="H44" s="12" t="s">
        <v>780</v>
      </c>
    </row>
    <row r="45" spans="1:8">
      <c r="A45" s="68"/>
      <c r="B45" s="12">
        <f t="shared" si="2"/>
        <v>43</v>
      </c>
      <c r="C45" s="73" t="s">
        <v>789</v>
      </c>
      <c r="D45" s="73"/>
      <c r="E45" s="12" t="s">
        <v>778</v>
      </c>
      <c r="F45" s="12" t="s">
        <v>740</v>
      </c>
      <c r="G45" s="12" t="s">
        <v>779</v>
      </c>
      <c r="H45" s="12" t="s">
        <v>780</v>
      </c>
    </row>
    <row r="46" spans="1:8">
      <c r="A46" s="67" t="s">
        <v>790</v>
      </c>
      <c r="B46" s="12">
        <f t="shared" si="2"/>
        <v>44</v>
      </c>
      <c r="C46" s="74" t="s">
        <v>791</v>
      </c>
      <c r="D46" s="75"/>
      <c r="E46" s="12" t="s">
        <v>792</v>
      </c>
      <c r="F46" s="12" t="s">
        <v>740</v>
      </c>
      <c r="G46" s="12" t="s">
        <v>779</v>
      </c>
      <c r="H46" s="12" t="s">
        <v>792</v>
      </c>
    </row>
    <row r="47" spans="1:8">
      <c r="A47" s="68"/>
      <c r="B47" s="12">
        <f t="shared" si="2"/>
        <v>45</v>
      </c>
      <c r="C47" s="74" t="s">
        <v>793</v>
      </c>
      <c r="D47" s="75"/>
      <c r="E47" s="12" t="s">
        <v>792</v>
      </c>
      <c r="F47" s="12" t="s">
        <v>740</v>
      </c>
      <c r="G47" s="12" t="s">
        <v>779</v>
      </c>
      <c r="H47" s="12" t="s">
        <v>792</v>
      </c>
    </row>
    <row r="48" spans="1:8">
      <c r="A48" s="68"/>
      <c r="B48" s="12">
        <f t="shared" si="2"/>
        <v>46</v>
      </c>
      <c r="C48" s="74" t="s">
        <v>794</v>
      </c>
      <c r="D48" s="75"/>
      <c r="E48" s="12" t="s">
        <v>792</v>
      </c>
      <c r="F48" s="12" t="s">
        <v>740</v>
      </c>
      <c r="G48" s="12" t="s">
        <v>779</v>
      </c>
      <c r="H48" s="12" t="s">
        <v>792</v>
      </c>
    </row>
    <row r="49" spans="1:8">
      <c r="A49" s="68"/>
      <c r="B49" s="12">
        <f t="shared" si="2"/>
        <v>47</v>
      </c>
      <c r="C49" s="74" t="s">
        <v>45</v>
      </c>
      <c r="D49" s="75"/>
      <c r="E49" s="12" t="s">
        <v>792</v>
      </c>
      <c r="F49" s="12" t="s">
        <v>740</v>
      </c>
      <c r="G49" s="12" t="s">
        <v>779</v>
      </c>
      <c r="H49" s="12" t="s">
        <v>792</v>
      </c>
    </row>
    <row r="50" spans="1:8">
      <c r="A50" s="68"/>
      <c r="B50" s="12">
        <f t="shared" si="2"/>
        <v>48</v>
      </c>
      <c r="C50" s="74" t="s">
        <v>48</v>
      </c>
      <c r="D50" s="75"/>
      <c r="E50" s="12" t="s">
        <v>792</v>
      </c>
      <c r="F50" s="12" t="s">
        <v>740</v>
      </c>
      <c r="G50" s="12" t="s">
        <v>779</v>
      </c>
      <c r="H50" s="12" t="s">
        <v>792</v>
      </c>
    </row>
    <row r="51" spans="1:8">
      <c r="A51" s="67" t="s">
        <v>795</v>
      </c>
      <c r="B51" s="12">
        <f t="shared" si="2"/>
        <v>49</v>
      </c>
      <c r="C51" s="76" t="s">
        <v>796</v>
      </c>
      <c r="D51" s="76"/>
      <c r="E51" s="12" t="s">
        <v>797</v>
      </c>
      <c r="F51" s="12" t="s">
        <v>740</v>
      </c>
      <c r="G51" s="12" t="s">
        <v>779</v>
      </c>
      <c r="H51" s="12" t="s">
        <v>792</v>
      </c>
    </row>
    <row r="52" spans="1:8">
      <c r="A52" s="68"/>
      <c r="B52" s="12">
        <f t="shared" si="2"/>
        <v>50</v>
      </c>
      <c r="C52" s="76" t="s">
        <v>798</v>
      </c>
      <c r="D52" s="76"/>
      <c r="E52" s="12" t="s">
        <v>797</v>
      </c>
      <c r="F52" s="12" t="s">
        <v>740</v>
      </c>
      <c r="G52" s="12" t="s">
        <v>779</v>
      </c>
      <c r="H52" s="12" t="s">
        <v>792</v>
      </c>
    </row>
    <row r="53" spans="1:8">
      <c r="A53" s="69"/>
      <c r="B53" s="12">
        <f t="shared" si="2"/>
        <v>51</v>
      </c>
      <c r="C53" s="76" t="s">
        <v>799</v>
      </c>
      <c r="D53" s="76"/>
      <c r="E53" s="12" t="s">
        <v>797</v>
      </c>
      <c r="F53" s="12" t="s">
        <v>740</v>
      </c>
      <c r="G53" s="12" t="s">
        <v>779</v>
      </c>
      <c r="H53" s="12" t="s">
        <v>792</v>
      </c>
    </row>
    <row r="54" spans="1:8">
      <c r="A54" s="12" t="s">
        <v>800</v>
      </c>
      <c r="B54" s="12">
        <f t="shared" si="2"/>
        <v>52</v>
      </c>
      <c r="C54" s="7" t="s">
        <v>801</v>
      </c>
      <c r="D54" s="7"/>
      <c r="E54" s="12" t="s">
        <v>802</v>
      </c>
      <c r="F54" s="12" t="s">
        <v>740</v>
      </c>
      <c r="G54" s="12" t="s">
        <v>779</v>
      </c>
      <c r="H54" s="12" t="s">
        <v>792</v>
      </c>
    </row>
    <row r="55" spans="1:8">
      <c r="A55" s="12"/>
      <c r="B55" s="12">
        <f t="shared" si="2"/>
        <v>53</v>
      </c>
      <c r="C55" s="7" t="s">
        <v>803</v>
      </c>
      <c r="D55" s="7"/>
      <c r="E55" s="12" t="s">
        <v>802</v>
      </c>
      <c r="F55" s="12" t="s">
        <v>740</v>
      </c>
      <c r="G55" s="12" t="s">
        <v>779</v>
      </c>
      <c r="H55" s="12" t="s">
        <v>792</v>
      </c>
    </row>
    <row r="56" spans="1:1">
      <c r="A56" s="1"/>
    </row>
    <row r="57" ht="20" customHeight="1" spans="1:1">
      <c r="A57" s="1" t="s">
        <v>804</v>
      </c>
    </row>
    <row r="58" spans="1:1">
      <c r="A58" s="1"/>
    </row>
  </sheetData>
  <autoFilter ref="A2:H55">
    <extLst/>
  </autoFilter>
  <mergeCells count="9">
    <mergeCell ref="A1:G1"/>
    <mergeCell ref="A3:A12"/>
    <mergeCell ref="A13:A19"/>
    <mergeCell ref="A20:A22"/>
    <mergeCell ref="A23:A35"/>
    <mergeCell ref="A36:A45"/>
    <mergeCell ref="A46:A50"/>
    <mergeCell ref="A51:A53"/>
    <mergeCell ref="A54:A5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zoomScale="145" zoomScaleNormal="145" workbookViewId="0">
      <pane ySplit="2" topLeftCell="A29" activePane="bottomLeft" state="frozen"/>
      <selection/>
      <selection pane="bottomLeft" activeCell="C38" sqref="C38"/>
    </sheetView>
  </sheetViews>
  <sheetFormatPr defaultColWidth="8.88888888888889" defaultRowHeight="14.4" outlineLevelCol="6"/>
  <cols>
    <col min="1" max="1" width="18.3333333333333" customWidth="1"/>
    <col min="2" max="2" width="8.88888888888889" style="1"/>
    <col min="3" max="3" width="42.8148148148148" customWidth="1"/>
    <col min="4" max="4" width="22" style="1" customWidth="1"/>
    <col min="5" max="5" width="12.3333333333333" style="1" customWidth="1"/>
    <col min="6" max="6" width="21.1944444444444" style="1" customWidth="1"/>
    <col min="7" max="7" width="14.1944444444444" customWidth="1"/>
  </cols>
  <sheetData>
    <row r="1" ht="36" customHeight="1" spans="1:6">
      <c r="A1" s="66" t="s">
        <v>805</v>
      </c>
      <c r="B1" s="66"/>
      <c r="C1" s="66"/>
      <c r="D1" s="66"/>
      <c r="E1" s="66"/>
      <c r="F1" s="66"/>
    </row>
    <row r="2" ht="24" customHeight="1" spans="1:7">
      <c r="A2" s="46" t="s">
        <v>726</v>
      </c>
      <c r="B2" s="46" t="s">
        <v>0</v>
      </c>
      <c r="C2" s="46" t="s">
        <v>727</v>
      </c>
      <c r="D2" s="46" t="s">
        <v>729</v>
      </c>
      <c r="E2" s="46" t="s">
        <v>730</v>
      </c>
      <c r="F2" s="46" t="s">
        <v>806</v>
      </c>
      <c r="G2" s="1" t="s">
        <v>10</v>
      </c>
    </row>
    <row r="3" spans="1:6">
      <c r="A3" s="36" t="s">
        <v>807</v>
      </c>
      <c r="B3" s="12">
        <f>ROW()-2</f>
        <v>1</v>
      </c>
      <c r="C3" s="7" t="s">
        <v>734</v>
      </c>
      <c r="D3" s="12" t="s">
        <v>735</v>
      </c>
      <c r="E3" s="12" t="s">
        <v>382</v>
      </c>
      <c r="F3" s="12" t="s">
        <v>736</v>
      </c>
    </row>
    <row r="4" spans="1:6">
      <c r="A4" s="12"/>
      <c r="B4" s="12">
        <f t="shared" ref="B4:B32" si="0">ROW()-2</f>
        <v>2</v>
      </c>
      <c r="C4" s="7" t="s">
        <v>14</v>
      </c>
      <c r="D4" s="12" t="s">
        <v>735</v>
      </c>
      <c r="E4" s="12" t="s">
        <v>382</v>
      </c>
      <c r="F4" s="12" t="s">
        <v>736</v>
      </c>
    </row>
    <row r="5" spans="1:6">
      <c r="A5" s="12"/>
      <c r="B5" s="12">
        <f t="shared" si="0"/>
        <v>3</v>
      </c>
      <c r="C5" s="7" t="s">
        <v>737</v>
      </c>
      <c r="D5" s="12" t="s">
        <v>735</v>
      </c>
      <c r="E5" s="12" t="s">
        <v>382</v>
      </c>
      <c r="F5" s="12" t="s">
        <v>736</v>
      </c>
    </row>
    <row r="6" spans="1:6">
      <c r="A6" s="12"/>
      <c r="B6" s="12">
        <f t="shared" si="0"/>
        <v>4</v>
      </c>
      <c r="C6" s="7" t="s">
        <v>738</v>
      </c>
      <c r="D6" s="12" t="s">
        <v>735</v>
      </c>
      <c r="E6" s="12" t="s">
        <v>382</v>
      </c>
      <c r="F6" s="12" t="s">
        <v>736</v>
      </c>
    </row>
    <row r="7" spans="1:6">
      <c r="A7" s="12"/>
      <c r="B7" s="12">
        <f t="shared" si="0"/>
        <v>5</v>
      </c>
      <c r="C7" s="7" t="s">
        <v>739</v>
      </c>
      <c r="D7" s="12" t="s">
        <v>735</v>
      </c>
      <c r="E7" s="12" t="s">
        <v>740</v>
      </c>
      <c r="F7" s="12" t="s">
        <v>736</v>
      </c>
    </row>
    <row r="8" spans="1:6">
      <c r="A8" s="12"/>
      <c r="B8" s="12">
        <f t="shared" si="0"/>
        <v>6</v>
      </c>
      <c r="C8" s="7" t="s">
        <v>741</v>
      </c>
      <c r="D8" s="12" t="s">
        <v>735</v>
      </c>
      <c r="E8" s="12" t="s">
        <v>740</v>
      </c>
      <c r="F8" s="12" t="s">
        <v>736</v>
      </c>
    </row>
    <row r="9" spans="1:6">
      <c r="A9" s="12"/>
      <c r="B9" s="12">
        <f t="shared" si="0"/>
        <v>7</v>
      </c>
      <c r="C9" s="7" t="s">
        <v>742</v>
      </c>
      <c r="D9" s="12" t="s">
        <v>735</v>
      </c>
      <c r="E9" s="12" t="s">
        <v>740</v>
      </c>
      <c r="F9" s="12" t="s">
        <v>736</v>
      </c>
    </row>
    <row r="10" spans="1:6">
      <c r="A10" s="12"/>
      <c r="B10" s="12">
        <f t="shared" si="0"/>
        <v>8</v>
      </c>
      <c r="C10" s="7" t="s">
        <v>743</v>
      </c>
      <c r="D10" s="12" t="s">
        <v>735</v>
      </c>
      <c r="E10" s="12" t="s">
        <v>740</v>
      </c>
      <c r="F10" s="12" t="s">
        <v>736</v>
      </c>
    </row>
    <row r="11" spans="1:6">
      <c r="A11" s="12"/>
      <c r="B11" s="12">
        <f t="shared" si="0"/>
        <v>9</v>
      </c>
      <c r="C11" s="7" t="s">
        <v>23</v>
      </c>
      <c r="D11" s="12" t="s">
        <v>735</v>
      </c>
      <c r="E11" s="12" t="s">
        <v>740</v>
      </c>
      <c r="F11" s="12" t="s">
        <v>736</v>
      </c>
    </row>
    <row r="12" spans="1:6">
      <c r="A12" s="12"/>
      <c r="B12" s="12">
        <f t="shared" si="0"/>
        <v>10</v>
      </c>
      <c r="C12" s="7" t="s">
        <v>744</v>
      </c>
      <c r="D12" s="12" t="s">
        <v>735</v>
      </c>
      <c r="E12" s="12" t="s">
        <v>740</v>
      </c>
      <c r="F12" s="12" t="s">
        <v>736</v>
      </c>
    </row>
    <row r="13" spans="1:6">
      <c r="A13" s="67" t="s">
        <v>755</v>
      </c>
      <c r="B13" s="12">
        <f t="shared" si="0"/>
        <v>11</v>
      </c>
      <c r="C13" s="7" t="s">
        <v>491</v>
      </c>
      <c r="D13" s="12" t="s">
        <v>749</v>
      </c>
      <c r="E13" s="12" t="s">
        <v>740</v>
      </c>
      <c r="F13" s="12" t="s">
        <v>736</v>
      </c>
    </row>
    <row r="14" spans="1:6">
      <c r="A14" s="68"/>
      <c r="B14" s="12">
        <f t="shared" si="0"/>
        <v>12</v>
      </c>
      <c r="C14" s="7" t="s">
        <v>756</v>
      </c>
      <c r="D14" s="12" t="s">
        <v>749</v>
      </c>
      <c r="E14" s="12" t="s">
        <v>740</v>
      </c>
      <c r="F14" s="12" t="s">
        <v>736</v>
      </c>
    </row>
    <row r="15" spans="1:6">
      <c r="A15" s="69"/>
      <c r="B15" s="12">
        <f t="shared" si="0"/>
        <v>13</v>
      </c>
      <c r="C15" s="7" t="s">
        <v>757</v>
      </c>
      <c r="D15" s="12" t="s">
        <v>749</v>
      </c>
      <c r="E15" s="12" t="s">
        <v>740</v>
      </c>
      <c r="F15" s="12" t="s">
        <v>736</v>
      </c>
    </row>
    <row r="16" spans="1:6">
      <c r="A16" s="67" t="s">
        <v>808</v>
      </c>
      <c r="B16" s="12">
        <f t="shared" si="0"/>
        <v>14</v>
      </c>
      <c r="C16" s="7" t="s">
        <v>809</v>
      </c>
      <c r="D16" s="12" t="s">
        <v>747</v>
      </c>
      <c r="E16" s="12" t="s">
        <v>810</v>
      </c>
      <c r="F16" s="12" t="s">
        <v>779</v>
      </c>
    </row>
    <row r="17" spans="1:6">
      <c r="A17" s="70"/>
      <c r="B17" s="12">
        <f t="shared" si="0"/>
        <v>15</v>
      </c>
      <c r="C17" s="7" t="s">
        <v>811</v>
      </c>
      <c r="D17" s="12" t="s">
        <v>747</v>
      </c>
      <c r="E17" s="12" t="s">
        <v>810</v>
      </c>
      <c r="F17" s="12" t="s">
        <v>779</v>
      </c>
    </row>
    <row r="18" spans="1:6">
      <c r="A18" s="70"/>
      <c r="B18" s="12">
        <f t="shared" si="0"/>
        <v>16</v>
      </c>
      <c r="C18" s="7" t="s">
        <v>750</v>
      </c>
      <c r="D18" s="12" t="s">
        <v>747</v>
      </c>
      <c r="E18" s="12" t="s">
        <v>810</v>
      </c>
      <c r="F18" s="12" t="s">
        <v>779</v>
      </c>
    </row>
    <row r="19" spans="1:6">
      <c r="A19" s="70"/>
      <c r="B19" s="12">
        <f t="shared" si="0"/>
        <v>17</v>
      </c>
      <c r="C19" s="7" t="s">
        <v>753</v>
      </c>
      <c r="D19" s="12" t="s">
        <v>749</v>
      </c>
      <c r="E19" s="12" t="s">
        <v>740</v>
      </c>
      <c r="F19" s="12" t="s">
        <v>736</v>
      </c>
    </row>
    <row r="20" spans="1:6">
      <c r="A20" s="70"/>
      <c r="B20" s="12">
        <f t="shared" si="0"/>
        <v>18</v>
      </c>
      <c r="C20" s="7" t="s">
        <v>812</v>
      </c>
      <c r="D20" s="12" t="s">
        <v>813</v>
      </c>
      <c r="E20" s="12" t="s">
        <v>810</v>
      </c>
      <c r="F20" s="12"/>
    </row>
    <row r="21" spans="1:6">
      <c r="A21" s="70"/>
      <c r="B21" s="12">
        <f t="shared" si="0"/>
        <v>19</v>
      </c>
      <c r="C21" s="7" t="s">
        <v>814</v>
      </c>
      <c r="D21" s="12" t="s">
        <v>813</v>
      </c>
      <c r="E21" s="12" t="s">
        <v>810</v>
      </c>
      <c r="F21" s="12"/>
    </row>
    <row r="22" spans="1:6">
      <c r="A22" s="70"/>
      <c r="B22" s="12">
        <f t="shared" si="0"/>
        <v>20</v>
      </c>
      <c r="C22" s="7" t="s">
        <v>815</v>
      </c>
      <c r="D22" s="12" t="s">
        <v>813</v>
      </c>
      <c r="E22" s="12" t="s">
        <v>810</v>
      </c>
      <c r="F22" s="12"/>
    </row>
    <row r="23" spans="1:6">
      <c r="A23" s="70"/>
      <c r="B23" s="12">
        <f t="shared" si="0"/>
        <v>21</v>
      </c>
      <c r="C23" s="7" t="s">
        <v>35</v>
      </c>
      <c r="D23" s="12" t="s">
        <v>813</v>
      </c>
      <c r="E23" s="12" t="s">
        <v>810</v>
      </c>
      <c r="F23" s="12"/>
    </row>
    <row r="24" spans="1:6">
      <c r="A24" s="70"/>
      <c r="B24" s="12">
        <f t="shared" si="0"/>
        <v>22</v>
      </c>
      <c r="C24" s="7" t="s">
        <v>36</v>
      </c>
      <c r="D24" s="12" t="s">
        <v>813</v>
      </c>
      <c r="E24" s="12" t="s">
        <v>810</v>
      </c>
      <c r="F24" s="12"/>
    </row>
    <row r="25" spans="1:6">
      <c r="A25" s="70"/>
      <c r="B25" s="12">
        <f t="shared" si="0"/>
        <v>23</v>
      </c>
      <c r="C25" s="7" t="s">
        <v>37</v>
      </c>
      <c r="D25" s="12" t="s">
        <v>813</v>
      </c>
      <c r="E25" s="12" t="s">
        <v>810</v>
      </c>
      <c r="F25" s="12"/>
    </row>
    <row r="26" spans="1:7">
      <c r="A26" s="70"/>
      <c r="B26" s="12">
        <f t="shared" si="0"/>
        <v>24</v>
      </c>
      <c r="C26" s="7" t="s">
        <v>816</v>
      </c>
      <c r="D26" s="12" t="s">
        <v>817</v>
      </c>
      <c r="E26" s="12" t="s">
        <v>810</v>
      </c>
      <c r="F26" s="12"/>
      <c r="G26" s="71" t="s">
        <v>818</v>
      </c>
    </row>
    <row r="27" spans="1:7">
      <c r="A27" s="70"/>
      <c r="B27" s="12">
        <f t="shared" si="0"/>
        <v>25</v>
      </c>
      <c r="C27" s="7" t="s">
        <v>819</v>
      </c>
      <c r="D27" s="12" t="s">
        <v>820</v>
      </c>
      <c r="E27" s="12" t="s">
        <v>810</v>
      </c>
      <c r="F27" s="12"/>
      <c r="G27" s="71"/>
    </row>
    <row r="28" spans="1:7">
      <c r="A28" s="70"/>
      <c r="B28" s="12">
        <f t="shared" si="0"/>
        <v>26</v>
      </c>
      <c r="C28" s="7" t="s">
        <v>821</v>
      </c>
      <c r="D28" s="12" t="s">
        <v>749</v>
      </c>
      <c r="E28" s="12" t="s">
        <v>822</v>
      </c>
      <c r="F28" s="12"/>
      <c r="G28" s="71"/>
    </row>
    <row r="29" spans="1:7">
      <c r="A29" s="70"/>
      <c r="B29" s="12">
        <f t="shared" si="0"/>
        <v>27</v>
      </c>
      <c r="C29" s="7" t="s">
        <v>823</v>
      </c>
      <c r="D29" s="12" t="s">
        <v>749</v>
      </c>
      <c r="E29" s="12" t="s">
        <v>822</v>
      </c>
      <c r="F29" s="12"/>
      <c r="G29" s="71"/>
    </row>
    <row r="30" spans="1:6">
      <c r="A30" s="36" t="s">
        <v>758</v>
      </c>
      <c r="B30" s="12">
        <f t="shared" si="0"/>
        <v>28</v>
      </c>
      <c r="C30" s="7" t="s">
        <v>824</v>
      </c>
      <c r="D30" s="12" t="s">
        <v>749</v>
      </c>
      <c r="E30" s="12" t="s">
        <v>822</v>
      </c>
      <c r="F30" s="12" t="s">
        <v>736</v>
      </c>
    </row>
    <row r="31" spans="1:6">
      <c r="A31" s="12"/>
      <c r="B31" s="12">
        <f t="shared" si="0"/>
        <v>29</v>
      </c>
      <c r="C31" s="7" t="s">
        <v>825</v>
      </c>
      <c r="D31" s="12" t="s">
        <v>749</v>
      </c>
      <c r="E31" s="12" t="s">
        <v>822</v>
      </c>
      <c r="F31" s="12" t="s">
        <v>736</v>
      </c>
    </row>
    <row r="32" spans="1:6">
      <c r="A32" s="12"/>
      <c r="B32" s="12">
        <f t="shared" ref="B32:B41" si="1">ROW()-2</f>
        <v>30</v>
      </c>
      <c r="C32" s="7" t="s">
        <v>826</v>
      </c>
      <c r="D32" s="12" t="s">
        <v>763</v>
      </c>
      <c r="E32" s="12" t="s">
        <v>822</v>
      </c>
      <c r="F32" s="12" t="s">
        <v>736</v>
      </c>
    </row>
    <row r="33" spans="1:6">
      <c r="A33" s="12"/>
      <c r="B33" s="12">
        <f t="shared" si="1"/>
        <v>31</v>
      </c>
      <c r="C33" s="7" t="s">
        <v>827</v>
      </c>
      <c r="D33" s="12" t="s">
        <v>763</v>
      </c>
      <c r="E33" s="12" t="s">
        <v>822</v>
      </c>
      <c r="F33" s="12" t="s">
        <v>736</v>
      </c>
    </row>
    <row r="34" spans="1:6">
      <c r="A34" s="12"/>
      <c r="B34" s="12">
        <f t="shared" si="1"/>
        <v>32</v>
      </c>
      <c r="C34" s="7" t="s">
        <v>828</v>
      </c>
      <c r="D34" s="12" t="s">
        <v>763</v>
      </c>
      <c r="E34" s="12" t="s">
        <v>822</v>
      </c>
      <c r="F34" s="12" t="s">
        <v>736</v>
      </c>
    </row>
    <row r="35" spans="1:6">
      <c r="A35" s="12"/>
      <c r="B35" s="12">
        <f t="shared" si="1"/>
        <v>33</v>
      </c>
      <c r="C35" s="7" t="s">
        <v>829</v>
      </c>
      <c r="D35" s="12" t="s">
        <v>763</v>
      </c>
      <c r="E35" s="12" t="s">
        <v>822</v>
      </c>
      <c r="F35" s="12" t="s">
        <v>736</v>
      </c>
    </row>
    <row r="36" spans="1:6">
      <c r="A36" s="12"/>
      <c r="B36" s="12">
        <f t="shared" si="1"/>
        <v>34</v>
      </c>
      <c r="C36" s="7" t="s">
        <v>830</v>
      </c>
      <c r="D36" s="12" t="s">
        <v>749</v>
      </c>
      <c r="E36" s="12" t="s">
        <v>822</v>
      </c>
      <c r="F36" s="12" t="s">
        <v>736</v>
      </c>
    </row>
    <row r="37" spans="1:6">
      <c r="A37" s="12"/>
      <c r="B37" s="12">
        <f t="shared" si="1"/>
        <v>35</v>
      </c>
      <c r="C37" s="7" t="s">
        <v>831</v>
      </c>
      <c r="D37" s="12" t="s">
        <v>749</v>
      </c>
      <c r="E37" s="12" t="s">
        <v>822</v>
      </c>
      <c r="F37" s="12" t="s">
        <v>736</v>
      </c>
    </row>
    <row r="38" spans="1:6">
      <c r="A38" s="12"/>
      <c r="B38" s="12">
        <f t="shared" si="1"/>
        <v>36</v>
      </c>
      <c r="C38" s="7" t="s">
        <v>772</v>
      </c>
      <c r="D38" s="12" t="s">
        <v>773</v>
      </c>
      <c r="E38" s="12" t="s">
        <v>822</v>
      </c>
      <c r="F38" s="12" t="s">
        <v>736</v>
      </c>
    </row>
    <row r="39" spans="1:6">
      <c r="A39" s="12"/>
      <c r="B39" s="12">
        <f t="shared" si="1"/>
        <v>37</v>
      </c>
      <c r="C39" s="7" t="s">
        <v>774</v>
      </c>
      <c r="D39" s="12" t="s">
        <v>749</v>
      </c>
      <c r="E39" s="12" t="s">
        <v>822</v>
      </c>
      <c r="F39" s="12" t="s">
        <v>779</v>
      </c>
    </row>
    <row r="40" spans="1:1">
      <c r="A40" s="1"/>
    </row>
    <row r="41" spans="1:1">
      <c r="A41" s="1"/>
    </row>
    <row r="42" spans="1:1">
      <c r="A42" s="1"/>
    </row>
  </sheetData>
  <mergeCells count="6">
    <mergeCell ref="A1:F1"/>
    <mergeCell ref="A3:A12"/>
    <mergeCell ref="A13:A15"/>
    <mergeCell ref="A16:A29"/>
    <mergeCell ref="A30:A39"/>
    <mergeCell ref="G26:G2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zoomScale="160" zoomScaleNormal="160" workbookViewId="0">
      <pane ySplit="1" topLeftCell="A2" activePane="bottomLeft" state="frozen"/>
      <selection/>
      <selection pane="bottomLeft" activeCell="A15" sqref="A15"/>
    </sheetView>
  </sheetViews>
  <sheetFormatPr defaultColWidth="9.02777777777778" defaultRowHeight="14.4" outlineLevelCol="2"/>
  <cols>
    <col min="1" max="1" width="18.1296296296296" style="31" customWidth="1"/>
    <col min="2" max="2" width="47.1481481481481" style="31" customWidth="1"/>
    <col min="3" max="3" width="29.6666666666667" style="31" customWidth="1"/>
  </cols>
  <sheetData>
    <row r="1" ht="18" customHeight="1" spans="1:3">
      <c r="A1" s="51" t="s">
        <v>832</v>
      </c>
      <c r="B1" s="52"/>
      <c r="C1" s="53"/>
    </row>
    <row r="2" ht="18" customHeight="1" spans="1:3">
      <c r="A2" s="54" t="s">
        <v>833</v>
      </c>
      <c r="B2" s="52"/>
      <c r="C2" s="53"/>
    </row>
    <row r="3" ht="18" customHeight="1" spans="1:3">
      <c r="A3" s="54" t="s">
        <v>834</v>
      </c>
      <c r="B3" s="52"/>
      <c r="C3" s="53"/>
    </row>
    <row r="4" ht="18" customHeight="1" spans="1:3">
      <c r="A4" s="54" t="s">
        <v>835</v>
      </c>
      <c r="B4" s="52"/>
      <c r="C4" s="53"/>
    </row>
    <row r="5" ht="18" customHeight="1" spans="1:3">
      <c r="A5" s="55"/>
      <c r="B5" s="52"/>
      <c r="C5" s="53"/>
    </row>
    <row r="6" ht="16" customHeight="1" spans="1:3">
      <c r="A6" s="56" t="s">
        <v>836</v>
      </c>
      <c r="B6" s="56" t="s">
        <v>837</v>
      </c>
      <c r="C6" s="56" t="s">
        <v>729</v>
      </c>
    </row>
    <row r="7" ht="16" customHeight="1" spans="1:3">
      <c r="A7" s="57" t="s">
        <v>838</v>
      </c>
      <c r="B7" s="58" t="s">
        <v>839</v>
      </c>
      <c r="C7" s="57" t="s">
        <v>735</v>
      </c>
    </row>
    <row r="8" ht="16" customHeight="1" spans="1:3">
      <c r="A8" s="57"/>
      <c r="B8" s="57" t="s">
        <v>840</v>
      </c>
      <c r="C8" s="57"/>
    </row>
    <row r="9" ht="16" customHeight="1" spans="1:3">
      <c r="A9" s="57"/>
      <c r="B9" s="57" t="s">
        <v>841</v>
      </c>
      <c r="C9" s="57"/>
    </row>
    <row r="10" ht="16" customHeight="1" spans="1:3">
      <c r="A10" s="57"/>
      <c r="B10" s="57" t="s">
        <v>842</v>
      </c>
      <c r="C10" s="57"/>
    </row>
    <row r="11" ht="16" customHeight="1" spans="1:3">
      <c r="A11" s="57"/>
      <c r="B11" s="59" t="s">
        <v>843</v>
      </c>
      <c r="C11" s="59"/>
    </row>
    <row r="12" ht="16" customHeight="1" spans="1:3">
      <c r="A12" s="57"/>
      <c r="B12" s="58" t="s">
        <v>844</v>
      </c>
      <c r="C12" s="57" t="s">
        <v>845</v>
      </c>
    </row>
    <row r="13" ht="16" customHeight="1" spans="1:3">
      <c r="A13" s="57"/>
      <c r="B13" s="57" t="s">
        <v>846</v>
      </c>
      <c r="C13" s="57"/>
    </row>
    <row r="14" ht="16" customHeight="1" spans="1:3">
      <c r="A14" s="57"/>
      <c r="B14" s="57" t="s">
        <v>847</v>
      </c>
      <c r="C14" s="57"/>
    </row>
    <row r="15" ht="16" customHeight="1" spans="1:3">
      <c r="A15" s="57"/>
      <c r="B15" s="59" t="s">
        <v>848</v>
      </c>
      <c r="C15" s="59"/>
    </row>
    <row r="16" ht="16" customHeight="1" spans="1:3">
      <c r="A16" s="57"/>
      <c r="B16" s="58" t="s">
        <v>849</v>
      </c>
      <c r="C16" s="57" t="s">
        <v>735</v>
      </c>
    </row>
    <row r="17" ht="16" customHeight="1" spans="1:3">
      <c r="A17" s="57"/>
      <c r="B17" s="57" t="s">
        <v>850</v>
      </c>
      <c r="C17" s="57"/>
    </row>
    <row r="18" ht="16" customHeight="1" spans="1:3">
      <c r="A18" s="57"/>
      <c r="B18" s="57" t="s">
        <v>851</v>
      </c>
      <c r="C18" s="57"/>
    </row>
    <row r="19" ht="16" customHeight="1" spans="1:3">
      <c r="A19" s="57"/>
      <c r="B19" s="59" t="s">
        <v>852</v>
      </c>
      <c r="C19" s="59"/>
    </row>
    <row r="20" ht="16" customHeight="1" spans="1:3">
      <c r="A20" s="57"/>
      <c r="B20" s="58" t="s">
        <v>853</v>
      </c>
      <c r="C20" s="57" t="s">
        <v>854</v>
      </c>
    </row>
    <row r="21" ht="16" customHeight="1" spans="1:3">
      <c r="A21" s="57"/>
      <c r="B21" s="57" t="s">
        <v>855</v>
      </c>
      <c r="C21" s="57"/>
    </row>
    <row r="22" ht="16" customHeight="1" spans="1:3">
      <c r="A22" s="57"/>
      <c r="B22" s="57" t="s">
        <v>856</v>
      </c>
      <c r="C22" s="57"/>
    </row>
    <row r="23" ht="29.55" spans="1:3">
      <c r="A23" s="59"/>
      <c r="B23" s="59" t="s">
        <v>857</v>
      </c>
      <c r="C23" s="59"/>
    </row>
    <row r="24" ht="16" customHeight="1" spans="1:3">
      <c r="A24" s="60" t="s">
        <v>858</v>
      </c>
      <c r="B24" s="61" t="s">
        <v>859</v>
      </c>
      <c r="C24" s="60" t="s">
        <v>860</v>
      </c>
    </row>
    <row r="25" ht="19" customHeight="1" spans="1:3">
      <c r="A25" s="60"/>
      <c r="B25" s="60" t="s">
        <v>861</v>
      </c>
      <c r="C25" s="60"/>
    </row>
    <row r="26" ht="19" customHeight="1" spans="1:3">
      <c r="A26" s="60"/>
      <c r="B26" s="60" t="s">
        <v>862</v>
      </c>
      <c r="C26" s="60"/>
    </row>
    <row r="27" ht="26" customHeight="1" spans="1:3">
      <c r="A27" s="62"/>
      <c r="B27" s="62" t="s">
        <v>863</v>
      </c>
      <c r="C27" s="62"/>
    </row>
    <row r="28" ht="16" customHeight="1" spans="1:3">
      <c r="A28" s="63" t="s">
        <v>864</v>
      </c>
      <c r="B28" s="61" t="s">
        <v>865</v>
      </c>
      <c r="C28" s="60" t="s">
        <v>866</v>
      </c>
    </row>
    <row r="29" ht="16" customHeight="1" spans="1:3">
      <c r="A29" s="63"/>
      <c r="B29" s="60" t="s">
        <v>867</v>
      </c>
      <c r="C29" s="60"/>
    </row>
    <row r="30" ht="16" customHeight="1" spans="1:3">
      <c r="A30" s="63"/>
      <c r="B30" s="60" t="s">
        <v>868</v>
      </c>
      <c r="C30" s="60"/>
    </row>
    <row r="31" ht="16" customHeight="1" spans="1:3">
      <c r="A31" s="63"/>
      <c r="B31" s="60" t="s">
        <v>869</v>
      </c>
      <c r="C31" s="60"/>
    </row>
    <row r="32" ht="16" customHeight="1" spans="1:3">
      <c r="A32" s="63"/>
      <c r="B32" s="62" t="s">
        <v>870</v>
      </c>
      <c r="C32" s="62"/>
    </row>
    <row r="33" ht="16" customHeight="1" spans="1:3">
      <c r="A33" s="63"/>
      <c r="B33" s="61" t="s">
        <v>871</v>
      </c>
      <c r="C33" s="64" t="s">
        <v>872</v>
      </c>
    </row>
    <row r="34" ht="16" customHeight="1" spans="1:3">
      <c r="A34" s="63"/>
      <c r="B34" s="60" t="s">
        <v>873</v>
      </c>
      <c r="C34" s="60"/>
    </row>
    <row r="35" ht="16" customHeight="1" spans="1:3">
      <c r="A35" s="63"/>
      <c r="B35" s="60" t="s">
        <v>874</v>
      </c>
      <c r="C35" s="60"/>
    </row>
    <row r="36" ht="16" customHeight="1" spans="1:3">
      <c r="A36" s="65"/>
      <c r="B36" s="62" t="s">
        <v>875</v>
      </c>
      <c r="C36" s="62"/>
    </row>
    <row r="37" spans="2:2">
      <c r="B37" s="31" t="s">
        <v>876</v>
      </c>
    </row>
    <row r="38" spans="2:2">
      <c r="B38" s="31" t="s">
        <v>877</v>
      </c>
    </row>
    <row r="39" ht="28.8" spans="2:2">
      <c r="B39" s="31" t="s">
        <v>878</v>
      </c>
    </row>
  </sheetData>
  <mergeCells count="5">
    <mergeCell ref="A24:A27"/>
    <mergeCell ref="A28:A36"/>
    <mergeCell ref="C24:C27"/>
    <mergeCell ref="C28:C32"/>
    <mergeCell ref="C33:C3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32"/>
  <sheetViews>
    <sheetView zoomScale="145" zoomScaleNormal="145" workbookViewId="0">
      <pane ySplit="1" topLeftCell="A2" activePane="bottomLeft" state="frozen"/>
      <selection/>
      <selection pane="bottomLeft" activeCell="B33" sqref="B33"/>
    </sheetView>
  </sheetViews>
  <sheetFormatPr defaultColWidth="8.88888888888889" defaultRowHeight="14.4" outlineLevelCol="7"/>
  <cols>
    <col min="1" max="1" width="8.88888888888889" style="1"/>
    <col min="2" max="2" width="8.88888888888889" customWidth="1"/>
    <col min="3" max="3" width="18.3333333333333" customWidth="1"/>
    <col min="4" max="4" width="16.2222222222222" customWidth="1"/>
    <col min="5" max="5" width="11.2222222222222" customWidth="1"/>
    <col min="6" max="6" width="18.1944444444444" customWidth="1"/>
    <col min="7" max="7" width="25.8888888888889" customWidth="1"/>
    <col min="8" max="8" width="27.7777777777778" customWidth="1"/>
  </cols>
  <sheetData>
    <row r="1" s="45" customFormat="1" ht="21" customHeight="1" spans="1:8">
      <c r="A1" s="11" t="s">
        <v>0</v>
      </c>
      <c r="B1" s="11" t="s">
        <v>1</v>
      </c>
      <c r="C1" s="11" t="s">
        <v>879</v>
      </c>
      <c r="D1" s="11" t="s">
        <v>880</v>
      </c>
      <c r="E1" s="11" t="s">
        <v>881</v>
      </c>
      <c r="F1" s="11" t="s">
        <v>882</v>
      </c>
      <c r="G1" s="11" t="s">
        <v>883</v>
      </c>
      <c r="H1" s="46" t="s">
        <v>10</v>
      </c>
    </row>
    <row r="2" ht="19" customHeight="1" spans="1:8">
      <c r="A2" s="12">
        <f>ROW()-1</f>
        <v>1</v>
      </c>
      <c r="B2" s="13" t="s">
        <v>884</v>
      </c>
      <c r="C2" s="13" t="s">
        <v>129</v>
      </c>
      <c r="D2" s="47">
        <v>45663</v>
      </c>
      <c r="E2" s="13" t="s">
        <v>885</v>
      </c>
      <c r="F2" s="14" t="s">
        <v>886</v>
      </c>
      <c r="G2" s="14" t="s">
        <v>887</v>
      </c>
      <c r="H2" s="7"/>
    </row>
    <row r="3" ht="19" customHeight="1" spans="1:8">
      <c r="A3" s="12">
        <f t="shared" ref="A3:A12" si="0">ROW()-1</f>
        <v>2</v>
      </c>
      <c r="B3" s="13" t="s">
        <v>888</v>
      </c>
      <c r="C3" s="13" t="s">
        <v>54</v>
      </c>
      <c r="D3" s="47">
        <v>45722</v>
      </c>
      <c r="E3" s="13" t="s">
        <v>885</v>
      </c>
      <c r="F3" s="14" t="s">
        <v>889</v>
      </c>
      <c r="G3" s="14" t="s">
        <v>890</v>
      </c>
      <c r="H3" s="14" t="s">
        <v>891</v>
      </c>
    </row>
    <row r="4" ht="19" hidden="1" customHeight="1" spans="1:8">
      <c r="A4" s="12">
        <f t="shared" si="0"/>
        <v>3</v>
      </c>
      <c r="B4" s="13" t="s">
        <v>892</v>
      </c>
      <c r="C4" s="13" t="s">
        <v>171</v>
      </c>
      <c r="D4" s="47">
        <v>45757</v>
      </c>
      <c r="E4" s="13" t="s">
        <v>893</v>
      </c>
      <c r="F4" s="14" t="s">
        <v>894</v>
      </c>
      <c r="G4" s="14" t="s">
        <v>895</v>
      </c>
      <c r="H4" s="7"/>
    </row>
    <row r="5" ht="19" customHeight="1" spans="1:8">
      <c r="A5" s="12">
        <f t="shared" si="0"/>
        <v>4</v>
      </c>
      <c r="B5" s="13" t="s">
        <v>896</v>
      </c>
      <c r="C5" s="13" t="s">
        <v>148</v>
      </c>
      <c r="D5" s="47">
        <v>45800</v>
      </c>
      <c r="E5" s="13" t="s">
        <v>885</v>
      </c>
      <c r="F5" s="14" t="s">
        <v>886</v>
      </c>
      <c r="G5" s="14" t="s">
        <v>897</v>
      </c>
      <c r="H5" s="7"/>
    </row>
    <row r="6" ht="19" customHeight="1" spans="1:8">
      <c r="A6" s="12">
        <f t="shared" si="0"/>
        <v>5</v>
      </c>
      <c r="B6" s="13" t="s">
        <v>898</v>
      </c>
      <c r="C6" s="13" t="s">
        <v>148</v>
      </c>
      <c r="D6" s="47">
        <v>45800</v>
      </c>
      <c r="E6" s="13" t="s">
        <v>885</v>
      </c>
      <c r="F6" s="14" t="s">
        <v>886</v>
      </c>
      <c r="G6" s="14" t="s">
        <v>897</v>
      </c>
      <c r="H6" s="7"/>
    </row>
    <row r="7" ht="19" hidden="1" customHeight="1" spans="1:8">
      <c r="A7" s="12">
        <f t="shared" si="0"/>
        <v>6</v>
      </c>
      <c r="B7" s="13" t="s">
        <v>899</v>
      </c>
      <c r="C7" s="13" t="s">
        <v>222</v>
      </c>
      <c r="D7" s="47">
        <v>45814</v>
      </c>
      <c r="E7" s="13" t="s">
        <v>893</v>
      </c>
      <c r="F7" s="48" t="s">
        <v>900</v>
      </c>
      <c r="G7" s="14" t="s">
        <v>901</v>
      </c>
      <c r="H7" s="7"/>
    </row>
    <row r="8" ht="19" hidden="1" customHeight="1" spans="1:8">
      <c r="A8" s="12">
        <f t="shared" si="0"/>
        <v>7</v>
      </c>
      <c r="B8" s="13" t="s">
        <v>902</v>
      </c>
      <c r="C8" s="13" t="s">
        <v>171</v>
      </c>
      <c r="D8" s="47">
        <v>45832</v>
      </c>
      <c r="E8" s="13" t="s">
        <v>893</v>
      </c>
      <c r="F8" s="48" t="s">
        <v>903</v>
      </c>
      <c r="G8" s="14" t="s">
        <v>904</v>
      </c>
      <c r="H8" s="7"/>
    </row>
    <row r="9" ht="19" hidden="1" customHeight="1" spans="1:8">
      <c r="A9" s="12">
        <f t="shared" si="0"/>
        <v>8</v>
      </c>
      <c r="B9" s="13" t="s">
        <v>905</v>
      </c>
      <c r="C9" s="13" t="s">
        <v>148</v>
      </c>
      <c r="D9" s="47">
        <v>45828</v>
      </c>
      <c r="E9" s="13" t="s">
        <v>893</v>
      </c>
      <c r="F9" s="14" t="s">
        <v>906</v>
      </c>
      <c r="G9" s="14" t="s">
        <v>907</v>
      </c>
      <c r="H9" s="7"/>
    </row>
    <row r="10" ht="19" hidden="1" customHeight="1" spans="1:8">
      <c r="A10" s="12">
        <f t="shared" si="0"/>
        <v>9</v>
      </c>
      <c r="B10" s="13" t="s">
        <v>908</v>
      </c>
      <c r="C10" s="13" t="s">
        <v>129</v>
      </c>
      <c r="D10" s="47">
        <v>45828</v>
      </c>
      <c r="E10" s="13" t="s">
        <v>893</v>
      </c>
      <c r="F10" s="14" t="s">
        <v>909</v>
      </c>
      <c r="G10" s="14" t="s">
        <v>910</v>
      </c>
      <c r="H10" s="7"/>
    </row>
    <row r="11" ht="19" hidden="1" customHeight="1" spans="1:8">
      <c r="A11" s="12">
        <f t="shared" si="0"/>
        <v>10</v>
      </c>
      <c r="B11" s="13" t="s">
        <v>911</v>
      </c>
      <c r="C11" s="13" t="s">
        <v>205</v>
      </c>
      <c r="D11" s="47">
        <v>45832</v>
      </c>
      <c r="E11" s="13" t="s">
        <v>893</v>
      </c>
      <c r="F11" s="14" t="s">
        <v>912</v>
      </c>
      <c r="G11" s="14" t="s">
        <v>913</v>
      </c>
      <c r="H11" s="7"/>
    </row>
    <row r="12" ht="105" hidden="1" spans="1:8">
      <c r="A12" s="12">
        <f t="shared" si="0"/>
        <v>11</v>
      </c>
      <c r="B12" s="13" t="s">
        <v>914</v>
      </c>
      <c r="C12" s="13" t="s">
        <v>189</v>
      </c>
      <c r="D12" s="47">
        <v>45832</v>
      </c>
      <c r="E12" s="13" t="s">
        <v>893</v>
      </c>
      <c r="F12" s="48" t="s">
        <v>915</v>
      </c>
      <c r="G12" s="14" t="s">
        <v>916</v>
      </c>
      <c r="H12" s="7"/>
    </row>
    <row r="13" ht="19" hidden="1" customHeight="1" spans="1:8">
      <c r="A13" s="12">
        <f t="shared" ref="A13:A18" si="1">ROW()-1</f>
        <v>12</v>
      </c>
      <c r="B13" s="13" t="s">
        <v>917</v>
      </c>
      <c r="C13" s="13" t="s">
        <v>189</v>
      </c>
      <c r="D13" s="47">
        <v>45889</v>
      </c>
      <c r="E13" s="13" t="s">
        <v>893</v>
      </c>
      <c r="F13" s="14" t="s">
        <v>918</v>
      </c>
      <c r="G13" s="14" t="s">
        <v>919</v>
      </c>
      <c r="H13" s="7"/>
    </row>
    <row r="14" ht="19" customHeight="1" spans="1:8">
      <c r="A14" s="12">
        <f t="shared" si="1"/>
        <v>13</v>
      </c>
      <c r="B14" s="13" t="s">
        <v>920</v>
      </c>
      <c r="C14" s="13" t="s">
        <v>98</v>
      </c>
      <c r="D14" s="47">
        <v>45863</v>
      </c>
      <c r="E14" s="13" t="s">
        <v>885</v>
      </c>
      <c r="F14" s="14" t="s">
        <v>886</v>
      </c>
      <c r="G14" s="14" t="s">
        <v>887</v>
      </c>
      <c r="H14" s="7"/>
    </row>
    <row r="15" ht="19" hidden="1" customHeight="1" spans="1:8">
      <c r="A15" s="12">
        <f t="shared" si="1"/>
        <v>14</v>
      </c>
      <c r="B15" s="13" t="s">
        <v>443</v>
      </c>
      <c r="C15" s="13" t="s">
        <v>171</v>
      </c>
      <c r="D15" s="47">
        <v>45968</v>
      </c>
      <c r="E15" s="13" t="s">
        <v>893</v>
      </c>
      <c r="F15" s="48" t="s">
        <v>921</v>
      </c>
      <c r="G15" s="14" t="s">
        <v>922</v>
      </c>
      <c r="H15" s="7"/>
    </row>
    <row r="16" ht="19" customHeight="1" spans="1:8">
      <c r="A16" s="12">
        <f t="shared" si="1"/>
        <v>15</v>
      </c>
      <c r="B16" s="13" t="s">
        <v>159</v>
      </c>
      <c r="C16" s="13" t="s">
        <v>148</v>
      </c>
      <c r="D16" s="47">
        <v>45945</v>
      </c>
      <c r="E16" s="13" t="s">
        <v>885</v>
      </c>
      <c r="F16" s="14" t="s">
        <v>886</v>
      </c>
      <c r="G16" s="14" t="s">
        <v>923</v>
      </c>
      <c r="H16" s="7"/>
    </row>
    <row r="17" ht="19" customHeight="1" spans="1:8">
      <c r="A17" s="12">
        <f t="shared" si="1"/>
        <v>16</v>
      </c>
      <c r="B17" s="13" t="s">
        <v>475</v>
      </c>
      <c r="C17" s="13" t="s">
        <v>189</v>
      </c>
      <c r="D17" s="47">
        <v>45986</v>
      </c>
      <c r="E17" s="13" t="s">
        <v>885</v>
      </c>
      <c r="F17" s="14" t="s">
        <v>886</v>
      </c>
      <c r="G17" s="14" t="s">
        <v>924</v>
      </c>
      <c r="H17" s="7"/>
    </row>
    <row r="18" ht="19" customHeight="1" spans="1:8">
      <c r="A18" s="12">
        <f t="shared" si="1"/>
        <v>17</v>
      </c>
      <c r="B18" s="15" t="s">
        <v>193</v>
      </c>
      <c r="C18" s="15" t="s">
        <v>189</v>
      </c>
      <c r="D18" s="49">
        <v>45986</v>
      </c>
      <c r="E18" s="15" t="s">
        <v>885</v>
      </c>
      <c r="F18" s="16" t="s">
        <v>886</v>
      </c>
      <c r="G18" s="16" t="s">
        <v>897</v>
      </c>
      <c r="H18" s="7"/>
    </row>
    <row r="19" ht="19" hidden="1" customHeight="1" spans="1:8">
      <c r="A19" s="12">
        <v>1</v>
      </c>
      <c r="B19" s="15" t="s">
        <v>925</v>
      </c>
      <c r="C19" s="15" t="s">
        <v>98</v>
      </c>
      <c r="D19" s="49">
        <v>45369</v>
      </c>
      <c r="E19" s="15" t="s">
        <v>893</v>
      </c>
      <c r="F19" s="16" t="s">
        <v>926</v>
      </c>
      <c r="G19" s="16"/>
      <c r="H19" s="7"/>
    </row>
    <row r="20" ht="19" hidden="1" customHeight="1" spans="1:8">
      <c r="A20" s="12">
        <v>2</v>
      </c>
      <c r="B20" s="15" t="s">
        <v>927</v>
      </c>
      <c r="C20" s="15" t="s">
        <v>171</v>
      </c>
      <c r="D20" s="49">
        <v>45399</v>
      </c>
      <c r="E20" s="15" t="s">
        <v>893</v>
      </c>
      <c r="F20" s="16" t="s">
        <v>928</v>
      </c>
      <c r="G20" s="16"/>
      <c r="H20" s="7"/>
    </row>
    <row r="21" ht="19" hidden="1" customHeight="1" spans="1:8">
      <c r="A21" s="12">
        <v>3</v>
      </c>
      <c r="B21" s="15" t="s">
        <v>929</v>
      </c>
      <c r="C21" s="15" t="s">
        <v>148</v>
      </c>
      <c r="D21" s="49">
        <v>45432</v>
      </c>
      <c r="E21" s="15" t="s">
        <v>893</v>
      </c>
      <c r="F21" s="16" t="s">
        <v>930</v>
      </c>
      <c r="G21" s="16"/>
      <c r="H21" s="7"/>
    </row>
    <row r="22" ht="19" hidden="1" customHeight="1" spans="1:8">
      <c r="A22" s="12">
        <v>4</v>
      </c>
      <c r="B22" s="15" t="s">
        <v>931</v>
      </c>
      <c r="C22" s="15" t="s">
        <v>148</v>
      </c>
      <c r="D22" s="49">
        <v>45464</v>
      </c>
      <c r="E22" s="15" t="s">
        <v>893</v>
      </c>
      <c r="F22" s="16" t="s">
        <v>932</v>
      </c>
      <c r="G22" s="16"/>
      <c r="H22" s="7"/>
    </row>
    <row r="23" ht="19" hidden="1" customHeight="1" spans="1:8">
      <c r="A23" s="12">
        <v>5</v>
      </c>
      <c r="B23" s="15" t="s">
        <v>933</v>
      </c>
      <c r="C23" s="15" t="s">
        <v>129</v>
      </c>
      <c r="D23" s="49">
        <v>45485</v>
      </c>
      <c r="E23" s="15" t="s">
        <v>893</v>
      </c>
      <c r="F23" s="16" t="s">
        <v>934</v>
      </c>
      <c r="G23" s="16"/>
      <c r="H23" s="7"/>
    </row>
    <row r="24" ht="19" hidden="1" customHeight="1" spans="1:8">
      <c r="A24" s="12">
        <v>6</v>
      </c>
      <c r="B24" s="15" t="s">
        <v>935</v>
      </c>
      <c r="C24" s="15" t="s">
        <v>54</v>
      </c>
      <c r="D24" s="49">
        <v>45491</v>
      </c>
      <c r="E24" s="15" t="s">
        <v>893</v>
      </c>
      <c r="F24" s="16" t="s">
        <v>936</v>
      </c>
      <c r="G24" s="16"/>
      <c r="H24" s="7"/>
    </row>
    <row r="25" ht="19" hidden="1" customHeight="1" spans="1:8">
      <c r="A25" s="12">
        <v>7</v>
      </c>
      <c r="B25" s="15" t="s">
        <v>937</v>
      </c>
      <c r="C25" s="15" t="s">
        <v>98</v>
      </c>
      <c r="D25" s="49">
        <v>45497</v>
      </c>
      <c r="E25" s="15" t="s">
        <v>893</v>
      </c>
      <c r="F25" s="16" t="s">
        <v>934</v>
      </c>
      <c r="G25" s="16"/>
      <c r="H25" s="7"/>
    </row>
    <row r="26" ht="19" hidden="1" customHeight="1" spans="1:8">
      <c r="A26" s="12">
        <v>8</v>
      </c>
      <c r="B26" s="15" t="s">
        <v>938</v>
      </c>
      <c r="C26" s="15" t="s">
        <v>148</v>
      </c>
      <c r="D26" s="49">
        <v>45527</v>
      </c>
      <c r="E26" s="15" t="s">
        <v>893</v>
      </c>
      <c r="F26" s="16" t="s">
        <v>939</v>
      </c>
      <c r="G26" s="16"/>
      <c r="H26" s="7"/>
    </row>
    <row r="27" ht="19" hidden="1" customHeight="1" spans="1:8">
      <c r="A27" s="12">
        <v>9</v>
      </c>
      <c r="B27" s="15" t="s">
        <v>940</v>
      </c>
      <c r="C27" s="15" t="s">
        <v>54</v>
      </c>
      <c r="D27" s="49">
        <v>45580</v>
      </c>
      <c r="E27" s="15" t="s">
        <v>893</v>
      </c>
      <c r="F27" s="16" t="s">
        <v>941</v>
      </c>
      <c r="G27" s="16"/>
      <c r="H27" s="7"/>
    </row>
    <row r="28" ht="19" hidden="1" customHeight="1" spans="1:8">
      <c r="A28" s="12">
        <v>10</v>
      </c>
      <c r="B28" s="15" t="s">
        <v>942</v>
      </c>
      <c r="C28" s="15" t="s">
        <v>148</v>
      </c>
      <c r="D28" s="49">
        <v>45602</v>
      </c>
      <c r="E28" s="15" t="s">
        <v>943</v>
      </c>
      <c r="F28" s="16" t="s">
        <v>944</v>
      </c>
      <c r="G28" s="16"/>
      <c r="H28" s="7"/>
    </row>
    <row r="29" ht="19" hidden="1" customHeight="1" spans="1:8">
      <c r="A29" s="12">
        <v>11</v>
      </c>
      <c r="B29" s="15" t="s">
        <v>945</v>
      </c>
      <c r="C29" s="15" t="s">
        <v>129</v>
      </c>
      <c r="D29" s="49">
        <v>45626</v>
      </c>
      <c r="E29" s="15" t="s">
        <v>946</v>
      </c>
      <c r="F29" s="50" t="s">
        <v>946</v>
      </c>
      <c r="G29" s="16"/>
      <c r="H29" s="7"/>
    </row>
    <row r="30" ht="15" hidden="1" spans="1:7">
      <c r="A30" s="12"/>
      <c r="B30" s="12" t="s">
        <v>468</v>
      </c>
      <c r="C30" s="15" t="s">
        <v>189</v>
      </c>
      <c r="D30" s="7"/>
      <c r="E30" s="7"/>
      <c r="F30" s="7"/>
      <c r="G30" s="7" t="s">
        <v>947</v>
      </c>
    </row>
    <row r="31" hidden="1" spans="1:7">
      <c r="A31" s="12"/>
      <c r="B31" s="17" t="s">
        <v>170</v>
      </c>
      <c r="C31" s="12" t="s">
        <v>171</v>
      </c>
      <c r="D31" s="7"/>
      <c r="E31" s="7"/>
      <c r="F31" s="7"/>
      <c r="G31" s="7" t="s">
        <v>947</v>
      </c>
    </row>
    <row r="32" spans="2:3">
      <c r="B32" s="1"/>
      <c r="C32" s="1"/>
    </row>
  </sheetData>
  <autoFilter ref="A1:H31">
    <filterColumn colId="4">
      <customFilters>
        <customFilter operator="equal" val="调出"/>
      </customFilters>
    </filterColumn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workbookViewId="0">
      <selection activeCell="C1" sqref="C1"/>
    </sheetView>
  </sheetViews>
  <sheetFormatPr defaultColWidth="7.89814814814815" defaultRowHeight="10.8" outlineLevelCol="4"/>
  <cols>
    <col min="1" max="1" width="15.4074074074074" style="27" customWidth="1"/>
    <col min="2" max="2" width="13.3333333333333" style="27" customWidth="1"/>
    <col min="3" max="3" width="19.5555555555556" style="27" customWidth="1"/>
    <col min="4" max="4" width="20.3333333333333" style="42" customWidth="1"/>
    <col min="5" max="5" width="15.4444444444444" style="42" customWidth="1"/>
    <col min="6" max="6" width="11.4537037037037" style="27" customWidth="1"/>
    <col min="7" max="7" width="12.3425925925926" style="27" customWidth="1"/>
    <col min="8" max="8" width="18.5648148148148" style="27" customWidth="1"/>
    <col min="9" max="9" width="28.3333333333333" style="42" customWidth="1"/>
    <col min="10" max="16384" width="7.89814814814815" style="42"/>
  </cols>
  <sheetData>
    <row r="1" s="41" customFormat="1" ht="20.4" spans="1:5">
      <c r="A1" s="43" t="s">
        <v>948</v>
      </c>
      <c r="B1" s="43" t="s">
        <v>1</v>
      </c>
      <c r="C1" s="43" t="s">
        <v>12</v>
      </c>
      <c r="D1" s="43" t="s">
        <v>949</v>
      </c>
      <c r="E1" s="41" t="s">
        <v>950</v>
      </c>
    </row>
    <row r="2" s="42" customFormat="1" ht="17.4" spans="1:5">
      <c r="A2" s="44" t="s">
        <v>951</v>
      </c>
      <c r="B2" s="44" t="s">
        <v>74</v>
      </c>
      <c r="C2" s="44" t="s">
        <v>54</v>
      </c>
      <c r="D2" s="44" t="s">
        <v>75</v>
      </c>
      <c r="E2" s="44" t="s">
        <v>59</v>
      </c>
    </row>
    <row r="3" s="42" customFormat="1" ht="17.4" spans="1:5">
      <c r="A3" s="44" t="s">
        <v>952</v>
      </c>
      <c r="B3" s="44" t="s">
        <v>53</v>
      </c>
      <c r="C3" s="44" t="s">
        <v>54</v>
      </c>
      <c r="D3" s="44" t="s">
        <v>55</v>
      </c>
      <c r="E3" s="44" t="s">
        <v>59</v>
      </c>
    </row>
    <row r="4" s="42" customFormat="1" ht="17.4" spans="1:5">
      <c r="A4" s="44" t="s">
        <v>953</v>
      </c>
      <c r="B4" s="44" t="s">
        <v>86</v>
      </c>
      <c r="C4" s="44" t="s">
        <v>54</v>
      </c>
      <c r="D4" s="44" t="s">
        <v>93</v>
      </c>
      <c r="E4" s="44" t="s">
        <v>59</v>
      </c>
    </row>
    <row r="5" s="42" customFormat="1" ht="17.4" spans="1:5">
      <c r="A5" s="44" t="s">
        <v>954</v>
      </c>
      <c r="B5" s="44" t="s">
        <v>83</v>
      </c>
      <c r="C5" s="44" t="s">
        <v>54</v>
      </c>
      <c r="D5" s="44" t="s">
        <v>84</v>
      </c>
      <c r="E5" s="44" t="s">
        <v>59</v>
      </c>
    </row>
    <row r="6" s="42" customFormat="1" ht="17.4" spans="1:5">
      <c r="A6" s="44" t="s">
        <v>955</v>
      </c>
      <c r="B6" s="44" t="s">
        <v>89</v>
      </c>
      <c r="C6" s="44" t="s">
        <v>54</v>
      </c>
      <c r="D6" s="44" t="s">
        <v>84</v>
      </c>
      <c r="E6" s="44" t="s">
        <v>59</v>
      </c>
    </row>
    <row r="7" s="42" customFormat="1" ht="17.4" spans="1:5">
      <c r="A7" s="44" t="s">
        <v>956</v>
      </c>
      <c r="B7" s="44" t="s">
        <v>97</v>
      </c>
      <c r="C7" s="44" t="s">
        <v>98</v>
      </c>
      <c r="D7" s="44" t="s">
        <v>99</v>
      </c>
      <c r="E7" s="44" t="s">
        <v>59</v>
      </c>
    </row>
    <row r="8" s="42" customFormat="1" ht="17.4" spans="1:5">
      <c r="A8" s="44" t="s">
        <v>957</v>
      </c>
      <c r="B8" s="44" t="s">
        <v>366</v>
      </c>
      <c r="C8" s="44" t="s">
        <v>98</v>
      </c>
      <c r="D8" s="44" t="s">
        <v>140</v>
      </c>
      <c r="E8" s="44" t="s">
        <v>59</v>
      </c>
    </row>
    <row r="9" s="42" customFormat="1" ht="17.4" spans="1:5">
      <c r="A9" s="44" t="s">
        <v>958</v>
      </c>
      <c r="B9" s="44" t="s">
        <v>120</v>
      </c>
      <c r="C9" s="44" t="s">
        <v>98</v>
      </c>
      <c r="D9" s="44" t="s">
        <v>121</v>
      </c>
      <c r="E9" s="44" t="s">
        <v>59</v>
      </c>
    </row>
    <row r="10" s="42" customFormat="1" ht="17.4" spans="1:5">
      <c r="A10" s="44" t="s">
        <v>959</v>
      </c>
      <c r="B10" s="44" t="s">
        <v>125</v>
      </c>
      <c r="C10" s="44" t="s">
        <v>98</v>
      </c>
      <c r="D10" s="44" t="s">
        <v>93</v>
      </c>
      <c r="E10" s="44" t="s">
        <v>59</v>
      </c>
    </row>
    <row r="11" s="42" customFormat="1" ht="17.4" spans="1:5">
      <c r="A11" s="44" t="s">
        <v>960</v>
      </c>
      <c r="B11" s="44" t="s">
        <v>106</v>
      </c>
      <c r="C11" s="44" t="s">
        <v>98</v>
      </c>
      <c r="D11" s="44" t="s">
        <v>107</v>
      </c>
      <c r="E11" s="44" t="s">
        <v>59</v>
      </c>
    </row>
    <row r="12" s="42" customFormat="1" ht="17.4" spans="1:5">
      <c r="A12" s="44" t="s">
        <v>961</v>
      </c>
      <c r="B12" s="44" t="s">
        <v>144</v>
      </c>
      <c r="C12" s="44" t="s">
        <v>129</v>
      </c>
      <c r="D12" s="44" t="s">
        <v>140</v>
      </c>
      <c r="E12" s="44" t="s">
        <v>59</v>
      </c>
    </row>
    <row r="13" s="42" customFormat="1" ht="17.4" spans="1:5">
      <c r="A13" s="44" t="s">
        <v>962</v>
      </c>
      <c r="B13" s="44" t="s">
        <v>128</v>
      </c>
      <c r="C13" s="44" t="s">
        <v>129</v>
      </c>
      <c r="D13" s="44" t="s">
        <v>130</v>
      </c>
      <c r="E13" s="44" t="s">
        <v>59</v>
      </c>
    </row>
    <row r="14" s="42" customFormat="1" ht="17.4" spans="1:5">
      <c r="A14" s="44" t="s">
        <v>963</v>
      </c>
      <c r="B14" s="44" t="s">
        <v>147</v>
      </c>
      <c r="C14" s="44" t="s">
        <v>148</v>
      </c>
      <c r="D14" s="44" t="s">
        <v>149</v>
      </c>
      <c r="E14" s="44" t="s">
        <v>59</v>
      </c>
    </row>
    <row r="15" s="42" customFormat="1" ht="17.4" spans="1:5">
      <c r="A15" s="44" t="s">
        <v>964</v>
      </c>
      <c r="B15" s="44" t="s">
        <v>161</v>
      </c>
      <c r="C15" s="44" t="s">
        <v>148</v>
      </c>
      <c r="D15" s="44" t="s">
        <v>162</v>
      </c>
      <c r="E15" s="44" t="s">
        <v>59</v>
      </c>
    </row>
    <row r="16" s="42" customFormat="1" ht="17.4" spans="1:5">
      <c r="A16" s="44" t="s">
        <v>965</v>
      </c>
      <c r="B16" s="44" t="s">
        <v>155</v>
      </c>
      <c r="C16" s="44" t="s">
        <v>148</v>
      </c>
      <c r="D16" s="44" t="s">
        <v>156</v>
      </c>
      <c r="E16" s="44" t="s">
        <v>59</v>
      </c>
    </row>
    <row r="17" s="42" customFormat="1" ht="17.4" spans="1:5">
      <c r="A17" s="44" t="s">
        <v>966</v>
      </c>
      <c r="B17" s="44" t="s">
        <v>170</v>
      </c>
      <c r="C17" s="44" t="s">
        <v>171</v>
      </c>
      <c r="D17" s="44" t="s">
        <v>172</v>
      </c>
      <c r="E17" s="44" t="s">
        <v>59</v>
      </c>
    </row>
    <row r="18" s="42" customFormat="1" ht="17.4" spans="1:5">
      <c r="A18" s="44" t="s">
        <v>967</v>
      </c>
      <c r="B18" s="44" t="s">
        <v>184</v>
      </c>
      <c r="C18" s="44" t="s">
        <v>171</v>
      </c>
      <c r="D18" s="44" t="s">
        <v>185</v>
      </c>
      <c r="E18" s="44" t="s">
        <v>59</v>
      </c>
    </row>
    <row r="19" s="42" customFormat="1" ht="17.4" spans="1:5">
      <c r="A19" s="44" t="s">
        <v>968</v>
      </c>
      <c r="B19" s="44" t="s">
        <v>177</v>
      </c>
      <c r="C19" s="44" t="s">
        <v>171</v>
      </c>
      <c r="D19" s="44" t="s">
        <v>178</v>
      </c>
      <c r="E19" s="44" t="s">
        <v>59</v>
      </c>
    </row>
    <row r="20" s="42" customFormat="1" ht="17.4" spans="1:5">
      <c r="A20" s="44" t="s">
        <v>969</v>
      </c>
      <c r="B20" s="44" t="s">
        <v>196</v>
      </c>
      <c r="C20" s="44" t="s">
        <v>189</v>
      </c>
      <c r="D20" s="44" t="s">
        <v>197</v>
      </c>
      <c r="E20" s="44" t="s">
        <v>59</v>
      </c>
    </row>
    <row r="21" s="42" customFormat="1" ht="17.4" spans="1:5">
      <c r="A21" s="44" t="s">
        <v>970</v>
      </c>
      <c r="B21" s="44" t="s">
        <v>221</v>
      </c>
      <c r="C21" s="44" t="s">
        <v>189</v>
      </c>
      <c r="D21" s="44" t="s">
        <v>476</v>
      </c>
      <c r="E21" s="44" t="s">
        <v>59</v>
      </c>
    </row>
    <row r="22" s="42" customFormat="1" ht="17.4" spans="1:5">
      <c r="A22" s="44" t="s">
        <v>971</v>
      </c>
      <c r="B22" s="44" t="s">
        <v>188</v>
      </c>
      <c r="C22" s="44" t="s">
        <v>189</v>
      </c>
      <c r="D22" s="44" t="s">
        <v>190</v>
      </c>
      <c r="E22" s="44" t="s">
        <v>59</v>
      </c>
    </row>
    <row r="23" s="42" customFormat="1" ht="17.4" spans="1:5">
      <c r="A23" s="44" t="s">
        <v>972</v>
      </c>
      <c r="B23" s="44" t="s">
        <v>218</v>
      </c>
      <c r="C23" s="44" t="s">
        <v>205</v>
      </c>
      <c r="D23" s="44" t="s">
        <v>214</v>
      </c>
      <c r="E23" s="44" t="s">
        <v>59</v>
      </c>
    </row>
    <row r="24" s="42" customFormat="1" ht="17.4" spans="1:5">
      <c r="A24" s="44" t="s">
        <v>973</v>
      </c>
      <c r="B24" s="44" t="s">
        <v>204</v>
      </c>
      <c r="C24" s="44" t="s">
        <v>205</v>
      </c>
      <c r="D24" s="44" t="s">
        <v>206</v>
      </c>
      <c r="E24" s="44" t="s">
        <v>59</v>
      </c>
    </row>
    <row r="25" ht="17.4" spans="1:5">
      <c r="A25" s="44" t="s">
        <v>974</v>
      </c>
      <c r="B25" s="44" t="s">
        <v>92</v>
      </c>
      <c r="C25" s="44" t="s">
        <v>54</v>
      </c>
      <c r="E25" s="44" t="s">
        <v>70</v>
      </c>
    </row>
    <row r="26" ht="17.4" spans="1:5">
      <c r="A26" s="44" t="s">
        <v>975</v>
      </c>
      <c r="B26" s="44" t="s">
        <v>227</v>
      </c>
      <c r="C26" s="44" t="s">
        <v>54</v>
      </c>
      <c r="E26" s="44" t="s">
        <v>70</v>
      </c>
    </row>
    <row r="27" ht="17.4" spans="1:5">
      <c r="A27" s="44" t="s">
        <v>976</v>
      </c>
      <c r="B27" s="44" t="s">
        <v>230</v>
      </c>
      <c r="C27" s="44" t="s">
        <v>54</v>
      </c>
      <c r="E27" s="44" t="s">
        <v>70</v>
      </c>
    </row>
    <row r="28" ht="17.4" spans="1:5">
      <c r="A28" s="44" t="s">
        <v>977</v>
      </c>
      <c r="B28" s="44" t="s">
        <v>67</v>
      </c>
      <c r="C28" s="44" t="s">
        <v>54</v>
      </c>
      <c r="E28" s="44" t="s">
        <v>70</v>
      </c>
    </row>
    <row r="29" ht="17.4" spans="1:5">
      <c r="A29" s="44" t="s">
        <v>978</v>
      </c>
      <c r="B29" s="44" t="s">
        <v>233</v>
      </c>
      <c r="C29" s="44" t="s">
        <v>54</v>
      </c>
      <c r="E29" s="44" t="s">
        <v>70</v>
      </c>
    </row>
    <row r="30" ht="17.4" spans="1:5">
      <c r="A30" s="44" t="s">
        <v>979</v>
      </c>
      <c r="B30" s="44" t="s">
        <v>234</v>
      </c>
      <c r="C30" s="44" t="s">
        <v>54</v>
      </c>
      <c r="E30" s="44" t="s">
        <v>70</v>
      </c>
    </row>
    <row r="31" ht="17.4" spans="1:5">
      <c r="A31" s="44" t="s">
        <v>980</v>
      </c>
      <c r="B31" s="44" t="s">
        <v>236</v>
      </c>
      <c r="C31" s="44" t="s">
        <v>54</v>
      </c>
      <c r="E31" s="44" t="s">
        <v>70</v>
      </c>
    </row>
    <row r="32" ht="17.4" spans="1:5">
      <c r="A32" s="44" t="s">
        <v>981</v>
      </c>
      <c r="B32" s="44" t="s">
        <v>237</v>
      </c>
      <c r="C32" s="44" t="s">
        <v>54</v>
      </c>
      <c r="E32" s="44" t="s">
        <v>70</v>
      </c>
    </row>
    <row r="33" ht="17.4" spans="1:5">
      <c r="A33" s="44" t="s">
        <v>982</v>
      </c>
      <c r="B33" s="44" t="s">
        <v>238</v>
      </c>
      <c r="C33" s="44" t="s">
        <v>54</v>
      </c>
      <c r="E33" s="44" t="s">
        <v>70</v>
      </c>
    </row>
    <row r="34" ht="17.4" spans="1:5">
      <c r="A34" s="44" t="s">
        <v>983</v>
      </c>
      <c r="B34" s="44" t="s">
        <v>117</v>
      </c>
      <c r="C34" s="44" t="s">
        <v>98</v>
      </c>
      <c r="E34" s="44" t="s">
        <v>70</v>
      </c>
    </row>
    <row r="35" ht="17.4" spans="1:5">
      <c r="A35" s="44" t="s">
        <v>984</v>
      </c>
      <c r="B35" s="44" t="s">
        <v>102</v>
      </c>
      <c r="C35" s="44" t="s">
        <v>98</v>
      </c>
      <c r="E35" s="44" t="s">
        <v>70</v>
      </c>
    </row>
    <row r="36" ht="17.4" spans="1:5">
      <c r="A36" s="44" t="s">
        <v>985</v>
      </c>
      <c r="B36" s="44" t="s">
        <v>114</v>
      </c>
      <c r="C36" s="44" t="s">
        <v>98</v>
      </c>
      <c r="E36" s="44" t="s">
        <v>70</v>
      </c>
    </row>
    <row r="37" ht="17.4" spans="1:5">
      <c r="A37" s="44" t="s">
        <v>986</v>
      </c>
      <c r="B37" s="44" t="s">
        <v>240</v>
      </c>
      <c r="C37" s="44" t="s">
        <v>98</v>
      </c>
      <c r="E37" s="44" t="s">
        <v>70</v>
      </c>
    </row>
    <row r="38" ht="17.4" spans="1:5">
      <c r="A38" s="44" t="s">
        <v>987</v>
      </c>
      <c r="B38" s="44" t="s">
        <v>241</v>
      </c>
      <c r="C38" s="44" t="s">
        <v>98</v>
      </c>
      <c r="E38" s="44" t="s">
        <v>70</v>
      </c>
    </row>
    <row r="39" ht="17.4" spans="1:5">
      <c r="A39" s="44" t="s">
        <v>988</v>
      </c>
      <c r="B39" s="44" t="s">
        <v>244</v>
      </c>
      <c r="C39" s="44" t="s">
        <v>98</v>
      </c>
      <c r="E39" s="44" t="s">
        <v>70</v>
      </c>
    </row>
    <row r="40" ht="17.4" spans="1:5">
      <c r="A40" s="44" t="s">
        <v>989</v>
      </c>
      <c r="B40" s="44" t="s">
        <v>111</v>
      </c>
      <c r="C40" s="44" t="s">
        <v>98</v>
      </c>
      <c r="E40" s="44" t="s">
        <v>70</v>
      </c>
    </row>
    <row r="41" ht="17.4" spans="1:5">
      <c r="A41" s="44" t="s">
        <v>990</v>
      </c>
      <c r="B41" s="44" t="s">
        <v>139</v>
      </c>
      <c r="C41" s="44" t="s">
        <v>129</v>
      </c>
      <c r="E41" s="44" t="s">
        <v>70</v>
      </c>
    </row>
    <row r="42" ht="17.4" spans="1:5">
      <c r="A42" s="44" t="s">
        <v>991</v>
      </c>
      <c r="B42" s="44" t="s">
        <v>136</v>
      </c>
      <c r="C42" s="44" t="s">
        <v>129</v>
      </c>
      <c r="E42" s="44" t="s">
        <v>70</v>
      </c>
    </row>
    <row r="43" ht="17.4" spans="1:5">
      <c r="A43" s="44" t="s">
        <v>992</v>
      </c>
      <c r="B43" s="44" t="s">
        <v>159</v>
      </c>
      <c r="C43" s="44" t="s">
        <v>148</v>
      </c>
      <c r="E43" s="44" t="s">
        <v>70</v>
      </c>
    </row>
    <row r="44" ht="17.4" spans="1:5">
      <c r="A44" s="44" t="s">
        <v>993</v>
      </c>
      <c r="B44" s="44" t="s">
        <v>166</v>
      </c>
      <c r="C44" s="44" t="s">
        <v>148</v>
      </c>
      <c r="E44" s="44" t="s">
        <v>70</v>
      </c>
    </row>
    <row r="45" ht="17.4" spans="1:5">
      <c r="A45" s="44" t="s">
        <v>994</v>
      </c>
      <c r="B45" s="44" t="s">
        <v>245</v>
      </c>
      <c r="C45" s="44" t="s">
        <v>148</v>
      </c>
      <c r="E45" s="44" t="s">
        <v>70</v>
      </c>
    </row>
    <row r="46" ht="17.4" spans="1:5">
      <c r="A46" s="44" t="s">
        <v>995</v>
      </c>
      <c r="B46" s="44" t="s">
        <v>247</v>
      </c>
      <c r="C46" s="44" t="s">
        <v>148</v>
      </c>
      <c r="E46" s="44" t="s">
        <v>70</v>
      </c>
    </row>
    <row r="47" ht="17.4" spans="1:5">
      <c r="A47" s="44" t="s">
        <v>996</v>
      </c>
      <c r="B47" s="44" t="s">
        <v>249</v>
      </c>
      <c r="C47" s="44" t="s">
        <v>148</v>
      </c>
      <c r="E47" s="44" t="s">
        <v>70</v>
      </c>
    </row>
    <row r="48" ht="17.4" spans="1:5">
      <c r="A48" s="44" t="s">
        <v>997</v>
      </c>
      <c r="B48" s="44" t="s">
        <v>182</v>
      </c>
      <c r="C48" s="44" t="s">
        <v>171</v>
      </c>
      <c r="E48" s="44" t="s">
        <v>70</v>
      </c>
    </row>
    <row r="49" ht="17.4" spans="1:5">
      <c r="A49" s="44" t="s">
        <v>998</v>
      </c>
      <c r="B49" s="44" t="s">
        <v>174</v>
      </c>
      <c r="C49" s="44" t="s">
        <v>171</v>
      </c>
      <c r="E49" s="44" t="s">
        <v>70</v>
      </c>
    </row>
    <row r="50" ht="17.4" spans="1:5">
      <c r="A50" s="44" t="s">
        <v>999</v>
      </c>
      <c r="B50" s="44" t="s">
        <v>251</v>
      </c>
      <c r="C50" s="44" t="s">
        <v>171</v>
      </c>
      <c r="E50" s="44" t="s">
        <v>70</v>
      </c>
    </row>
    <row r="51" ht="17.4" spans="1:5">
      <c r="A51" s="44" t="s">
        <v>1000</v>
      </c>
      <c r="B51" s="44" t="s">
        <v>253</v>
      </c>
      <c r="C51" s="44" t="s">
        <v>171</v>
      </c>
      <c r="E51" s="44" t="s">
        <v>70</v>
      </c>
    </row>
    <row r="52" ht="17.4" spans="1:5">
      <c r="A52" s="44" t="s">
        <v>1001</v>
      </c>
      <c r="B52" s="44" t="s">
        <v>200</v>
      </c>
      <c r="C52" s="44" t="s">
        <v>189</v>
      </c>
      <c r="E52" s="44" t="s">
        <v>70</v>
      </c>
    </row>
    <row r="53" ht="17.4" spans="1:5">
      <c r="A53" s="44" t="s">
        <v>1002</v>
      </c>
      <c r="B53" s="44" t="s">
        <v>255</v>
      </c>
      <c r="C53" s="44" t="s">
        <v>189</v>
      </c>
      <c r="E53" s="44" t="s">
        <v>70</v>
      </c>
    </row>
    <row r="54" ht="17.4" spans="1:5">
      <c r="A54" s="44" t="s">
        <v>1003</v>
      </c>
      <c r="B54" s="44" t="s">
        <v>259</v>
      </c>
      <c r="C54" s="44" t="s">
        <v>189</v>
      </c>
      <c r="E54" s="44" t="s">
        <v>70</v>
      </c>
    </row>
    <row r="55" ht="17.4" spans="1:5">
      <c r="A55" s="44" t="s">
        <v>1004</v>
      </c>
      <c r="B55" s="44" t="s">
        <v>261</v>
      </c>
      <c r="C55" s="44" t="s">
        <v>189</v>
      </c>
      <c r="E55" s="44" t="s">
        <v>70</v>
      </c>
    </row>
    <row r="56" ht="17.4" spans="1:5">
      <c r="A56" s="44" t="s">
        <v>1005</v>
      </c>
      <c r="B56" s="44" t="s">
        <v>193</v>
      </c>
      <c r="C56" s="44" t="s">
        <v>189</v>
      </c>
      <c r="E56" s="44" t="s">
        <v>70</v>
      </c>
    </row>
    <row r="57" ht="17.4" spans="1:5">
      <c r="A57" s="44" t="s">
        <v>1006</v>
      </c>
      <c r="B57" s="44" t="s">
        <v>264</v>
      </c>
      <c r="C57" s="44" t="s">
        <v>205</v>
      </c>
      <c r="E57" s="44" t="s">
        <v>70</v>
      </c>
    </row>
    <row r="58" ht="17.4" spans="1:5">
      <c r="A58" s="44" t="s">
        <v>1007</v>
      </c>
      <c r="B58" s="44" t="s">
        <v>213</v>
      </c>
      <c r="C58" s="44" t="s">
        <v>205</v>
      </c>
      <c r="E58" s="44" t="s">
        <v>70</v>
      </c>
    </row>
    <row r="59" ht="17.4" spans="1:5">
      <c r="A59" s="44" t="s">
        <v>1008</v>
      </c>
      <c r="B59" s="44" t="s">
        <v>266</v>
      </c>
      <c r="C59" s="44" t="s">
        <v>205</v>
      </c>
      <c r="E59" s="44" t="s">
        <v>70</v>
      </c>
    </row>
    <row r="60" ht="17.4" spans="1:5">
      <c r="A60" s="44" t="s">
        <v>1009</v>
      </c>
      <c r="B60" s="44" t="s">
        <v>270</v>
      </c>
      <c r="C60" s="44" t="s">
        <v>205</v>
      </c>
      <c r="E60" s="44" t="s">
        <v>70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workbookViewId="0">
      <selection activeCell="L19" sqref="L19"/>
    </sheetView>
  </sheetViews>
  <sheetFormatPr defaultColWidth="8.88888888888889" defaultRowHeight="14.4"/>
  <cols>
    <col min="1" max="1" width="10.712962962963" style="31" customWidth="1"/>
    <col min="2" max="2" width="10.1388888888889" style="32" customWidth="1"/>
    <col min="3" max="3" width="9.37037037037037" customWidth="1"/>
    <col min="4" max="4" width="26.5648148148148" customWidth="1"/>
    <col min="5" max="5" width="10.3333333333333" customWidth="1"/>
    <col min="6" max="6" width="17.5555555555556" style="31" customWidth="1"/>
    <col min="7" max="7" width="10.3333333333333" style="1" customWidth="1"/>
    <col min="8" max="8" width="14.1018518518519" style="33" customWidth="1"/>
    <col min="14" max="14" width="18.7777777777778" customWidth="1"/>
  </cols>
  <sheetData>
    <row r="1" spans="1:15">
      <c r="A1" s="34" t="s">
        <v>1010</v>
      </c>
      <c r="B1" s="34" t="s">
        <v>1011</v>
      </c>
      <c r="C1" s="35" t="s">
        <v>1012</v>
      </c>
      <c r="D1" s="35" t="s">
        <v>1013</v>
      </c>
      <c r="E1" s="35" t="s">
        <v>1014</v>
      </c>
      <c r="F1" s="35"/>
      <c r="G1" s="35"/>
      <c r="H1" s="35" t="s">
        <v>95</v>
      </c>
      <c r="M1" s="39" t="s">
        <v>1</v>
      </c>
      <c r="N1" s="39" t="s">
        <v>1015</v>
      </c>
      <c r="O1" s="39" t="s">
        <v>1016</v>
      </c>
    </row>
    <row r="2" spans="1:15">
      <c r="A2" s="34"/>
      <c r="B2" s="34"/>
      <c r="C2" s="35"/>
      <c r="D2" s="35"/>
      <c r="E2" s="35" t="s">
        <v>1017</v>
      </c>
      <c r="F2" s="34" t="s">
        <v>1018</v>
      </c>
      <c r="G2" s="35" t="s">
        <v>60</v>
      </c>
      <c r="H2" s="35"/>
      <c r="M2" t="s">
        <v>345</v>
      </c>
      <c r="N2" t="s">
        <v>95</v>
      </c>
      <c r="O2">
        <v>1</v>
      </c>
    </row>
    <row r="3" spans="1:15">
      <c r="A3" s="36" t="s">
        <v>1019</v>
      </c>
      <c r="B3" s="36" t="s">
        <v>1020</v>
      </c>
      <c r="C3" s="12" t="s">
        <v>1021</v>
      </c>
      <c r="D3" s="12" t="s">
        <v>1022</v>
      </c>
      <c r="E3" s="12" t="s">
        <v>97</v>
      </c>
      <c r="F3" s="36" t="s">
        <v>1023</v>
      </c>
      <c r="G3" s="12" t="s">
        <v>97</v>
      </c>
      <c r="H3" s="12" t="s">
        <v>1024</v>
      </c>
      <c r="M3" t="s">
        <v>253</v>
      </c>
      <c r="N3" t="s">
        <v>95</v>
      </c>
      <c r="O3">
        <v>1</v>
      </c>
    </row>
    <row r="4" spans="1:15">
      <c r="A4" s="36"/>
      <c r="B4" s="36"/>
      <c r="C4" s="12" t="s">
        <v>1025</v>
      </c>
      <c r="D4" s="12" t="s">
        <v>1026</v>
      </c>
      <c r="E4" s="12"/>
      <c r="F4" s="36"/>
      <c r="G4" s="12" t="s">
        <v>366</v>
      </c>
      <c r="H4" s="12"/>
      <c r="M4" t="s">
        <v>343</v>
      </c>
      <c r="N4" t="s">
        <v>95</v>
      </c>
      <c r="O4">
        <v>1</v>
      </c>
    </row>
    <row r="5" spans="1:15">
      <c r="A5" s="36"/>
      <c r="B5" s="36"/>
      <c r="C5" s="12" t="s">
        <v>1027</v>
      </c>
      <c r="D5" s="12" t="s">
        <v>1028</v>
      </c>
      <c r="E5" s="12"/>
      <c r="F5" s="36"/>
      <c r="G5" s="12" t="s">
        <v>366</v>
      </c>
      <c r="H5" s="12"/>
      <c r="M5" t="s">
        <v>1024</v>
      </c>
      <c r="N5" t="s">
        <v>95</v>
      </c>
      <c r="O5">
        <v>16</v>
      </c>
    </row>
    <row r="6" spans="1:15">
      <c r="A6" s="36"/>
      <c r="B6" s="36"/>
      <c r="C6" s="12" t="s">
        <v>1029</v>
      </c>
      <c r="D6" s="12" t="s">
        <v>619</v>
      </c>
      <c r="E6" s="12"/>
      <c r="F6" s="36"/>
      <c r="G6" s="12" t="s">
        <v>102</v>
      </c>
      <c r="H6" s="12"/>
      <c r="M6" t="s">
        <v>249</v>
      </c>
      <c r="N6" t="s">
        <v>95</v>
      </c>
      <c r="O6">
        <v>3</v>
      </c>
    </row>
    <row r="7" spans="1:15">
      <c r="A7" s="36"/>
      <c r="B7" s="36"/>
      <c r="C7" s="12" t="s">
        <v>1030</v>
      </c>
      <c r="D7" s="12" t="s">
        <v>1031</v>
      </c>
      <c r="E7" s="12"/>
      <c r="F7" s="36"/>
      <c r="G7" s="12" t="s">
        <v>102</v>
      </c>
      <c r="H7" s="12"/>
      <c r="M7" t="s">
        <v>245</v>
      </c>
      <c r="N7" t="s">
        <v>95</v>
      </c>
      <c r="O7">
        <v>1</v>
      </c>
    </row>
    <row r="8" spans="1:15">
      <c r="A8" s="36" t="s">
        <v>1032</v>
      </c>
      <c r="B8" s="36" t="s">
        <v>1033</v>
      </c>
      <c r="C8" s="12" t="s">
        <v>1034</v>
      </c>
      <c r="D8" s="12" t="s">
        <v>1035</v>
      </c>
      <c r="E8" s="12" t="s">
        <v>366</v>
      </c>
      <c r="F8" s="36" t="s">
        <v>1036</v>
      </c>
      <c r="G8" s="12" t="s">
        <v>366</v>
      </c>
      <c r="H8" s="12" t="s">
        <v>1024</v>
      </c>
      <c r="M8" t="s">
        <v>182</v>
      </c>
      <c r="N8" t="s">
        <v>95</v>
      </c>
      <c r="O8">
        <v>1</v>
      </c>
    </row>
    <row r="9" spans="1:15">
      <c r="A9" s="36"/>
      <c r="B9" s="36"/>
      <c r="C9" s="12" t="s">
        <v>1037</v>
      </c>
      <c r="D9" s="12" t="s">
        <v>1038</v>
      </c>
      <c r="E9" s="12"/>
      <c r="F9" s="36"/>
      <c r="G9" s="12" t="s">
        <v>366</v>
      </c>
      <c r="H9" s="12"/>
      <c r="M9" t="s">
        <v>174</v>
      </c>
      <c r="N9" t="s">
        <v>95</v>
      </c>
      <c r="O9">
        <v>4</v>
      </c>
    </row>
    <row r="10" spans="1:15">
      <c r="A10" s="36"/>
      <c r="B10" s="36"/>
      <c r="C10" s="12" t="s">
        <v>1039</v>
      </c>
      <c r="D10" s="12" t="s">
        <v>1040</v>
      </c>
      <c r="E10" s="12"/>
      <c r="F10" s="36"/>
      <c r="G10" s="12" t="s">
        <v>366</v>
      </c>
      <c r="H10" s="12"/>
      <c r="M10" t="s">
        <v>184</v>
      </c>
      <c r="N10" t="s">
        <v>95</v>
      </c>
      <c r="O10">
        <v>2</v>
      </c>
    </row>
    <row r="11" spans="1:15">
      <c r="A11" s="36"/>
      <c r="B11" s="36"/>
      <c r="C11" s="12" t="s">
        <v>1041</v>
      </c>
      <c r="D11" s="12" t="s">
        <v>1042</v>
      </c>
      <c r="E11" s="12"/>
      <c r="F11" s="36"/>
      <c r="G11" s="12" t="s">
        <v>366</v>
      </c>
      <c r="H11" s="12"/>
      <c r="M11" t="s">
        <v>188</v>
      </c>
      <c r="N11" t="s">
        <v>95</v>
      </c>
      <c r="O11">
        <v>1</v>
      </c>
    </row>
    <row r="12" spans="1:15">
      <c r="A12" s="36"/>
      <c r="B12" s="36"/>
      <c r="C12" s="12" t="s">
        <v>1043</v>
      </c>
      <c r="D12" s="12" t="s">
        <v>1044</v>
      </c>
      <c r="E12" s="12"/>
      <c r="F12" s="36"/>
      <c r="G12" s="12" t="s">
        <v>366</v>
      </c>
      <c r="H12" s="12"/>
      <c r="M12" t="s">
        <v>166</v>
      </c>
      <c r="N12" t="s">
        <v>95</v>
      </c>
      <c r="O12">
        <v>2</v>
      </c>
    </row>
    <row r="13" spans="1:15">
      <c r="A13" s="36"/>
      <c r="B13" s="36"/>
      <c r="C13" s="12" t="s">
        <v>1045</v>
      </c>
      <c r="D13" s="12" t="s">
        <v>1046</v>
      </c>
      <c r="E13" s="12"/>
      <c r="F13" s="36"/>
      <c r="G13" s="12" t="s">
        <v>106</v>
      </c>
      <c r="H13" s="12"/>
      <c r="M13" t="s">
        <v>136</v>
      </c>
      <c r="N13" t="s">
        <v>95</v>
      </c>
      <c r="O13">
        <v>4</v>
      </c>
    </row>
    <row r="14" spans="1:15">
      <c r="A14" s="36"/>
      <c r="B14" s="36"/>
      <c r="C14" s="12" t="s">
        <v>1047</v>
      </c>
      <c r="D14" s="12" t="s">
        <v>1048</v>
      </c>
      <c r="E14" s="12"/>
      <c r="F14" s="36"/>
      <c r="G14" s="12" t="s">
        <v>106</v>
      </c>
      <c r="H14" s="12"/>
      <c r="M14" t="s">
        <v>177</v>
      </c>
      <c r="N14" t="s">
        <v>95</v>
      </c>
      <c r="O14">
        <v>2</v>
      </c>
    </row>
    <row r="15" spans="1:15">
      <c r="A15" s="36"/>
      <c r="B15" s="36" t="s">
        <v>1049</v>
      </c>
      <c r="C15" s="12" t="s">
        <v>1050</v>
      </c>
      <c r="D15" s="12" t="s">
        <v>1051</v>
      </c>
      <c r="E15" s="12"/>
      <c r="F15" s="36"/>
      <c r="G15" s="12" t="s">
        <v>106</v>
      </c>
      <c r="H15" s="12" t="s">
        <v>144</v>
      </c>
      <c r="M15" t="s">
        <v>92</v>
      </c>
      <c r="N15" t="s">
        <v>95</v>
      </c>
      <c r="O15">
        <v>2</v>
      </c>
    </row>
    <row r="16" spans="1:15">
      <c r="A16" s="36"/>
      <c r="B16" s="36"/>
      <c r="C16" s="37" t="s">
        <v>1052</v>
      </c>
      <c r="D16" s="37" t="s">
        <v>1053</v>
      </c>
      <c r="E16" s="12"/>
      <c r="F16" s="36"/>
      <c r="G16" s="12" t="s">
        <v>106</v>
      </c>
      <c r="H16" s="12" t="s">
        <v>144</v>
      </c>
      <c r="M16" t="s">
        <v>144</v>
      </c>
      <c r="N16" t="s">
        <v>95</v>
      </c>
      <c r="O16">
        <v>2</v>
      </c>
    </row>
    <row r="17" spans="1:15">
      <c r="A17" s="36"/>
      <c r="B17" s="36" t="s">
        <v>1054</v>
      </c>
      <c r="C17" s="37" t="s">
        <v>1055</v>
      </c>
      <c r="D17" s="37" t="s">
        <v>1056</v>
      </c>
      <c r="E17" s="12"/>
      <c r="F17" s="36"/>
      <c r="G17" s="12" t="s">
        <v>106</v>
      </c>
      <c r="H17" s="12" t="s">
        <v>136</v>
      </c>
      <c r="M17" t="s">
        <v>106</v>
      </c>
      <c r="N17" t="s">
        <v>60</v>
      </c>
      <c r="O17">
        <v>6</v>
      </c>
    </row>
    <row r="18" spans="1:15">
      <c r="A18" s="36"/>
      <c r="B18" s="36"/>
      <c r="C18" s="12" t="s">
        <v>1057</v>
      </c>
      <c r="D18" s="12" t="s">
        <v>1058</v>
      </c>
      <c r="E18" s="12"/>
      <c r="F18" s="36"/>
      <c r="G18" s="12" t="s">
        <v>125</v>
      </c>
      <c r="H18" s="12" t="s">
        <v>136</v>
      </c>
      <c r="M18" t="s">
        <v>240</v>
      </c>
      <c r="N18" t="s">
        <v>60</v>
      </c>
      <c r="O18">
        <v>3</v>
      </c>
    </row>
    <row r="19" spans="1:15">
      <c r="A19" s="36"/>
      <c r="B19" s="36"/>
      <c r="C19" s="12" t="s">
        <v>1059</v>
      </c>
      <c r="D19" s="12" t="s">
        <v>1060</v>
      </c>
      <c r="E19" s="12"/>
      <c r="F19" s="36"/>
      <c r="G19" s="12" t="s">
        <v>125</v>
      </c>
      <c r="H19" s="12" t="s">
        <v>136</v>
      </c>
      <c r="M19" t="s">
        <v>53</v>
      </c>
      <c r="N19" t="s">
        <v>60</v>
      </c>
      <c r="O19">
        <v>2</v>
      </c>
    </row>
    <row r="20" spans="1:15">
      <c r="A20" s="36"/>
      <c r="B20" s="36"/>
      <c r="C20" s="12" t="s">
        <v>1061</v>
      </c>
      <c r="D20" s="37" t="s">
        <v>622</v>
      </c>
      <c r="E20" s="12"/>
      <c r="F20" s="36"/>
      <c r="G20" s="12" t="s">
        <v>120</v>
      </c>
      <c r="H20" s="12" t="s">
        <v>136</v>
      </c>
      <c r="M20" t="s">
        <v>120</v>
      </c>
      <c r="N20" t="s">
        <v>60</v>
      </c>
      <c r="O20">
        <v>8</v>
      </c>
    </row>
    <row r="21" spans="1:15">
      <c r="A21" s="36"/>
      <c r="B21" s="36" t="s">
        <v>1062</v>
      </c>
      <c r="C21" s="12" t="s">
        <v>1063</v>
      </c>
      <c r="D21" s="37" t="s">
        <v>1064</v>
      </c>
      <c r="E21" s="12"/>
      <c r="F21" s="36"/>
      <c r="G21" s="12" t="s">
        <v>125</v>
      </c>
      <c r="H21" s="12" t="s">
        <v>177</v>
      </c>
      <c r="M21" t="s">
        <v>102</v>
      </c>
      <c r="N21" t="s">
        <v>60</v>
      </c>
      <c r="O21">
        <v>2</v>
      </c>
    </row>
    <row r="22" spans="1:15">
      <c r="A22" s="36"/>
      <c r="B22" s="36" t="s">
        <v>1065</v>
      </c>
      <c r="C22" s="12" t="s">
        <v>1066</v>
      </c>
      <c r="D22" s="12" t="s">
        <v>1067</v>
      </c>
      <c r="E22" s="12"/>
      <c r="F22" s="36"/>
      <c r="G22" s="12" t="s">
        <v>120</v>
      </c>
      <c r="H22" s="12" t="s">
        <v>1065</v>
      </c>
      <c r="M22" t="s">
        <v>196</v>
      </c>
      <c r="N22" t="s">
        <v>60</v>
      </c>
      <c r="O22">
        <v>5</v>
      </c>
    </row>
    <row r="23" spans="1:15">
      <c r="A23" s="36"/>
      <c r="B23" s="36" t="s">
        <v>1020</v>
      </c>
      <c r="C23" s="12" t="s">
        <v>1068</v>
      </c>
      <c r="D23" s="36" t="s">
        <v>1069</v>
      </c>
      <c r="E23" s="12"/>
      <c r="F23" s="36"/>
      <c r="G23" s="12" t="s">
        <v>120</v>
      </c>
      <c r="H23" s="12" t="s">
        <v>1024</v>
      </c>
      <c r="M23" t="s">
        <v>366</v>
      </c>
      <c r="N23" t="s">
        <v>60</v>
      </c>
      <c r="O23">
        <v>11</v>
      </c>
    </row>
    <row r="24" spans="1:15">
      <c r="A24" s="36"/>
      <c r="B24" s="36"/>
      <c r="C24" s="12" t="s">
        <v>1070</v>
      </c>
      <c r="D24" s="36" t="s">
        <v>618</v>
      </c>
      <c r="E24" s="12"/>
      <c r="F24" s="36"/>
      <c r="G24" s="12" t="s">
        <v>120</v>
      </c>
      <c r="H24" s="12"/>
      <c r="M24" t="s">
        <v>67</v>
      </c>
      <c r="N24" t="s">
        <v>60</v>
      </c>
      <c r="O24">
        <v>5</v>
      </c>
    </row>
    <row r="25" spans="1:15">
      <c r="A25" s="36"/>
      <c r="B25" s="36" t="s">
        <v>1071</v>
      </c>
      <c r="C25" s="12" t="s">
        <v>1072</v>
      </c>
      <c r="D25" s="36" t="s">
        <v>1073</v>
      </c>
      <c r="E25" s="12"/>
      <c r="F25" s="36"/>
      <c r="G25" s="12" t="s">
        <v>97</v>
      </c>
      <c r="H25" s="12" t="s">
        <v>166</v>
      </c>
      <c r="M25" t="s">
        <v>74</v>
      </c>
      <c r="N25" t="s">
        <v>60</v>
      </c>
      <c r="O25">
        <v>1</v>
      </c>
    </row>
    <row r="26" spans="1:15">
      <c r="A26" s="36"/>
      <c r="B26" s="36"/>
      <c r="C26" s="12" t="s">
        <v>1074</v>
      </c>
      <c r="D26" s="36" t="s">
        <v>1075</v>
      </c>
      <c r="E26" s="12"/>
      <c r="F26" s="36"/>
      <c r="G26" s="12" t="s">
        <v>97</v>
      </c>
      <c r="H26" s="12" t="s">
        <v>166</v>
      </c>
      <c r="M26" t="s">
        <v>97</v>
      </c>
      <c r="N26" t="s">
        <v>60</v>
      </c>
      <c r="O26">
        <v>3</v>
      </c>
    </row>
    <row r="27" spans="1:15">
      <c r="A27" s="36"/>
      <c r="B27" s="36" t="s">
        <v>1076</v>
      </c>
      <c r="C27" s="12" t="s">
        <v>1077</v>
      </c>
      <c r="D27" s="12" t="s">
        <v>1078</v>
      </c>
      <c r="E27" s="12"/>
      <c r="F27" s="36"/>
      <c r="G27" s="12" t="s">
        <v>366</v>
      </c>
      <c r="H27" s="12" t="s">
        <v>174</v>
      </c>
      <c r="M27" t="s">
        <v>125</v>
      </c>
      <c r="N27" t="s">
        <v>60</v>
      </c>
      <c r="O27">
        <v>12</v>
      </c>
    </row>
    <row r="28" spans="1:15">
      <c r="A28" s="36"/>
      <c r="B28" s="36"/>
      <c r="C28" s="12" t="s">
        <v>1079</v>
      </c>
      <c r="D28" s="12" t="s">
        <v>1080</v>
      </c>
      <c r="E28" s="12"/>
      <c r="F28" s="36"/>
      <c r="G28" s="12" t="s">
        <v>366</v>
      </c>
      <c r="H28" s="12" t="s">
        <v>1024</v>
      </c>
      <c r="M28" t="s">
        <v>200</v>
      </c>
      <c r="N28" t="s">
        <v>60</v>
      </c>
      <c r="O28">
        <v>6</v>
      </c>
    </row>
    <row r="29" spans="1:15">
      <c r="A29" s="36"/>
      <c r="B29" s="36"/>
      <c r="C29" s="12" t="s">
        <v>1081</v>
      </c>
      <c r="D29" s="12" t="s">
        <v>1082</v>
      </c>
      <c r="E29" s="12"/>
      <c r="F29" s="36"/>
      <c r="G29" s="12" t="s">
        <v>125</v>
      </c>
      <c r="H29" s="12" t="s">
        <v>174</v>
      </c>
      <c r="M29" t="s">
        <v>92</v>
      </c>
      <c r="N29" t="s">
        <v>60</v>
      </c>
      <c r="O29">
        <v>12</v>
      </c>
    </row>
    <row r="30" spans="1:8">
      <c r="A30" s="36"/>
      <c r="B30" s="36"/>
      <c r="C30" s="12" t="s">
        <v>1083</v>
      </c>
      <c r="D30" s="12" t="s">
        <v>1084</v>
      </c>
      <c r="E30" s="12"/>
      <c r="F30" s="36"/>
      <c r="G30" s="12" t="s">
        <v>125</v>
      </c>
      <c r="H30" s="12" t="s">
        <v>174</v>
      </c>
    </row>
    <row r="31" spans="1:8">
      <c r="A31" s="36"/>
      <c r="B31" s="36"/>
      <c r="C31" s="12" t="s">
        <v>1085</v>
      </c>
      <c r="D31" s="12" t="s">
        <v>1086</v>
      </c>
      <c r="E31" s="12"/>
      <c r="F31" s="36"/>
      <c r="G31" s="12" t="s">
        <v>125</v>
      </c>
      <c r="H31" s="12" t="s">
        <v>174</v>
      </c>
    </row>
    <row r="32" ht="28.8" spans="1:8">
      <c r="A32" s="36"/>
      <c r="B32" s="36" t="s">
        <v>1087</v>
      </c>
      <c r="C32" s="12" t="s">
        <v>1088</v>
      </c>
      <c r="D32" s="36" t="s">
        <v>1089</v>
      </c>
      <c r="E32" s="12"/>
      <c r="F32" s="36"/>
      <c r="G32" s="12" t="s">
        <v>106</v>
      </c>
      <c r="H32" s="12" t="s">
        <v>1024</v>
      </c>
    </row>
    <row r="33" spans="1:8">
      <c r="A33" s="36"/>
      <c r="B33" s="36"/>
      <c r="C33" s="12" t="s">
        <v>1090</v>
      </c>
      <c r="D33" s="12" t="s">
        <v>1091</v>
      </c>
      <c r="E33" s="12"/>
      <c r="F33" s="36"/>
      <c r="G33" s="12" t="s">
        <v>366</v>
      </c>
      <c r="H33" s="12"/>
    </row>
    <row r="34" spans="1:8">
      <c r="A34" s="36"/>
      <c r="B34" s="36"/>
      <c r="C34" s="12" t="s">
        <v>1092</v>
      </c>
      <c r="D34" s="12" t="s">
        <v>1093</v>
      </c>
      <c r="E34" s="12"/>
      <c r="F34" s="36"/>
      <c r="G34" s="12" t="s">
        <v>366</v>
      </c>
      <c r="H34" s="12"/>
    </row>
    <row r="35" spans="1:8">
      <c r="A35" s="36" t="s">
        <v>1094</v>
      </c>
      <c r="B35" s="36" t="s">
        <v>1095</v>
      </c>
      <c r="C35" s="12" t="s">
        <v>1096</v>
      </c>
      <c r="D35" s="12" t="s">
        <v>1097</v>
      </c>
      <c r="E35" s="12" t="s">
        <v>125</v>
      </c>
      <c r="F35" s="36" t="s">
        <v>366</v>
      </c>
      <c r="G35" s="12" t="s">
        <v>125</v>
      </c>
      <c r="H35" s="12" t="s">
        <v>1098</v>
      </c>
    </row>
    <row r="36" spans="1:8">
      <c r="A36" s="36"/>
      <c r="B36" s="36"/>
      <c r="C36" s="12" t="s">
        <v>1099</v>
      </c>
      <c r="D36" s="12" t="s">
        <v>1100</v>
      </c>
      <c r="E36" s="12"/>
      <c r="F36" s="36"/>
      <c r="G36" s="12" t="s">
        <v>125</v>
      </c>
      <c r="H36" s="12" t="s">
        <v>249</v>
      </c>
    </row>
    <row r="37" spans="1:8">
      <c r="A37" s="36"/>
      <c r="B37" s="36"/>
      <c r="C37" s="12" t="s">
        <v>1101</v>
      </c>
      <c r="D37" s="12" t="s">
        <v>1102</v>
      </c>
      <c r="E37" s="12"/>
      <c r="F37" s="36"/>
      <c r="G37" s="12" t="s">
        <v>125</v>
      </c>
      <c r="H37" s="12" t="s">
        <v>249</v>
      </c>
    </row>
    <row r="38" spans="1:8">
      <c r="A38" s="36"/>
      <c r="B38" s="36"/>
      <c r="C38" s="12" t="s">
        <v>1103</v>
      </c>
      <c r="D38" s="12" t="s">
        <v>1104</v>
      </c>
      <c r="E38" s="12"/>
      <c r="F38" s="36"/>
      <c r="G38" s="12" t="s">
        <v>125</v>
      </c>
      <c r="H38" s="12" t="s">
        <v>249</v>
      </c>
    </row>
    <row r="39" spans="1:8">
      <c r="A39" s="36" t="s">
        <v>1105</v>
      </c>
      <c r="B39" s="36" t="s">
        <v>1106</v>
      </c>
      <c r="C39" s="12" t="s">
        <v>1107</v>
      </c>
      <c r="D39" s="12" t="s">
        <v>1108</v>
      </c>
      <c r="E39" s="12" t="s">
        <v>196</v>
      </c>
      <c r="F39" s="36" t="s">
        <v>1109</v>
      </c>
      <c r="G39" s="12" t="s">
        <v>200</v>
      </c>
      <c r="H39" s="12" t="s">
        <v>1024</v>
      </c>
    </row>
    <row r="40" spans="1:8">
      <c r="A40" s="36"/>
      <c r="B40" s="36"/>
      <c r="C40" s="12" t="s">
        <v>1110</v>
      </c>
      <c r="D40" s="12" t="s">
        <v>1111</v>
      </c>
      <c r="E40" s="12"/>
      <c r="F40" s="36"/>
      <c r="G40" s="12" t="s">
        <v>200</v>
      </c>
      <c r="H40" s="12" t="s">
        <v>245</v>
      </c>
    </row>
    <row r="41" spans="1:8">
      <c r="A41" s="36"/>
      <c r="B41" s="36"/>
      <c r="C41" s="12" t="s">
        <v>1112</v>
      </c>
      <c r="D41" s="12" t="s">
        <v>1113</v>
      </c>
      <c r="E41" s="12"/>
      <c r="F41" s="36"/>
      <c r="G41" s="12" t="s">
        <v>200</v>
      </c>
      <c r="H41" s="12" t="s">
        <v>1024</v>
      </c>
    </row>
    <row r="42" spans="1:8">
      <c r="A42" s="36"/>
      <c r="B42" s="36"/>
      <c r="C42" s="12" t="s">
        <v>1114</v>
      </c>
      <c r="D42" s="12" t="s">
        <v>1115</v>
      </c>
      <c r="E42" s="12"/>
      <c r="F42" s="36"/>
      <c r="G42" s="12" t="s">
        <v>196</v>
      </c>
      <c r="H42" s="12" t="s">
        <v>1024</v>
      </c>
    </row>
    <row r="43" spans="1:8">
      <c r="A43" s="36"/>
      <c r="B43" s="36"/>
      <c r="C43" s="12" t="s">
        <v>1116</v>
      </c>
      <c r="D43" s="12" t="s">
        <v>1117</v>
      </c>
      <c r="E43" s="12"/>
      <c r="F43" s="36"/>
      <c r="G43" s="37" t="s">
        <v>196</v>
      </c>
      <c r="H43" s="37" t="s">
        <v>188</v>
      </c>
    </row>
    <row r="44" spans="1:8">
      <c r="A44" s="36"/>
      <c r="B44" s="36"/>
      <c r="C44" s="12" t="s">
        <v>1118</v>
      </c>
      <c r="D44" s="12" t="s">
        <v>1119</v>
      </c>
      <c r="E44" s="12"/>
      <c r="F44" s="36"/>
      <c r="G44" s="12" t="s">
        <v>196</v>
      </c>
      <c r="H44" s="12" t="s">
        <v>1024</v>
      </c>
    </row>
    <row r="45" spans="1:8">
      <c r="A45" s="36"/>
      <c r="B45" s="36"/>
      <c r="C45" s="38" t="s">
        <v>1120</v>
      </c>
      <c r="D45" s="38" t="s">
        <v>1121</v>
      </c>
      <c r="E45" s="12"/>
      <c r="F45" s="36"/>
      <c r="G45" s="12" t="s">
        <v>196</v>
      </c>
      <c r="H45" s="12" t="s">
        <v>345</v>
      </c>
    </row>
    <row r="46" spans="1:8">
      <c r="A46" s="36"/>
      <c r="B46" s="36"/>
      <c r="C46" s="38" t="s">
        <v>1122</v>
      </c>
      <c r="D46" s="38" t="s">
        <v>1123</v>
      </c>
      <c r="E46" s="12"/>
      <c r="F46" s="36"/>
      <c r="G46" s="12" t="s">
        <v>196</v>
      </c>
      <c r="H46" s="12" t="s">
        <v>1024</v>
      </c>
    </row>
    <row r="47" spans="1:8">
      <c r="A47" s="36"/>
      <c r="B47" s="36"/>
      <c r="C47" s="12" t="s">
        <v>1124</v>
      </c>
      <c r="D47" s="12" t="s">
        <v>1125</v>
      </c>
      <c r="E47" s="12"/>
      <c r="F47" s="36"/>
      <c r="G47" s="12" t="s">
        <v>200</v>
      </c>
      <c r="H47" s="12"/>
    </row>
    <row r="48" spans="1:8">
      <c r="A48" s="36"/>
      <c r="B48" s="36"/>
      <c r="C48" s="12" t="s">
        <v>1126</v>
      </c>
      <c r="D48" s="12" t="s">
        <v>1127</v>
      </c>
      <c r="E48" s="12"/>
      <c r="F48" s="36"/>
      <c r="G48" s="12" t="s">
        <v>200</v>
      </c>
      <c r="H48" s="12"/>
    </row>
    <row r="49" spans="1:8">
      <c r="A49" s="36"/>
      <c r="B49" s="36"/>
      <c r="C49" s="12" t="s">
        <v>1128</v>
      </c>
      <c r="D49" s="12" t="s">
        <v>1129</v>
      </c>
      <c r="E49" s="12"/>
      <c r="F49" s="36"/>
      <c r="G49" s="12" t="s">
        <v>200</v>
      </c>
      <c r="H49" s="12"/>
    </row>
    <row r="50" spans="1:8">
      <c r="A50" s="36" t="s">
        <v>1130</v>
      </c>
      <c r="B50" s="36" t="s">
        <v>1131</v>
      </c>
      <c r="C50" s="12" t="s">
        <v>1132</v>
      </c>
      <c r="D50" s="12" t="s">
        <v>1133</v>
      </c>
      <c r="E50" s="12" t="s">
        <v>53</v>
      </c>
      <c r="F50" s="36" t="s">
        <v>1134</v>
      </c>
      <c r="G50" s="12" t="s">
        <v>53</v>
      </c>
      <c r="H50" s="12" t="s">
        <v>1024</v>
      </c>
    </row>
    <row r="51" spans="1:8">
      <c r="A51" s="36"/>
      <c r="B51" s="36"/>
      <c r="C51" s="12" t="s">
        <v>1135</v>
      </c>
      <c r="D51" s="12" t="s">
        <v>1136</v>
      </c>
      <c r="E51" s="12"/>
      <c r="F51" s="36"/>
      <c r="G51" s="12" t="s">
        <v>74</v>
      </c>
      <c r="H51" s="12"/>
    </row>
    <row r="52" spans="1:8">
      <c r="A52" s="36"/>
      <c r="B52" s="36"/>
      <c r="C52" s="12" t="s">
        <v>1137</v>
      </c>
      <c r="D52" s="12" t="s">
        <v>1138</v>
      </c>
      <c r="E52" s="12"/>
      <c r="F52" s="36"/>
      <c r="G52" s="12" t="s">
        <v>53</v>
      </c>
      <c r="H52" s="12"/>
    </row>
    <row r="53" spans="1:8">
      <c r="A53" s="36"/>
      <c r="B53" s="36"/>
      <c r="C53" s="12" t="s">
        <v>1139</v>
      </c>
      <c r="D53" s="12" t="s">
        <v>1140</v>
      </c>
      <c r="E53" s="12"/>
      <c r="F53" s="36"/>
      <c r="G53" s="12" t="s">
        <v>67</v>
      </c>
      <c r="H53" s="12"/>
    </row>
    <row r="54" spans="1:8">
      <c r="A54" s="36"/>
      <c r="B54" s="36"/>
      <c r="C54" s="12" t="s">
        <v>1141</v>
      </c>
      <c r="D54" s="12" t="s">
        <v>1142</v>
      </c>
      <c r="E54" s="12"/>
      <c r="F54" s="36"/>
      <c r="G54" s="12" t="s">
        <v>67</v>
      </c>
      <c r="H54" s="12"/>
    </row>
    <row r="55" spans="1:8">
      <c r="A55" s="36"/>
      <c r="B55" s="36"/>
      <c r="C55" s="12" t="s">
        <v>1143</v>
      </c>
      <c r="D55" s="12" t="s">
        <v>1144</v>
      </c>
      <c r="E55" s="12"/>
      <c r="F55" s="36"/>
      <c r="G55" s="12" t="s">
        <v>67</v>
      </c>
      <c r="H55" s="12"/>
    </row>
    <row r="56" spans="1:8">
      <c r="A56" s="36"/>
      <c r="B56" s="36"/>
      <c r="C56" s="12" t="s">
        <v>1145</v>
      </c>
      <c r="D56" s="12" t="s">
        <v>1146</v>
      </c>
      <c r="E56" s="12"/>
      <c r="F56" s="36"/>
      <c r="G56" s="12" t="s">
        <v>67</v>
      </c>
      <c r="H56" s="12"/>
    </row>
    <row r="57" spans="1:8">
      <c r="A57" s="36"/>
      <c r="B57" s="36"/>
      <c r="C57" s="12" t="s">
        <v>1147</v>
      </c>
      <c r="D57" s="12" t="s">
        <v>1148</v>
      </c>
      <c r="E57" s="12"/>
      <c r="F57" s="36"/>
      <c r="G57" s="12" t="s">
        <v>67</v>
      </c>
      <c r="H57" s="12"/>
    </row>
    <row r="58" spans="1:8">
      <c r="A58" s="36" t="s">
        <v>1149</v>
      </c>
      <c r="B58" s="36" t="s">
        <v>1150</v>
      </c>
      <c r="C58" s="12" t="s">
        <v>616</v>
      </c>
      <c r="D58" s="12" t="s">
        <v>1151</v>
      </c>
      <c r="E58" s="12" t="s">
        <v>348</v>
      </c>
      <c r="F58" s="36" t="s">
        <v>1152</v>
      </c>
      <c r="G58" s="12" t="s">
        <v>240</v>
      </c>
      <c r="H58" s="12" t="s">
        <v>1024</v>
      </c>
    </row>
    <row r="59" spans="1:8">
      <c r="A59" s="36"/>
      <c r="B59" s="36"/>
      <c r="C59" s="12" t="s">
        <v>581</v>
      </c>
      <c r="D59" s="12" t="s">
        <v>1153</v>
      </c>
      <c r="E59" s="12"/>
      <c r="F59" s="36"/>
      <c r="G59" s="12" t="s">
        <v>240</v>
      </c>
      <c r="H59" s="12"/>
    </row>
    <row r="60" spans="1:8">
      <c r="A60" s="36"/>
      <c r="B60" s="36"/>
      <c r="C60" s="12" t="s">
        <v>1154</v>
      </c>
      <c r="D60" s="12" t="s">
        <v>1155</v>
      </c>
      <c r="E60" s="12"/>
      <c r="F60" s="36"/>
      <c r="G60" s="12" t="s">
        <v>240</v>
      </c>
      <c r="H60" s="12"/>
    </row>
    <row r="61" spans="1:8">
      <c r="A61" s="36"/>
      <c r="B61" s="36"/>
      <c r="C61" s="12" t="s">
        <v>1156</v>
      </c>
      <c r="D61" s="12" t="s">
        <v>594</v>
      </c>
      <c r="E61" s="12"/>
      <c r="F61" s="36"/>
      <c r="G61" s="12" t="s">
        <v>120</v>
      </c>
      <c r="H61" s="12"/>
    </row>
    <row r="62" spans="1:8">
      <c r="A62" s="36"/>
      <c r="B62" s="36"/>
      <c r="C62" s="12" t="s">
        <v>1157</v>
      </c>
      <c r="D62" s="12" t="s">
        <v>1158</v>
      </c>
      <c r="E62" s="12"/>
      <c r="F62" s="36"/>
      <c r="G62" s="12" t="s">
        <v>120</v>
      </c>
      <c r="H62" s="12"/>
    </row>
    <row r="63" spans="1:8">
      <c r="A63" s="36"/>
      <c r="B63" s="36"/>
      <c r="C63" s="12" t="s">
        <v>1159</v>
      </c>
      <c r="D63" s="12" t="s">
        <v>1160</v>
      </c>
      <c r="E63" s="12"/>
      <c r="F63" s="36"/>
      <c r="G63" s="12" t="s">
        <v>120</v>
      </c>
      <c r="H63" s="12"/>
    </row>
    <row r="64" spans="1:8">
      <c r="A64" s="36"/>
      <c r="B64" s="36"/>
      <c r="C64" s="12" t="s">
        <v>1161</v>
      </c>
      <c r="D64" s="12" t="s">
        <v>1162</v>
      </c>
      <c r="E64" s="12"/>
      <c r="F64" s="36"/>
      <c r="G64" s="12" t="s">
        <v>120</v>
      </c>
      <c r="H64" s="12"/>
    </row>
    <row r="65" spans="1:8">
      <c r="A65" s="36" t="s">
        <v>1163</v>
      </c>
      <c r="B65" s="36" t="s">
        <v>1163</v>
      </c>
      <c r="C65" s="12" t="s">
        <v>1164</v>
      </c>
      <c r="D65" s="12" t="s">
        <v>1165</v>
      </c>
      <c r="E65" s="12" t="s">
        <v>92</v>
      </c>
      <c r="F65" s="36" t="s">
        <v>1166</v>
      </c>
      <c r="G65" s="12" t="s">
        <v>92</v>
      </c>
      <c r="H65" s="12" t="s">
        <v>184</v>
      </c>
    </row>
    <row r="66" spans="1:8">
      <c r="A66" s="36"/>
      <c r="B66" s="36"/>
      <c r="C66" s="12" t="s">
        <v>1167</v>
      </c>
      <c r="D66" s="12" t="s">
        <v>1168</v>
      </c>
      <c r="E66" s="12"/>
      <c r="F66" s="36"/>
      <c r="G66" s="12" t="s">
        <v>92</v>
      </c>
      <c r="H66" s="12" t="s">
        <v>177</v>
      </c>
    </row>
    <row r="67" spans="1:8">
      <c r="A67" s="36"/>
      <c r="B67" s="36"/>
      <c r="C67" s="12" t="s">
        <v>1169</v>
      </c>
      <c r="D67" s="12" t="s">
        <v>1170</v>
      </c>
      <c r="E67" s="12"/>
      <c r="F67" s="36"/>
      <c r="G67" s="12" t="s">
        <v>92</v>
      </c>
      <c r="H67" s="12" t="s">
        <v>184</v>
      </c>
    </row>
    <row r="68" spans="1:8">
      <c r="A68" s="36"/>
      <c r="B68" s="36"/>
      <c r="C68" s="12" t="s">
        <v>1171</v>
      </c>
      <c r="D68" s="12" t="s">
        <v>1172</v>
      </c>
      <c r="E68" s="12"/>
      <c r="F68" s="36"/>
      <c r="G68" s="12" t="s">
        <v>92</v>
      </c>
      <c r="H68" s="12" t="s">
        <v>182</v>
      </c>
    </row>
    <row r="69" spans="1:8">
      <c r="A69" s="36"/>
      <c r="B69" s="36"/>
      <c r="C69" s="12" t="s">
        <v>1173</v>
      </c>
      <c r="D69" s="12" t="s">
        <v>1174</v>
      </c>
      <c r="E69" s="12"/>
      <c r="F69" s="36"/>
      <c r="G69" s="12" t="s">
        <v>92</v>
      </c>
      <c r="H69" s="12" t="s">
        <v>253</v>
      </c>
    </row>
    <row r="70" spans="1:8">
      <c r="A70" s="36"/>
      <c r="B70" s="36"/>
      <c r="C70" s="12" t="s">
        <v>1175</v>
      </c>
      <c r="D70" s="12" t="s">
        <v>1176</v>
      </c>
      <c r="E70" s="12"/>
      <c r="F70" s="36"/>
      <c r="G70" s="12" t="s">
        <v>92</v>
      </c>
      <c r="H70" s="12" t="s">
        <v>1024</v>
      </c>
    </row>
    <row r="71" spans="1:8">
      <c r="A71" s="36"/>
      <c r="B71" s="36"/>
      <c r="C71" s="12" t="s">
        <v>1177</v>
      </c>
      <c r="D71" s="12" t="s">
        <v>1178</v>
      </c>
      <c r="E71" s="12"/>
      <c r="F71" s="36"/>
      <c r="G71" s="12" t="s">
        <v>92</v>
      </c>
      <c r="H71" s="12" t="s">
        <v>1024</v>
      </c>
    </row>
    <row r="72" spans="1:8">
      <c r="A72" s="36"/>
      <c r="B72" s="36"/>
      <c r="C72" s="12" t="s">
        <v>1179</v>
      </c>
      <c r="D72" s="12" t="s">
        <v>1180</v>
      </c>
      <c r="E72" s="12"/>
      <c r="F72" s="36"/>
      <c r="G72" s="12" t="s">
        <v>92</v>
      </c>
      <c r="H72" s="40" t="s">
        <v>1024</v>
      </c>
    </row>
    <row r="73" spans="1:8">
      <c r="A73" s="36"/>
      <c r="B73" s="36"/>
      <c r="C73" s="12" t="s">
        <v>1181</v>
      </c>
      <c r="D73" s="12" t="s">
        <v>1182</v>
      </c>
      <c r="E73" s="12"/>
      <c r="F73" s="36"/>
      <c r="G73" s="12" t="s">
        <v>92</v>
      </c>
      <c r="H73" s="12" t="s">
        <v>1024</v>
      </c>
    </row>
    <row r="74" spans="1:8">
      <c r="A74" s="36"/>
      <c r="B74" s="36"/>
      <c r="C74" s="12" t="s">
        <v>1183</v>
      </c>
      <c r="D74" s="12" t="s">
        <v>1184</v>
      </c>
      <c r="E74" s="12"/>
      <c r="F74" s="36"/>
      <c r="G74" s="12" t="s">
        <v>92</v>
      </c>
      <c r="H74" s="12"/>
    </row>
    <row r="75" spans="1:8">
      <c r="A75" s="36"/>
      <c r="B75" s="36"/>
      <c r="C75" s="12" t="s">
        <v>1185</v>
      </c>
      <c r="D75" s="12" t="s">
        <v>1186</v>
      </c>
      <c r="E75" s="12"/>
      <c r="F75" s="36"/>
      <c r="G75" s="12" t="s">
        <v>92</v>
      </c>
      <c r="H75" s="12"/>
    </row>
    <row r="76" spans="1:8">
      <c r="A76" s="36"/>
      <c r="B76" s="36"/>
      <c r="C76" s="12" t="s">
        <v>1187</v>
      </c>
      <c r="D76" s="12" t="s">
        <v>1188</v>
      </c>
      <c r="E76" s="12"/>
      <c r="F76" s="36"/>
      <c r="G76" s="12" t="s">
        <v>92</v>
      </c>
      <c r="H76" s="12"/>
    </row>
    <row r="77" spans="1:8">
      <c r="A77" s="36"/>
      <c r="B77" s="36"/>
      <c r="C77" s="12" t="s">
        <v>1189</v>
      </c>
      <c r="D77" s="12" t="s">
        <v>578</v>
      </c>
      <c r="E77" s="12"/>
      <c r="F77" s="36"/>
      <c r="G77" s="12" t="s">
        <v>125</v>
      </c>
      <c r="H77" s="12" t="s">
        <v>92</v>
      </c>
    </row>
    <row r="78" spans="1:8">
      <c r="A78" s="36"/>
      <c r="B78" s="36"/>
      <c r="C78" s="12" t="s">
        <v>1190</v>
      </c>
      <c r="D78" s="12" t="s">
        <v>1191</v>
      </c>
      <c r="E78" s="12"/>
      <c r="F78" s="36"/>
      <c r="G78" s="12" t="s">
        <v>125</v>
      </c>
      <c r="H78" s="12" t="s">
        <v>92</v>
      </c>
    </row>
    <row r="79" spans="1:6">
      <c r="A79" s="32"/>
      <c r="C79" s="1"/>
      <c r="D79" s="1"/>
      <c r="E79" s="1"/>
      <c r="F79" s="32"/>
    </row>
    <row r="80" spans="1:6">
      <c r="A80" s="32"/>
      <c r="C80" s="1"/>
      <c r="D80" s="1"/>
      <c r="E80" s="1"/>
      <c r="F80" s="32"/>
    </row>
    <row r="81" spans="1:6">
      <c r="A81" s="32"/>
      <c r="C81" s="1"/>
      <c r="D81" s="1"/>
      <c r="E81" s="1"/>
      <c r="F81" s="32"/>
    </row>
    <row r="82" spans="1:6">
      <c r="A82" s="32"/>
      <c r="C82" s="1"/>
      <c r="D82" s="1"/>
      <c r="E82" s="1"/>
      <c r="F82" s="32"/>
    </row>
    <row r="83" spans="1:6">
      <c r="A83" s="32"/>
      <c r="C83" s="1"/>
      <c r="D83" s="1"/>
      <c r="E83" s="1"/>
      <c r="F83" s="32"/>
    </row>
    <row r="84" spans="1:6">
      <c r="A84" s="32"/>
      <c r="C84" s="1"/>
      <c r="D84" s="1"/>
      <c r="E84" s="1"/>
      <c r="F84" s="32"/>
    </row>
    <row r="85" spans="1:6">
      <c r="A85" s="32"/>
      <c r="C85" s="1"/>
      <c r="D85" s="1"/>
      <c r="E85" s="1"/>
      <c r="F85" s="32"/>
    </row>
    <row r="86" spans="1:6">
      <c r="A86" s="32"/>
      <c r="C86" s="1"/>
      <c r="D86" s="1"/>
      <c r="E86" s="1"/>
      <c r="F86" s="32"/>
    </row>
    <row r="87" spans="1:6">
      <c r="A87" s="32"/>
      <c r="C87" s="1"/>
      <c r="D87" s="1"/>
      <c r="E87" s="1"/>
      <c r="F87" s="32"/>
    </row>
    <row r="88" spans="1:6">
      <c r="A88" s="32"/>
      <c r="C88" s="1"/>
      <c r="D88" s="1"/>
      <c r="E88" s="1"/>
      <c r="F88" s="32"/>
    </row>
    <row r="89" spans="1:6">
      <c r="A89" s="32"/>
      <c r="C89" s="1"/>
      <c r="D89" s="1"/>
      <c r="E89" s="1"/>
      <c r="F89" s="32"/>
    </row>
    <row r="90" spans="1:6">
      <c r="A90" s="32"/>
      <c r="C90" s="1"/>
      <c r="D90" s="1"/>
      <c r="E90" s="1"/>
      <c r="F90" s="32"/>
    </row>
    <row r="91" spans="1:6">
      <c r="A91" s="32"/>
      <c r="C91" s="1"/>
      <c r="D91" s="1"/>
      <c r="E91" s="1"/>
      <c r="F91" s="32"/>
    </row>
    <row r="92" spans="1:6">
      <c r="A92" s="32"/>
      <c r="C92" s="1"/>
      <c r="D92" s="1"/>
      <c r="E92" s="1"/>
      <c r="F92" s="32"/>
    </row>
    <row r="93" spans="1:6">
      <c r="A93" s="32"/>
      <c r="C93" s="1"/>
      <c r="D93" s="1"/>
      <c r="E93" s="1"/>
      <c r="F93" s="32"/>
    </row>
    <row r="94" spans="1:6">
      <c r="A94" s="32"/>
      <c r="C94" s="1"/>
      <c r="D94" s="1"/>
      <c r="E94" s="1"/>
      <c r="F94" s="32"/>
    </row>
    <row r="95" spans="1:6">
      <c r="A95" s="32"/>
      <c r="E95" s="1"/>
      <c r="F95" s="32"/>
    </row>
  </sheetData>
  <mergeCells count="48">
    <mergeCell ref="E1:G1"/>
    <mergeCell ref="A1:A2"/>
    <mergeCell ref="A3:A7"/>
    <mergeCell ref="A8:A34"/>
    <mergeCell ref="A35:A38"/>
    <mergeCell ref="A39:A49"/>
    <mergeCell ref="A50:A57"/>
    <mergeCell ref="A58:A64"/>
    <mergeCell ref="A65:A78"/>
    <mergeCell ref="B1:B2"/>
    <mergeCell ref="B3:B7"/>
    <mergeCell ref="B8:B14"/>
    <mergeCell ref="B15:B16"/>
    <mergeCell ref="B17:B20"/>
    <mergeCell ref="B23:B24"/>
    <mergeCell ref="B25:B26"/>
    <mergeCell ref="B27:B31"/>
    <mergeCell ref="B32:B34"/>
    <mergeCell ref="B35:B38"/>
    <mergeCell ref="B39:B49"/>
    <mergeCell ref="B50:B57"/>
    <mergeCell ref="B58:B64"/>
    <mergeCell ref="B65:B78"/>
    <mergeCell ref="C1:C2"/>
    <mergeCell ref="D1:D2"/>
    <mergeCell ref="E3:E7"/>
    <mergeCell ref="E8:E34"/>
    <mergeCell ref="E35:E38"/>
    <mergeCell ref="E39:E49"/>
    <mergeCell ref="E50:E57"/>
    <mergeCell ref="E58:E64"/>
    <mergeCell ref="E65:E78"/>
    <mergeCell ref="F3:F7"/>
    <mergeCell ref="F8:F34"/>
    <mergeCell ref="F35:F38"/>
    <mergeCell ref="F39:F49"/>
    <mergeCell ref="F50:F57"/>
    <mergeCell ref="F58:F64"/>
    <mergeCell ref="F65:F78"/>
    <mergeCell ref="H1:H2"/>
    <mergeCell ref="H3:H7"/>
    <mergeCell ref="H8:H14"/>
    <mergeCell ref="H23:H24"/>
    <mergeCell ref="H32:H34"/>
    <mergeCell ref="H46:H49"/>
    <mergeCell ref="H50:H57"/>
    <mergeCell ref="H58:H64"/>
    <mergeCell ref="H73:H7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9"/>
  <sheetViews>
    <sheetView workbookViewId="0">
      <selection activeCell="C27" sqref="C27"/>
    </sheetView>
  </sheetViews>
  <sheetFormatPr defaultColWidth="8.72222222222222" defaultRowHeight="14.4"/>
  <cols>
    <col min="1" max="1" width="7.46296296296296" style="27" customWidth="1"/>
    <col min="2" max="2" width="9.62962962962963" style="27" customWidth="1"/>
  </cols>
  <sheetData>
    <row r="1" spans="1:2">
      <c r="A1" s="28" t="s">
        <v>1</v>
      </c>
      <c r="B1" s="28" t="s">
        <v>15</v>
      </c>
    </row>
    <row r="2" spans="1:16">
      <c r="A2" s="29" t="s">
        <v>1192</v>
      </c>
      <c r="B2" s="30">
        <v>25</v>
      </c>
      <c r="P2" t="s">
        <v>1193</v>
      </c>
    </row>
    <row r="3" spans="1:16">
      <c r="A3" s="29" t="s">
        <v>1194</v>
      </c>
      <c r="B3" s="30">
        <v>18</v>
      </c>
      <c r="P3" t="s">
        <v>1195</v>
      </c>
    </row>
    <row r="4" spans="1:16">
      <c r="A4" s="29" t="s">
        <v>1196</v>
      </c>
      <c r="B4" s="30">
        <v>17</v>
      </c>
      <c r="P4" t="s">
        <v>1197</v>
      </c>
    </row>
    <row r="5" spans="1:2">
      <c r="A5" s="29" t="s">
        <v>272</v>
      </c>
      <c r="B5" s="30">
        <v>7</v>
      </c>
    </row>
    <row r="6" spans="1:2">
      <c r="A6" s="29" t="s">
        <v>286</v>
      </c>
      <c r="B6" s="30">
        <v>19</v>
      </c>
    </row>
    <row r="7" spans="1:2">
      <c r="A7" s="29" t="s">
        <v>289</v>
      </c>
      <c r="B7" s="30">
        <v>24</v>
      </c>
    </row>
    <row r="8" spans="1:2">
      <c r="A8" s="29" t="s">
        <v>218</v>
      </c>
      <c r="B8" s="30">
        <v>13</v>
      </c>
    </row>
    <row r="9" spans="1:2">
      <c r="A9" s="29" t="s">
        <v>204</v>
      </c>
      <c r="B9" s="30">
        <v>10</v>
      </c>
    </row>
    <row r="10" spans="1:2">
      <c r="A10" s="29" t="s">
        <v>230</v>
      </c>
      <c r="B10" s="30">
        <v>5</v>
      </c>
    </row>
    <row r="11" spans="1:2">
      <c r="A11" s="29" t="s">
        <v>264</v>
      </c>
      <c r="B11" s="30">
        <v>5</v>
      </c>
    </row>
    <row r="12" spans="1:2">
      <c r="A12" s="29" t="s">
        <v>213</v>
      </c>
      <c r="B12" s="30">
        <v>6</v>
      </c>
    </row>
    <row r="13" spans="1:2">
      <c r="A13" s="29" t="s">
        <v>266</v>
      </c>
      <c r="B13" s="30">
        <v>5</v>
      </c>
    </row>
    <row r="14" spans="1:2">
      <c r="A14" s="29" t="s">
        <v>281</v>
      </c>
      <c r="B14" s="30">
        <v>3</v>
      </c>
    </row>
    <row r="15" spans="1:2">
      <c r="A15" s="29" t="s">
        <v>287</v>
      </c>
      <c r="B15" s="30">
        <v>9</v>
      </c>
    </row>
    <row r="16" spans="1:2">
      <c r="A16" s="29" t="s">
        <v>280</v>
      </c>
      <c r="B16" s="30">
        <v>4</v>
      </c>
    </row>
    <row r="17" spans="1:2">
      <c r="A17" s="29" t="s">
        <v>911</v>
      </c>
      <c r="B17" s="30">
        <v>4</v>
      </c>
    </row>
    <row r="18" spans="1:2">
      <c r="A18" s="29" t="s">
        <v>399</v>
      </c>
      <c r="B18" s="30">
        <v>6</v>
      </c>
    </row>
    <row r="19" spans="1:2">
      <c r="A19" s="29" t="s">
        <v>283</v>
      </c>
      <c r="B19" s="30">
        <v>1</v>
      </c>
    </row>
    <row r="20" spans="1:2">
      <c r="A20" s="29" t="s">
        <v>270</v>
      </c>
      <c r="B20" s="30">
        <v>1</v>
      </c>
    </row>
    <row r="21" spans="1:2">
      <c r="A21" s="29" t="s">
        <v>404</v>
      </c>
      <c r="B21" s="30">
        <v>3</v>
      </c>
    </row>
    <row r="22" spans="1:2">
      <c r="A22" s="29" t="s">
        <v>282</v>
      </c>
      <c r="B22" s="30">
        <v>2</v>
      </c>
    </row>
    <row r="23" spans="1:2">
      <c r="A23" s="29" t="s">
        <v>209</v>
      </c>
      <c r="B23" s="30">
        <v>2</v>
      </c>
    </row>
    <row r="24" spans="1:2">
      <c r="A24" s="29" t="s">
        <v>276</v>
      </c>
      <c r="B24" s="30">
        <v>19</v>
      </c>
    </row>
    <row r="25" spans="1:2">
      <c r="A25" s="29" t="s">
        <v>277</v>
      </c>
      <c r="B25" s="30">
        <v>30</v>
      </c>
    </row>
    <row r="26" spans="1:2">
      <c r="A26" s="29" t="s">
        <v>313</v>
      </c>
      <c r="B26" s="30">
        <v>14</v>
      </c>
    </row>
    <row r="27" spans="1:2">
      <c r="A27" s="29" t="s">
        <v>139</v>
      </c>
      <c r="B27" s="30">
        <v>15</v>
      </c>
    </row>
    <row r="28" spans="1:2">
      <c r="A28" s="29" t="s">
        <v>321</v>
      </c>
      <c r="B28" s="30">
        <v>19</v>
      </c>
    </row>
    <row r="29" spans="1:2">
      <c r="A29" s="29" t="s">
        <v>144</v>
      </c>
      <c r="B29" s="30">
        <v>16</v>
      </c>
    </row>
    <row r="30" spans="1:2">
      <c r="A30" s="29" t="s">
        <v>128</v>
      </c>
      <c r="B30" s="30">
        <v>9</v>
      </c>
    </row>
    <row r="31" spans="1:2">
      <c r="A31" s="29" t="s">
        <v>319</v>
      </c>
      <c r="B31" s="30">
        <v>3</v>
      </c>
    </row>
    <row r="32" spans="1:2">
      <c r="A32" s="29" t="s">
        <v>136</v>
      </c>
      <c r="B32" s="30">
        <v>7</v>
      </c>
    </row>
    <row r="33" spans="1:2">
      <c r="A33" s="29" t="s">
        <v>451</v>
      </c>
      <c r="B33" s="30">
        <v>2</v>
      </c>
    </row>
    <row r="34" spans="1:2">
      <c r="A34" s="29" t="s">
        <v>317</v>
      </c>
      <c r="B34" s="30">
        <v>2</v>
      </c>
    </row>
    <row r="35" spans="1:2">
      <c r="A35" s="29" t="s">
        <v>908</v>
      </c>
      <c r="B35" s="30">
        <v>1</v>
      </c>
    </row>
    <row r="36" spans="1:2">
      <c r="A36" s="29" t="s">
        <v>322</v>
      </c>
      <c r="B36" s="30">
        <v>13</v>
      </c>
    </row>
    <row r="37" spans="1:2">
      <c r="A37" s="29" t="s">
        <v>484</v>
      </c>
      <c r="B37" s="30">
        <v>21</v>
      </c>
    </row>
    <row r="38" spans="1:2">
      <c r="A38" s="29" t="s">
        <v>147</v>
      </c>
      <c r="B38" s="30">
        <v>3</v>
      </c>
    </row>
    <row r="39" spans="1:2">
      <c r="A39" s="29" t="s">
        <v>159</v>
      </c>
      <c r="B39" s="30">
        <v>5</v>
      </c>
    </row>
    <row r="40" spans="1:2">
      <c r="A40" s="29" t="s">
        <v>161</v>
      </c>
      <c r="B40" s="30">
        <v>5</v>
      </c>
    </row>
    <row r="41" spans="1:2">
      <c r="A41" s="29" t="s">
        <v>155</v>
      </c>
      <c r="B41" s="30">
        <v>3</v>
      </c>
    </row>
    <row r="42" spans="1:2">
      <c r="A42" s="29" t="s">
        <v>339</v>
      </c>
      <c r="B42" s="30">
        <v>5</v>
      </c>
    </row>
    <row r="43" spans="1:2">
      <c r="A43" s="29" t="s">
        <v>905</v>
      </c>
      <c r="B43" s="30">
        <v>5</v>
      </c>
    </row>
    <row r="44" spans="1:2">
      <c r="A44" s="29" t="s">
        <v>166</v>
      </c>
      <c r="B44" s="30">
        <v>3</v>
      </c>
    </row>
    <row r="45" spans="1:2">
      <c r="A45" s="29" t="s">
        <v>328</v>
      </c>
      <c r="B45" s="30">
        <v>7</v>
      </c>
    </row>
    <row r="46" spans="1:2">
      <c r="A46" s="29" t="s">
        <v>896</v>
      </c>
      <c r="B46" s="30">
        <v>5</v>
      </c>
    </row>
    <row r="47" spans="1:2">
      <c r="A47" s="29" t="s">
        <v>245</v>
      </c>
      <c r="B47" s="30">
        <v>4</v>
      </c>
    </row>
    <row r="48" spans="1:2">
      <c r="A48" s="29" t="s">
        <v>330</v>
      </c>
      <c r="B48" s="30">
        <v>3</v>
      </c>
    </row>
    <row r="49" spans="1:2">
      <c r="A49" s="29" t="s">
        <v>247</v>
      </c>
      <c r="B49" s="30">
        <v>3</v>
      </c>
    </row>
    <row r="50" spans="1:2">
      <c r="A50" s="29" t="s">
        <v>898</v>
      </c>
      <c r="B50" s="30">
        <v>3</v>
      </c>
    </row>
    <row r="51" spans="1:2">
      <c r="A51" s="29" t="s">
        <v>249</v>
      </c>
      <c r="B51" s="30">
        <v>2</v>
      </c>
    </row>
    <row r="52" spans="1:2">
      <c r="A52" s="29" t="s">
        <v>324</v>
      </c>
      <c r="B52" s="30">
        <v>2</v>
      </c>
    </row>
    <row r="53" spans="1:2">
      <c r="A53" s="29" t="s">
        <v>334</v>
      </c>
      <c r="B53" s="30">
        <v>2</v>
      </c>
    </row>
    <row r="54" spans="1:2">
      <c r="A54" s="29" t="s">
        <v>332</v>
      </c>
      <c r="B54" s="30">
        <v>2</v>
      </c>
    </row>
    <row r="55" spans="1:2">
      <c r="A55" s="29" t="s">
        <v>345</v>
      </c>
      <c r="B55" s="30">
        <v>1</v>
      </c>
    </row>
    <row r="56" spans="1:2">
      <c r="A56" s="29" t="s">
        <v>326</v>
      </c>
      <c r="B56" s="30">
        <v>1</v>
      </c>
    </row>
    <row r="57" spans="1:2">
      <c r="A57" s="29" t="s">
        <v>341</v>
      </c>
      <c r="B57" s="30">
        <v>2</v>
      </c>
    </row>
    <row r="58" spans="1:2">
      <c r="A58" s="29" t="s">
        <v>153</v>
      </c>
      <c r="B58" s="30">
        <v>2</v>
      </c>
    </row>
    <row r="59" spans="1:2">
      <c r="A59" s="29" t="s">
        <v>323</v>
      </c>
      <c r="B59" s="30">
        <v>2</v>
      </c>
    </row>
    <row r="60" spans="1:2">
      <c r="A60" s="29" t="s">
        <v>346</v>
      </c>
      <c r="B60" s="30">
        <v>2</v>
      </c>
    </row>
    <row r="61" spans="1:2">
      <c r="A61" s="29" t="s">
        <v>333</v>
      </c>
      <c r="B61" s="30">
        <v>2</v>
      </c>
    </row>
    <row r="62" spans="1:2">
      <c r="A62" s="29" t="s">
        <v>483</v>
      </c>
      <c r="B62" s="30">
        <v>2</v>
      </c>
    </row>
    <row r="63" spans="1:2">
      <c r="A63" s="29" t="s">
        <v>336</v>
      </c>
      <c r="B63" s="30">
        <v>2</v>
      </c>
    </row>
    <row r="64" spans="1:2">
      <c r="A64" s="29" t="s">
        <v>331</v>
      </c>
      <c r="B64" s="30">
        <v>1</v>
      </c>
    </row>
    <row r="65" spans="1:2">
      <c r="A65" s="29" t="s">
        <v>344</v>
      </c>
      <c r="B65" s="30">
        <v>1</v>
      </c>
    </row>
    <row r="66" spans="1:2">
      <c r="A66" s="29" t="s">
        <v>466</v>
      </c>
      <c r="B66" s="30">
        <v>9</v>
      </c>
    </row>
    <row r="67" spans="1:2">
      <c r="A67" s="29" t="s">
        <v>368</v>
      </c>
      <c r="B67" s="30">
        <v>17</v>
      </c>
    </row>
    <row r="68" spans="1:2">
      <c r="A68" s="29" t="s">
        <v>97</v>
      </c>
      <c r="B68" s="30">
        <v>12</v>
      </c>
    </row>
    <row r="69" spans="1:2">
      <c r="A69" s="29" t="s">
        <v>348</v>
      </c>
      <c r="B69" s="30">
        <v>6</v>
      </c>
    </row>
    <row r="70" spans="1:2">
      <c r="A70" s="29" t="s">
        <v>117</v>
      </c>
      <c r="B70" s="30">
        <v>10</v>
      </c>
    </row>
    <row r="71" spans="1:2">
      <c r="A71" s="29" t="s">
        <v>120</v>
      </c>
      <c r="B71" s="30">
        <v>7</v>
      </c>
    </row>
    <row r="72" spans="1:2">
      <c r="A72" s="29" t="s">
        <v>125</v>
      </c>
      <c r="B72" s="30">
        <v>11</v>
      </c>
    </row>
    <row r="73" spans="1:2">
      <c r="A73" s="29" t="s">
        <v>106</v>
      </c>
      <c r="B73" s="30">
        <v>5</v>
      </c>
    </row>
    <row r="74" spans="1:2">
      <c r="A74" s="29" t="s">
        <v>358</v>
      </c>
      <c r="B74" s="30">
        <v>5</v>
      </c>
    </row>
    <row r="75" spans="1:2">
      <c r="A75" s="29" t="s">
        <v>102</v>
      </c>
      <c r="B75" s="30">
        <v>5</v>
      </c>
    </row>
    <row r="76" spans="1:2">
      <c r="A76" s="29" t="s">
        <v>114</v>
      </c>
      <c r="B76" s="30">
        <v>5</v>
      </c>
    </row>
    <row r="77" spans="1:2">
      <c r="A77" s="29" t="s">
        <v>350</v>
      </c>
      <c r="B77" s="30">
        <v>4</v>
      </c>
    </row>
    <row r="78" spans="1:2">
      <c r="A78" s="29" t="s">
        <v>240</v>
      </c>
      <c r="B78" s="30">
        <v>3</v>
      </c>
    </row>
    <row r="79" spans="1:2">
      <c r="A79" s="29" t="s">
        <v>241</v>
      </c>
      <c r="B79" s="30">
        <v>3</v>
      </c>
    </row>
    <row r="80" spans="1:2">
      <c r="A80" s="29" t="s">
        <v>370</v>
      </c>
      <c r="B80" s="30">
        <v>3</v>
      </c>
    </row>
    <row r="81" spans="1:2">
      <c r="A81" s="29" t="s">
        <v>352</v>
      </c>
      <c r="B81" s="30">
        <v>2</v>
      </c>
    </row>
    <row r="82" spans="1:2">
      <c r="A82" s="29" t="s">
        <v>244</v>
      </c>
      <c r="B82" s="30">
        <v>2</v>
      </c>
    </row>
    <row r="83" spans="1:2">
      <c r="A83" s="29" t="s">
        <v>111</v>
      </c>
      <c r="B83" s="30">
        <v>7</v>
      </c>
    </row>
    <row r="84" spans="1:2">
      <c r="A84" s="29" t="s">
        <v>377</v>
      </c>
      <c r="B84" s="30">
        <v>5</v>
      </c>
    </row>
    <row r="85" spans="1:2">
      <c r="A85" s="29" t="s">
        <v>372</v>
      </c>
      <c r="B85" s="30">
        <v>4</v>
      </c>
    </row>
    <row r="86" spans="1:2">
      <c r="A86" s="29" t="s">
        <v>378</v>
      </c>
      <c r="B86" s="30">
        <v>4</v>
      </c>
    </row>
    <row r="87" spans="1:2">
      <c r="A87" s="29" t="s">
        <v>920</v>
      </c>
      <c r="B87" s="30">
        <v>3</v>
      </c>
    </row>
    <row r="88" spans="1:2">
      <c r="A88" s="29" t="s">
        <v>361</v>
      </c>
      <c r="B88" s="30">
        <v>2</v>
      </c>
    </row>
    <row r="89" spans="1:2">
      <c r="A89" s="29" t="s">
        <v>373</v>
      </c>
      <c r="B89" s="30">
        <v>8</v>
      </c>
    </row>
    <row r="90" spans="1:2">
      <c r="A90" s="29" t="s">
        <v>397</v>
      </c>
      <c r="B90" s="30">
        <v>6</v>
      </c>
    </row>
    <row r="91" spans="1:2">
      <c r="A91" s="29" t="s">
        <v>371</v>
      </c>
      <c r="B91" s="30">
        <v>1</v>
      </c>
    </row>
    <row r="92" spans="1:2">
      <c r="A92" s="29" t="s">
        <v>375</v>
      </c>
      <c r="B92" s="30">
        <v>0</v>
      </c>
    </row>
    <row r="93" spans="1:2">
      <c r="A93" s="29" t="s">
        <v>363</v>
      </c>
      <c r="B93" s="30">
        <v>2</v>
      </c>
    </row>
    <row r="94" spans="1:2">
      <c r="A94" s="29" t="s">
        <v>351</v>
      </c>
      <c r="B94" s="30">
        <v>2</v>
      </c>
    </row>
    <row r="95" spans="1:2">
      <c r="A95" s="29" t="s">
        <v>354</v>
      </c>
      <c r="B95" s="30">
        <v>2</v>
      </c>
    </row>
    <row r="96" spans="1:2">
      <c r="A96" s="29" t="s">
        <v>379</v>
      </c>
      <c r="B96" s="30">
        <v>1</v>
      </c>
    </row>
    <row r="97" spans="1:2">
      <c r="A97" s="29" t="s">
        <v>403</v>
      </c>
      <c r="B97" s="30">
        <v>1</v>
      </c>
    </row>
    <row r="98" spans="1:2">
      <c r="A98" s="29" t="s">
        <v>356</v>
      </c>
      <c r="B98" s="30">
        <v>1</v>
      </c>
    </row>
    <row r="99" spans="1:2">
      <c r="A99" s="29" t="s">
        <v>380</v>
      </c>
      <c r="B99" s="30">
        <v>1</v>
      </c>
    </row>
    <row r="100" spans="1:2">
      <c r="A100" s="29" t="s">
        <v>364</v>
      </c>
      <c r="B100" s="30">
        <v>0</v>
      </c>
    </row>
    <row r="101" spans="1:2">
      <c r="A101" s="29" t="s">
        <v>376</v>
      </c>
      <c r="B101" s="30">
        <v>0</v>
      </c>
    </row>
    <row r="102" spans="1:2">
      <c r="A102" s="29" t="s">
        <v>366</v>
      </c>
      <c r="B102" s="30">
        <v>12</v>
      </c>
    </row>
    <row r="103" spans="1:2">
      <c r="A103" s="29" t="s">
        <v>383</v>
      </c>
      <c r="B103" s="30">
        <v>19</v>
      </c>
    </row>
    <row r="104" spans="1:2">
      <c r="A104" s="29" t="s">
        <v>74</v>
      </c>
      <c r="B104" s="30">
        <v>20</v>
      </c>
    </row>
    <row r="105" spans="1:2">
      <c r="A105" s="29" t="s">
        <v>80</v>
      </c>
      <c r="B105" s="30">
        <v>18</v>
      </c>
    </row>
    <row r="106" spans="1:2">
      <c r="A106" s="29" t="s">
        <v>384</v>
      </c>
      <c r="B106" s="30">
        <v>14</v>
      </c>
    </row>
    <row r="107" spans="1:2">
      <c r="A107" s="29" t="s">
        <v>92</v>
      </c>
      <c r="B107" s="30">
        <v>9</v>
      </c>
    </row>
    <row r="108" spans="1:2">
      <c r="A108" s="29" t="s">
        <v>53</v>
      </c>
      <c r="B108" s="30">
        <v>7</v>
      </c>
    </row>
    <row r="109" spans="1:2">
      <c r="A109" s="29" t="s">
        <v>227</v>
      </c>
      <c r="B109" s="30">
        <v>6</v>
      </c>
    </row>
    <row r="110" spans="1:2">
      <c r="A110" s="29" t="s">
        <v>86</v>
      </c>
      <c r="B110" s="30">
        <v>11</v>
      </c>
    </row>
    <row r="111" spans="1:2">
      <c r="A111" s="29" t="s">
        <v>67</v>
      </c>
      <c r="B111" s="30">
        <v>13</v>
      </c>
    </row>
    <row r="112" spans="1:2">
      <c r="A112" s="29" t="s">
        <v>387</v>
      </c>
      <c r="B112" s="30">
        <v>5</v>
      </c>
    </row>
    <row r="113" spans="1:2">
      <c r="A113" s="29" t="s">
        <v>233</v>
      </c>
      <c r="B113" s="30">
        <v>5</v>
      </c>
    </row>
    <row r="114" spans="1:2">
      <c r="A114" s="29" t="s">
        <v>83</v>
      </c>
      <c r="B114" s="30">
        <v>4</v>
      </c>
    </row>
    <row r="115" spans="1:2">
      <c r="A115" s="29" t="s">
        <v>89</v>
      </c>
      <c r="B115" s="30">
        <v>3</v>
      </c>
    </row>
    <row r="116" spans="1:2">
      <c r="A116" s="29" t="s">
        <v>234</v>
      </c>
      <c r="B116" s="30">
        <v>3</v>
      </c>
    </row>
    <row r="117" spans="1:2">
      <c r="A117" s="29" t="s">
        <v>236</v>
      </c>
      <c r="B117" s="30">
        <v>2</v>
      </c>
    </row>
    <row r="118" spans="1:2">
      <c r="A118" s="29" t="s">
        <v>418</v>
      </c>
      <c r="B118" s="30">
        <v>2</v>
      </c>
    </row>
    <row r="119" spans="1:2">
      <c r="A119" s="29" t="s">
        <v>237</v>
      </c>
      <c r="B119" s="30">
        <v>3</v>
      </c>
    </row>
    <row r="120" spans="1:2">
      <c r="A120" s="29" t="s">
        <v>428</v>
      </c>
      <c r="B120" s="30">
        <v>3</v>
      </c>
    </row>
    <row r="121" spans="1:2">
      <c r="A121" s="29" t="s">
        <v>433</v>
      </c>
      <c r="B121" s="30">
        <v>3</v>
      </c>
    </row>
    <row r="122" spans="1:2">
      <c r="A122" s="29" t="s">
        <v>411</v>
      </c>
      <c r="B122" s="30">
        <v>3</v>
      </c>
    </row>
    <row r="123" spans="1:2">
      <c r="A123" s="29" t="s">
        <v>238</v>
      </c>
      <c r="B123" s="30">
        <v>7</v>
      </c>
    </row>
    <row r="124" spans="1:2">
      <c r="A124" s="29" t="s">
        <v>400</v>
      </c>
      <c r="B124" s="30">
        <v>9</v>
      </c>
    </row>
    <row r="125" spans="1:2">
      <c r="A125" s="29" t="s">
        <v>386</v>
      </c>
      <c r="B125" s="30">
        <v>2</v>
      </c>
    </row>
    <row r="126" spans="1:2">
      <c r="A126" s="29" t="s">
        <v>394</v>
      </c>
      <c r="B126" s="30">
        <v>2</v>
      </c>
    </row>
    <row r="127" spans="1:2">
      <c r="A127" s="29" t="s">
        <v>391</v>
      </c>
      <c r="B127" s="30">
        <v>2</v>
      </c>
    </row>
    <row r="128" spans="1:2">
      <c r="A128" s="29" t="s">
        <v>435</v>
      </c>
      <c r="B128" s="30">
        <v>1</v>
      </c>
    </row>
    <row r="129" spans="1:2">
      <c r="A129" s="29" t="s">
        <v>417</v>
      </c>
      <c r="B129" s="30">
        <v>1</v>
      </c>
    </row>
    <row r="130" spans="1:2">
      <c r="A130" s="29" t="s">
        <v>475</v>
      </c>
      <c r="B130" s="30">
        <v>0</v>
      </c>
    </row>
    <row r="131" spans="1:2">
      <c r="A131" s="29" t="s">
        <v>413</v>
      </c>
      <c r="B131" s="30">
        <v>3</v>
      </c>
    </row>
    <row r="132" spans="1:2">
      <c r="A132" s="29" t="s">
        <v>424</v>
      </c>
      <c r="B132" s="30">
        <v>2</v>
      </c>
    </row>
    <row r="133" spans="1:2">
      <c r="A133" s="29" t="s">
        <v>393</v>
      </c>
      <c r="B133" s="30">
        <v>2</v>
      </c>
    </row>
    <row r="134" spans="1:2">
      <c r="A134" s="29" t="s">
        <v>426</v>
      </c>
      <c r="B134" s="30">
        <v>2</v>
      </c>
    </row>
    <row r="135" spans="1:2">
      <c r="A135" s="29" t="s">
        <v>402</v>
      </c>
      <c r="B135" s="30">
        <v>2</v>
      </c>
    </row>
    <row r="136" spans="1:2">
      <c r="A136" s="29" t="s">
        <v>434</v>
      </c>
      <c r="B136" s="30">
        <v>2</v>
      </c>
    </row>
    <row r="137" spans="1:2">
      <c r="A137" s="29" t="s">
        <v>420</v>
      </c>
      <c r="B137" s="30">
        <v>2</v>
      </c>
    </row>
    <row r="138" spans="1:2">
      <c r="A138" s="29" t="s">
        <v>422</v>
      </c>
      <c r="B138" s="30">
        <v>2</v>
      </c>
    </row>
    <row r="139" spans="1:2">
      <c r="A139" s="29" t="s">
        <v>430</v>
      </c>
      <c r="B139" s="30">
        <v>2</v>
      </c>
    </row>
    <row r="140" spans="1:2">
      <c r="A140" s="29" t="s">
        <v>423</v>
      </c>
      <c r="B140" s="30">
        <v>2</v>
      </c>
    </row>
    <row r="141" spans="1:2">
      <c r="A141" s="29" t="s">
        <v>415</v>
      </c>
      <c r="B141" s="30">
        <v>1</v>
      </c>
    </row>
    <row r="142" spans="1:2">
      <c r="A142" s="29" t="s">
        <v>414</v>
      </c>
      <c r="B142" s="30">
        <v>1</v>
      </c>
    </row>
    <row r="143" spans="1:2">
      <c r="A143" s="29" t="s">
        <v>436</v>
      </c>
      <c r="B143" s="30">
        <v>1</v>
      </c>
    </row>
    <row r="144" spans="1:2">
      <c r="A144" s="29" t="s">
        <v>408</v>
      </c>
      <c r="B144" s="30">
        <v>0</v>
      </c>
    </row>
    <row r="145" spans="1:2">
      <c r="A145" s="29" t="s">
        <v>406</v>
      </c>
      <c r="B145" s="30">
        <v>4</v>
      </c>
    </row>
    <row r="146" spans="1:2">
      <c r="A146" s="29" t="s">
        <v>431</v>
      </c>
      <c r="B146" s="30">
        <v>0</v>
      </c>
    </row>
    <row r="147" spans="1:2">
      <c r="A147" s="29" t="s">
        <v>416</v>
      </c>
      <c r="B147" s="30">
        <v>5</v>
      </c>
    </row>
    <row r="148" spans="1:2">
      <c r="A148" s="29" t="s">
        <v>437</v>
      </c>
      <c r="B148" s="30">
        <v>11</v>
      </c>
    </row>
    <row r="149" spans="1:2">
      <c r="A149" s="29" t="s">
        <v>170</v>
      </c>
      <c r="B149" s="30">
        <v>7</v>
      </c>
    </row>
    <row r="150" spans="1:2">
      <c r="A150" s="29" t="s">
        <v>182</v>
      </c>
      <c r="B150" s="30">
        <v>10</v>
      </c>
    </row>
    <row r="151" spans="1:2">
      <c r="A151" s="29" t="s">
        <v>174</v>
      </c>
      <c r="B151" s="30">
        <v>5</v>
      </c>
    </row>
    <row r="152" spans="1:2">
      <c r="A152" s="29" t="s">
        <v>251</v>
      </c>
      <c r="B152" s="30">
        <v>4</v>
      </c>
    </row>
    <row r="153" spans="1:2">
      <c r="A153" s="29" t="s">
        <v>443</v>
      </c>
      <c r="B153" s="30">
        <v>4</v>
      </c>
    </row>
    <row r="154" spans="1:2">
      <c r="A154" s="29" t="s">
        <v>442</v>
      </c>
      <c r="B154" s="30">
        <v>3</v>
      </c>
    </row>
    <row r="155" spans="1:2">
      <c r="A155" s="29" t="s">
        <v>462</v>
      </c>
      <c r="B155" s="30">
        <v>2</v>
      </c>
    </row>
    <row r="156" spans="1:2">
      <c r="A156" s="29" t="s">
        <v>184</v>
      </c>
      <c r="B156" s="30">
        <v>8</v>
      </c>
    </row>
    <row r="157" spans="1:2">
      <c r="A157" s="29" t="s">
        <v>446</v>
      </c>
      <c r="B157" s="30">
        <v>3</v>
      </c>
    </row>
    <row r="158" spans="1:2">
      <c r="A158" s="29" t="s">
        <v>438</v>
      </c>
      <c r="B158" s="30">
        <v>3</v>
      </c>
    </row>
    <row r="159" spans="1:2">
      <c r="A159" s="29" t="s">
        <v>439</v>
      </c>
      <c r="B159" s="30">
        <v>3</v>
      </c>
    </row>
    <row r="160" spans="1:2">
      <c r="A160" s="29" t="s">
        <v>440</v>
      </c>
      <c r="B160" s="30">
        <v>3</v>
      </c>
    </row>
    <row r="161" spans="1:2">
      <c r="A161" s="29" t="s">
        <v>460</v>
      </c>
      <c r="B161" s="30">
        <v>4</v>
      </c>
    </row>
    <row r="162" spans="1:2">
      <c r="A162" s="29" t="s">
        <v>448</v>
      </c>
      <c r="B162" s="30">
        <v>8</v>
      </c>
    </row>
    <row r="163" spans="1:2">
      <c r="A163" s="29" t="s">
        <v>449</v>
      </c>
      <c r="B163" s="30">
        <v>2</v>
      </c>
    </row>
    <row r="164" spans="1:2">
      <c r="A164" s="29" t="s">
        <v>450</v>
      </c>
      <c r="B164" s="30">
        <v>2</v>
      </c>
    </row>
    <row r="165" spans="1:2">
      <c r="A165" s="29" t="s">
        <v>464</v>
      </c>
      <c r="B165" s="30">
        <v>2</v>
      </c>
    </row>
    <row r="166" spans="1:2">
      <c r="A166" s="29" t="s">
        <v>444</v>
      </c>
      <c r="B166" s="30">
        <v>1</v>
      </c>
    </row>
    <row r="167" spans="1:2">
      <c r="A167" s="29" t="s">
        <v>456</v>
      </c>
      <c r="B167" s="30">
        <v>5</v>
      </c>
    </row>
    <row r="168" spans="1:2">
      <c r="A168" s="29" t="s">
        <v>486</v>
      </c>
      <c r="B168" s="30">
        <v>2</v>
      </c>
    </row>
    <row r="169" spans="1:2">
      <c r="A169" s="29" t="s">
        <v>902</v>
      </c>
      <c r="B169" s="30">
        <v>1</v>
      </c>
    </row>
    <row r="170" spans="1:2">
      <c r="A170" s="29" t="s">
        <v>454</v>
      </c>
      <c r="B170" s="30">
        <v>23</v>
      </c>
    </row>
    <row r="171" spans="1:2">
      <c r="A171" s="29" t="s">
        <v>253</v>
      </c>
      <c r="B171" s="30">
        <v>19</v>
      </c>
    </row>
    <row r="172" spans="1:2">
      <c r="A172" s="29" t="s">
        <v>177</v>
      </c>
      <c r="B172" s="30">
        <v>6</v>
      </c>
    </row>
    <row r="173" spans="1:2">
      <c r="A173" s="29" t="s">
        <v>455</v>
      </c>
      <c r="B173" s="30">
        <v>9</v>
      </c>
    </row>
    <row r="174" spans="1:2">
      <c r="A174" s="29" t="s">
        <v>458</v>
      </c>
      <c r="B174" s="30">
        <v>8</v>
      </c>
    </row>
    <row r="175" spans="1:2">
      <c r="A175" s="29" t="s">
        <v>468</v>
      </c>
      <c r="B175" s="30">
        <v>6</v>
      </c>
    </row>
    <row r="176" spans="1:2">
      <c r="A176" s="29" t="s">
        <v>196</v>
      </c>
      <c r="B176" s="30">
        <v>12</v>
      </c>
    </row>
    <row r="177" spans="1:2">
      <c r="A177" s="29" t="s">
        <v>221</v>
      </c>
      <c r="B177" s="30">
        <v>5</v>
      </c>
    </row>
    <row r="178" spans="1:2">
      <c r="A178" s="29" t="s">
        <v>188</v>
      </c>
      <c r="B178" s="30">
        <v>4</v>
      </c>
    </row>
    <row r="179" spans="1:2">
      <c r="A179" s="29" t="s">
        <v>200</v>
      </c>
      <c r="B179" s="30">
        <v>5</v>
      </c>
    </row>
    <row r="180" spans="1:2">
      <c r="A180" s="29" t="s">
        <v>255</v>
      </c>
      <c r="B180" s="30">
        <v>4</v>
      </c>
    </row>
    <row r="181" spans="1:2">
      <c r="A181" s="29" t="s">
        <v>479</v>
      </c>
      <c r="B181" s="30">
        <v>3</v>
      </c>
    </row>
    <row r="182" spans="1:2">
      <c r="A182" s="29" t="s">
        <v>259</v>
      </c>
      <c r="B182" s="30">
        <v>4</v>
      </c>
    </row>
    <row r="183" spans="1:2">
      <c r="A183" s="29" t="s">
        <v>899</v>
      </c>
      <c r="B183" s="30">
        <v>3</v>
      </c>
    </row>
    <row r="184" spans="1:2">
      <c r="A184" s="29" t="s">
        <v>914</v>
      </c>
      <c r="B184" s="30">
        <v>3</v>
      </c>
    </row>
    <row r="185" spans="1:2">
      <c r="A185" s="29" t="s">
        <v>470</v>
      </c>
      <c r="B185" s="30">
        <v>3</v>
      </c>
    </row>
    <row r="186" spans="1:2">
      <c r="A186" s="29" t="s">
        <v>481</v>
      </c>
      <c r="B186" s="30">
        <v>2</v>
      </c>
    </row>
    <row r="187" spans="1:2">
      <c r="A187" s="29" t="s">
        <v>482</v>
      </c>
      <c r="B187" s="30">
        <v>2</v>
      </c>
    </row>
    <row r="188" spans="1:2">
      <c r="A188" s="29" t="s">
        <v>226</v>
      </c>
      <c r="B188" s="30">
        <v>2</v>
      </c>
    </row>
    <row r="189" spans="1:2">
      <c r="A189" s="29" t="s">
        <v>261</v>
      </c>
      <c r="B189" s="30">
        <v>1</v>
      </c>
    </row>
    <row r="190" spans="1:2">
      <c r="A190" s="29" t="s">
        <v>473</v>
      </c>
      <c r="B190" s="30">
        <v>1</v>
      </c>
    </row>
    <row r="191" spans="1:2">
      <c r="A191" s="29" t="s">
        <v>193</v>
      </c>
      <c r="B191" s="30">
        <v>2</v>
      </c>
    </row>
    <row r="192" spans="1:2">
      <c r="A192" s="29" t="s">
        <v>917</v>
      </c>
      <c r="B192" s="30">
        <v>1</v>
      </c>
    </row>
    <row r="193" spans="1:2">
      <c r="A193" s="29" t="s">
        <v>474</v>
      </c>
      <c r="B193" s="30">
        <v>1</v>
      </c>
    </row>
    <row r="194" spans="1:2">
      <c r="A194" s="29" t="s">
        <v>472</v>
      </c>
      <c r="B194" s="30">
        <v>1</v>
      </c>
    </row>
    <row r="195" spans="1:2">
      <c r="A195" s="29" t="s">
        <v>290</v>
      </c>
      <c r="B195" s="30">
        <v>0</v>
      </c>
    </row>
    <row r="196" spans="1:2">
      <c r="A196" s="29" t="s">
        <v>340</v>
      </c>
      <c r="B196" s="30">
        <v>0</v>
      </c>
    </row>
    <row r="197" spans="1:2">
      <c r="A197" s="29" t="s">
        <v>295</v>
      </c>
      <c r="B197" s="30">
        <v>0</v>
      </c>
    </row>
    <row r="198" spans="1:2">
      <c r="A198" s="29" t="s">
        <v>293</v>
      </c>
      <c r="B198" s="30">
        <v>0</v>
      </c>
    </row>
    <row r="199" spans="1:2">
      <c r="A199" s="29" t="s">
        <v>297</v>
      </c>
      <c r="B199" s="30">
        <v>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workbookViewId="0">
      <selection activeCell="A16" sqref="A16"/>
    </sheetView>
  </sheetViews>
  <sheetFormatPr defaultColWidth="8.88888888888889" defaultRowHeight="14.4" outlineLevelCol="6"/>
  <cols>
    <col min="1" max="1" width="16.1111111111111" style="19"/>
    <col min="2" max="2" width="5.44444444444444" style="19"/>
    <col min="6" max="6" width="16.1111111111111" style="19"/>
    <col min="7" max="7" width="5.44444444444444" style="19"/>
  </cols>
  <sheetData>
    <row r="1" spans="1:7">
      <c r="A1" s="20" t="s">
        <v>1198</v>
      </c>
      <c r="B1" s="21"/>
      <c r="F1" s="20" t="s">
        <v>1199</v>
      </c>
      <c r="G1" s="21"/>
    </row>
    <row r="2" spans="1:7">
      <c r="A2" s="20" t="s">
        <v>1200</v>
      </c>
      <c r="B2" s="22" t="s">
        <v>1201</v>
      </c>
      <c r="F2" s="20" t="s">
        <v>1202</v>
      </c>
      <c r="G2" s="22" t="s">
        <v>1201</v>
      </c>
    </row>
    <row r="3" spans="1:7">
      <c r="A3" s="20"/>
      <c r="B3" s="21">
        <v>7</v>
      </c>
      <c r="F3" s="20" t="s">
        <v>106</v>
      </c>
      <c r="G3" s="21">
        <v>1</v>
      </c>
    </row>
    <row r="4" spans="1:7">
      <c r="A4" s="23" t="s">
        <v>361</v>
      </c>
      <c r="B4" s="24">
        <v>1</v>
      </c>
      <c r="F4" s="23" t="s">
        <v>161</v>
      </c>
      <c r="G4" s="24">
        <v>1</v>
      </c>
    </row>
    <row r="5" spans="1:7">
      <c r="A5" s="23" t="s">
        <v>426</v>
      </c>
      <c r="B5" s="24">
        <v>1</v>
      </c>
      <c r="F5" s="23" t="s">
        <v>218</v>
      </c>
      <c r="G5" s="24">
        <v>1</v>
      </c>
    </row>
    <row r="6" spans="1:7">
      <c r="A6" s="23" t="s">
        <v>161</v>
      </c>
      <c r="B6" s="24">
        <v>7</v>
      </c>
      <c r="F6" s="23" t="s">
        <v>379</v>
      </c>
      <c r="G6" s="24">
        <v>1</v>
      </c>
    </row>
    <row r="7" spans="1:7">
      <c r="A7" s="23" t="s">
        <v>417</v>
      </c>
      <c r="B7" s="24">
        <v>12</v>
      </c>
      <c r="F7" s="23" t="s">
        <v>255</v>
      </c>
      <c r="G7" s="24">
        <v>1</v>
      </c>
    </row>
    <row r="8" spans="1:7">
      <c r="A8" s="23" t="s">
        <v>411</v>
      </c>
      <c r="B8" s="24">
        <v>1</v>
      </c>
      <c r="F8" s="23" t="s">
        <v>378</v>
      </c>
      <c r="G8" s="24">
        <v>1</v>
      </c>
    </row>
    <row r="9" spans="1:7">
      <c r="A9" s="23" t="s">
        <v>255</v>
      </c>
      <c r="B9" s="24">
        <v>2</v>
      </c>
      <c r="F9" s="23" t="s">
        <v>394</v>
      </c>
      <c r="G9" s="24">
        <v>1</v>
      </c>
    </row>
    <row r="10" spans="1:7">
      <c r="A10" s="23" t="s">
        <v>89</v>
      </c>
      <c r="B10" s="24">
        <v>2</v>
      </c>
      <c r="F10" s="23" t="s">
        <v>155</v>
      </c>
      <c r="G10" s="24">
        <v>2</v>
      </c>
    </row>
    <row r="11" spans="1:7">
      <c r="A11" s="23" t="s">
        <v>435</v>
      </c>
      <c r="B11" s="24">
        <v>2</v>
      </c>
      <c r="F11" s="23" t="s">
        <v>213</v>
      </c>
      <c r="G11" s="24">
        <v>3</v>
      </c>
    </row>
    <row r="12" spans="1:7">
      <c r="A12" s="23" t="s">
        <v>394</v>
      </c>
      <c r="B12" s="24">
        <v>7</v>
      </c>
      <c r="F12" s="23" t="s">
        <v>259</v>
      </c>
      <c r="G12" s="24">
        <v>1</v>
      </c>
    </row>
    <row r="13" spans="1:7">
      <c r="A13" s="23" t="s">
        <v>440</v>
      </c>
      <c r="B13" s="24">
        <v>2</v>
      </c>
      <c r="F13" s="23" t="s">
        <v>482</v>
      </c>
      <c r="G13" s="24">
        <v>1</v>
      </c>
    </row>
    <row r="14" spans="1:7">
      <c r="A14" s="23" t="s">
        <v>391</v>
      </c>
      <c r="B14" s="24">
        <v>1</v>
      </c>
      <c r="F14" s="23" t="s">
        <v>397</v>
      </c>
      <c r="G14" s="24">
        <v>1</v>
      </c>
    </row>
    <row r="15" spans="1:7">
      <c r="A15" s="23" t="s">
        <v>413</v>
      </c>
      <c r="B15" s="24">
        <v>25</v>
      </c>
      <c r="F15" s="23" t="s">
        <v>230</v>
      </c>
      <c r="G15" s="24">
        <v>3</v>
      </c>
    </row>
    <row r="16" spans="1:7">
      <c r="A16" s="23" t="s">
        <v>53</v>
      </c>
      <c r="B16" s="24">
        <v>1</v>
      </c>
      <c r="F16" s="23" t="s">
        <v>221</v>
      </c>
      <c r="G16" s="24">
        <v>1</v>
      </c>
    </row>
    <row r="17" spans="1:7">
      <c r="A17" s="23" t="s">
        <v>117</v>
      </c>
      <c r="B17" s="24">
        <v>5</v>
      </c>
      <c r="F17" s="23" t="s">
        <v>371</v>
      </c>
      <c r="G17" s="24">
        <v>1</v>
      </c>
    </row>
    <row r="18" spans="1:7">
      <c r="A18" s="23" t="s">
        <v>259</v>
      </c>
      <c r="B18" s="24">
        <v>1</v>
      </c>
      <c r="F18" s="23" t="s">
        <v>196</v>
      </c>
      <c r="G18" s="24">
        <v>2</v>
      </c>
    </row>
    <row r="19" spans="1:7">
      <c r="A19" s="23" t="s">
        <v>346</v>
      </c>
      <c r="B19" s="24">
        <v>1</v>
      </c>
      <c r="F19" s="23" t="s">
        <v>234</v>
      </c>
      <c r="G19" s="24">
        <v>1</v>
      </c>
    </row>
    <row r="20" spans="1:7">
      <c r="A20" s="23" t="s">
        <v>397</v>
      </c>
      <c r="B20" s="24">
        <v>28</v>
      </c>
      <c r="F20" s="23" t="s">
        <v>373</v>
      </c>
      <c r="G20" s="24">
        <v>1</v>
      </c>
    </row>
    <row r="21" spans="1:7">
      <c r="A21" s="23" t="s">
        <v>120</v>
      </c>
      <c r="B21" s="24">
        <v>1</v>
      </c>
      <c r="F21" s="23" t="s">
        <v>399</v>
      </c>
      <c r="G21" s="24">
        <v>2</v>
      </c>
    </row>
    <row r="22" spans="1:7">
      <c r="A22" s="23" t="s">
        <v>230</v>
      </c>
      <c r="B22" s="24">
        <v>15</v>
      </c>
      <c r="F22" s="23" t="s">
        <v>289</v>
      </c>
      <c r="G22" s="24">
        <v>5</v>
      </c>
    </row>
    <row r="23" spans="1:7">
      <c r="A23" s="23" t="s">
        <v>83</v>
      </c>
      <c r="B23" s="24">
        <v>2</v>
      </c>
      <c r="F23" s="23" t="s">
        <v>241</v>
      </c>
      <c r="G23" s="24">
        <v>1</v>
      </c>
    </row>
    <row r="24" spans="1:7">
      <c r="A24" s="23" t="s">
        <v>434</v>
      </c>
      <c r="B24" s="24">
        <v>1</v>
      </c>
      <c r="F24" s="23" t="s">
        <v>264</v>
      </c>
      <c r="G24" s="24">
        <v>4</v>
      </c>
    </row>
    <row r="25" spans="1:7">
      <c r="A25" s="23" t="s">
        <v>371</v>
      </c>
      <c r="B25" s="24">
        <v>3</v>
      </c>
      <c r="F25" s="23" t="s">
        <v>370</v>
      </c>
      <c r="G25" s="24">
        <v>2</v>
      </c>
    </row>
    <row r="26" spans="1:7">
      <c r="A26" s="23" t="s">
        <v>344</v>
      </c>
      <c r="B26" s="24">
        <v>3</v>
      </c>
      <c r="F26" s="23" t="s">
        <v>400</v>
      </c>
      <c r="G26" s="24">
        <v>1</v>
      </c>
    </row>
    <row r="27" spans="1:7">
      <c r="A27" s="23" t="s">
        <v>423</v>
      </c>
      <c r="B27" s="24">
        <v>1</v>
      </c>
      <c r="F27" s="23" t="s">
        <v>193</v>
      </c>
      <c r="G27" s="24">
        <v>1</v>
      </c>
    </row>
    <row r="28" spans="1:7">
      <c r="A28" s="23" t="s">
        <v>436</v>
      </c>
      <c r="B28" s="24">
        <v>3</v>
      </c>
      <c r="F28" s="23" t="s">
        <v>323</v>
      </c>
      <c r="G28" s="24">
        <v>1</v>
      </c>
    </row>
    <row r="29" spans="1:7">
      <c r="A29" s="23" t="s">
        <v>234</v>
      </c>
      <c r="B29" s="24">
        <v>3</v>
      </c>
      <c r="F29" s="23" t="s">
        <v>287</v>
      </c>
      <c r="G29" s="24">
        <v>3</v>
      </c>
    </row>
    <row r="30" spans="1:7">
      <c r="A30" s="23" t="s">
        <v>373</v>
      </c>
      <c r="B30" s="24">
        <v>2</v>
      </c>
      <c r="F30" s="23" t="s">
        <v>442</v>
      </c>
      <c r="G30" s="24">
        <v>1</v>
      </c>
    </row>
    <row r="31" spans="1:7">
      <c r="A31" s="23" t="s">
        <v>399</v>
      </c>
      <c r="B31" s="24">
        <v>8</v>
      </c>
      <c r="F31" s="23" t="s">
        <v>114</v>
      </c>
      <c r="G31" s="24">
        <v>1</v>
      </c>
    </row>
    <row r="32" spans="1:7">
      <c r="A32" s="23" t="s">
        <v>289</v>
      </c>
      <c r="B32" s="24">
        <v>5</v>
      </c>
      <c r="F32" s="23" t="s">
        <v>403</v>
      </c>
      <c r="G32" s="24">
        <v>1</v>
      </c>
    </row>
    <row r="33" spans="1:7">
      <c r="A33" s="23" t="s">
        <v>331</v>
      </c>
      <c r="B33" s="24">
        <v>6</v>
      </c>
      <c r="F33" s="23" t="s">
        <v>404</v>
      </c>
      <c r="G33" s="24">
        <v>2</v>
      </c>
    </row>
    <row r="34" spans="1:7">
      <c r="A34" s="23" t="s">
        <v>241</v>
      </c>
      <c r="B34" s="24">
        <v>4</v>
      </c>
      <c r="F34" s="23" t="s">
        <v>111</v>
      </c>
      <c r="G34" s="24">
        <v>1</v>
      </c>
    </row>
    <row r="35" spans="1:7">
      <c r="A35" s="23" t="s">
        <v>264</v>
      </c>
      <c r="B35" s="24">
        <v>7</v>
      </c>
      <c r="F35" s="23" t="s">
        <v>226</v>
      </c>
      <c r="G35" s="24">
        <v>1</v>
      </c>
    </row>
    <row r="36" spans="1:7">
      <c r="A36" s="23" t="s">
        <v>334</v>
      </c>
      <c r="B36" s="24">
        <v>8</v>
      </c>
      <c r="F36" s="23" t="s">
        <v>200</v>
      </c>
      <c r="G36" s="24">
        <v>2</v>
      </c>
    </row>
    <row r="37" spans="1:7">
      <c r="A37" s="23" t="s">
        <v>74</v>
      </c>
      <c r="B37" s="24">
        <v>5</v>
      </c>
      <c r="F37" s="23" t="s">
        <v>363</v>
      </c>
      <c r="G37" s="24">
        <v>1</v>
      </c>
    </row>
    <row r="38" spans="1:7">
      <c r="A38" s="23" t="s">
        <v>236</v>
      </c>
      <c r="B38" s="24">
        <v>1</v>
      </c>
      <c r="F38" s="23" t="s">
        <v>479</v>
      </c>
      <c r="G38" s="24">
        <v>1</v>
      </c>
    </row>
    <row r="39" spans="1:7">
      <c r="A39" s="23" t="s">
        <v>238</v>
      </c>
      <c r="B39" s="24">
        <v>1</v>
      </c>
      <c r="F39" s="23" t="s">
        <v>481</v>
      </c>
      <c r="G39" s="24">
        <v>1</v>
      </c>
    </row>
    <row r="40" spans="1:7">
      <c r="A40" s="23" t="s">
        <v>370</v>
      </c>
      <c r="B40" s="24">
        <v>4</v>
      </c>
      <c r="F40" s="23" t="s">
        <v>460</v>
      </c>
      <c r="G40" s="24">
        <v>1</v>
      </c>
    </row>
    <row r="41" spans="1:7">
      <c r="A41" s="23" t="s">
        <v>414</v>
      </c>
      <c r="B41" s="24">
        <v>12</v>
      </c>
      <c r="F41" s="23" t="s">
        <v>464</v>
      </c>
      <c r="G41" s="24">
        <v>1</v>
      </c>
    </row>
    <row r="42" spans="1:7">
      <c r="A42" s="23" t="s">
        <v>424</v>
      </c>
      <c r="B42" s="24">
        <v>2</v>
      </c>
      <c r="F42" s="25" t="s">
        <v>1203</v>
      </c>
      <c r="G42" s="26">
        <v>58</v>
      </c>
    </row>
    <row r="43" spans="1:2">
      <c r="A43" s="23" t="s">
        <v>470</v>
      </c>
      <c r="B43" s="24">
        <v>1</v>
      </c>
    </row>
    <row r="44" spans="1:2">
      <c r="A44" s="23" t="s">
        <v>400</v>
      </c>
      <c r="B44" s="24">
        <v>7</v>
      </c>
    </row>
    <row r="45" spans="1:2">
      <c r="A45" s="23" t="s">
        <v>193</v>
      </c>
      <c r="B45" s="24">
        <v>1</v>
      </c>
    </row>
    <row r="46" spans="1:2">
      <c r="A46" s="23" t="s">
        <v>364</v>
      </c>
      <c r="B46" s="24">
        <v>1</v>
      </c>
    </row>
    <row r="47" spans="1:2">
      <c r="A47" s="23" t="s">
        <v>415</v>
      </c>
      <c r="B47" s="24">
        <v>4</v>
      </c>
    </row>
    <row r="48" spans="1:2">
      <c r="A48" s="23" t="s">
        <v>351</v>
      </c>
      <c r="B48" s="24">
        <v>2</v>
      </c>
    </row>
    <row r="49" spans="1:2">
      <c r="A49" s="23" t="s">
        <v>340</v>
      </c>
      <c r="B49" s="24">
        <v>1</v>
      </c>
    </row>
    <row r="50" spans="1:2">
      <c r="A50" s="23" t="s">
        <v>323</v>
      </c>
      <c r="B50" s="24">
        <v>2</v>
      </c>
    </row>
    <row r="51" spans="1:2">
      <c r="A51" s="23" t="s">
        <v>375</v>
      </c>
      <c r="B51" s="24">
        <v>11</v>
      </c>
    </row>
    <row r="52" spans="1:2">
      <c r="A52" s="23" t="s">
        <v>372</v>
      </c>
      <c r="B52" s="24">
        <v>1</v>
      </c>
    </row>
    <row r="53" spans="1:2">
      <c r="A53" s="23" t="s">
        <v>245</v>
      </c>
      <c r="B53" s="24">
        <v>2</v>
      </c>
    </row>
    <row r="54" spans="1:2">
      <c r="A54" s="23" t="s">
        <v>420</v>
      </c>
      <c r="B54" s="24">
        <v>4</v>
      </c>
    </row>
    <row r="55" spans="1:2">
      <c r="A55" s="23" t="s">
        <v>352</v>
      </c>
      <c r="B55" s="24">
        <v>1</v>
      </c>
    </row>
    <row r="56" spans="1:2">
      <c r="A56" s="23" t="s">
        <v>174</v>
      </c>
      <c r="B56" s="24">
        <v>1</v>
      </c>
    </row>
    <row r="57" spans="1:2">
      <c r="A57" s="23" t="s">
        <v>237</v>
      </c>
      <c r="B57" s="24">
        <v>8</v>
      </c>
    </row>
    <row r="58" spans="1:2">
      <c r="A58" s="23" t="s">
        <v>473</v>
      </c>
      <c r="B58" s="24">
        <v>7</v>
      </c>
    </row>
    <row r="59" spans="1:2">
      <c r="A59" s="23" t="s">
        <v>114</v>
      </c>
      <c r="B59" s="24">
        <v>14</v>
      </c>
    </row>
    <row r="60" spans="1:2">
      <c r="A60" s="23" t="s">
        <v>1204</v>
      </c>
      <c r="B60" s="24">
        <v>1</v>
      </c>
    </row>
    <row r="61" spans="1:2">
      <c r="A61" s="23" t="s">
        <v>403</v>
      </c>
      <c r="B61" s="24">
        <v>2</v>
      </c>
    </row>
    <row r="62" spans="1:2">
      <c r="A62" s="23" t="s">
        <v>125</v>
      </c>
      <c r="B62" s="24">
        <v>1</v>
      </c>
    </row>
    <row r="63" spans="1:2">
      <c r="A63" s="23" t="s">
        <v>333</v>
      </c>
      <c r="B63" s="24">
        <v>4</v>
      </c>
    </row>
    <row r="64" spans="1:2">
      <c r="A64" s="23" t="s">
        <v>404</v>
      </c>
      <c r="B64" s="24">
        <v>5</v>
      </c>
    </row>
    <row r="65" spans="1:2">
      <c r="A65" s="23" t="s">
        <v>111</v>
      </c>
      <c r="B65" s="24">
        <v>1</v>
      </c>
    </row>
    <row r="66" spans="1:2">
      <c r="A66" s="23" t="s">
        <v>406</v>
      </c>
      <c r="B66" s="24">
        <v>3</v>
      </c>
    </row>
    <row r="67" spans="1:2">
      <c r="A67" s="23" t="s">
        <v>483</v>
      </c>
      <c r="B67" s="24">
        <v>1</v>
      </c>
    </row>
    <row r="68" spans="1:2">
      <c r="A68" s="23" t="s">
        <v>188</v>
      </c>
      <c r="B68" s="24">
        <v>1</v>
      </c>
    </row>
    <row r="69" spans="1:2">
      <c r="A69" s="23" t="s">
        <v>475</v>
      </c>
      <c r="B69" s="24">
        <v>1</v>
      </c>
    </row>
    <row r="70" spans="1:2">
      <c r="A70" s="23" t="s">
        <v>136</v>
      </c>
      <c r="B70" s="24">
        <v>1</v>
      </c>
    </row>
    <row r="71" spans="1:2">
      <c r="A71" s="23" t="s">
        <v>200</v>
      </c>
      <c r="B71" s="24">
        <v>2</v>
      </c>
    </row>
    <row r="72" spans="1:2">
      <c r="A72" s="23" t="s">
        <v>247</v>
      </c>
      <c r="B72" s="24">
        <v>1</v>
      </c>
    </row>
    <row r="73" spans="1:2">
      <c r="A73" s="23" t="s">
        <v>418</v>
      </c>
      <c r="B73" s="24">
        <v>14</v>
      </c>
    </row>
    <row r="74" spans="1:2">
      <c r="A74" s="23" t="s">
        <v>433</v>
      </c>
      <c r="B74" s="24">
        <v>3</v>
      </c>
    </row>
    <row r="75" spans="1:2">
      <c r="A75" s="23" t="s">
        <v>363</v>
      </c>
      <c r="B75" s="24">
        <v>3</v>
      </c>
    </row>
    <row r="76" spans="1:2">
      <c r="A76" s="23" t="s">
        <v>479</v>
      </c>
      <c r="B76" s="24">
        <v>1</v>
      </c>
    </row>
    <row r="77" spans="1:2">
      <c r="A77" s="23" t="s">
        <v>393</v>
      </c>
      <c r="B77" s="24">
        <v>2</v>
      </c>
    </row>
    <row r="78" spans="1:2">
      <c r="A78" s="23" t="s">
        <v>416</v>
      </c>
      <c r="B78" s="24">
        <v>23</v>
      </c>
    </row>
    <row r="79" spans="1:2">
      <c r="A79" s="23" t="s">
        <v>1205</v>
      </c>
      <c r="B79" s="24">
        <v>3</v>
      </c>
    </row>
    <row r="80" spans="1:2">
      <c r="A80" s="23" t="s">
        <v>481</v>
      </c>
      <c r="B80" s="24">
        <v>2</v>
      </c>
    </row>
    <row r="81" spans="1:2">
      <c r="A81" s="23" t="s">
        <v>428</v>
      </c>
      <c r="B81" s="24">
        <v>6</v>
      </c>
    </row>
    <row r="82" spans="1:2">
      <c r="A82" s="23" t="s">
        <v>358</v>
      </c>
      <c r="B82" s="24">
        <v>2</v>
      </c>
    </row>
    <row r="83" spans="1:2">
      <c r="A83" s="23" t="s">
        <v>92</v>
      </c>
      <c r="B83" s="24">
        <v>3</v>
      </c>
    </row>
    <row r="84" spans="1:2">
      <c r="A84" s="23" t="s">
        <v>336</v>
      </c>
      <c r="B84" s="24">
        <v>1</v>
      </c>
    </row>
    <row r="85" spans="1:2">
      <c r="A85" s="23" t="s">
        <v>227</v>
      </c>
      <c r="B85" s="24">
        <v>3</v>
      </c>
    </row>
    <row r="86" spans="1:2">
      <c r="A86" s="23" t="s">
        <v>430</v>
      </c>
      <c r="B86" s="24">
        <v>2</v>
      </c>
    </row>
    <row r="87" spans="1:2">
      <c r="A87" s="23" t="s">
        <v>86</v>
      </c>
      <c r="B87" s="24">
        <v>2</v>
      </c>
    </row>
    <row r="88" spans="1:2">
      <c r="A88" s="25" t="s">
        <v>1203</v>
      </c>
      <c r="B88" s="26">
        <v>365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"/>
  <sheetViews>
    <sheetView workbookViewId="0">
      <selection activeCell="H25" sqref="H25"/>
    </sheetView>
  </sheetViews>
  <sheetFormatPr defaultColWidth="8.88888888888889" defaultRowHeight="14.4" outlineLevelCol="1"/>
  <cols>
    <col min="1" max="1" width="16.3240740740741" style="18" customWidth="1"/>
  </cols>
  <sheetData>
    <row r="1" spans="1:2">
      <c r="A1" t="s">
        <v>1206</v>
      </c>
      <c r="B1" t="s">
        <v>1207</v>
      </c>
    </row>
    <row r="2" spans="1:2">
      <c r="A2" t="s">
        <v>361</v>
      </c>
      <c r="B2">
        <v>1</v>
      </c>
    </row>
    <row r="3" spans="1:2">
      <c r="A3" t="s">
        <v>426</v>
      </c>
      <c r="B3">
        <v>1</v>
      </c>
    </row>
    <row r="4" spans="1:2">
      <c r="A4" t="s">
        <v>106</v>
      </c>
      <c r="B4">
        <v>5</v>
      </c>
    </row>
    <row r="5" spans="1:2">
      <c r="A5" t="s">
        <v>417</v>
      </c>
      <c r="B5">
        <v>2</v>
      </c>
    </row>
    <row r="6" spans="1:2">
      <c r="A6" t="s">
        <v>408</v>
      </c>
      <c r="B6">
        <v>1</v>
      </c>
    </row>
    <row r="7" spans="1:2">
      <c r="A7" t="s">
        <v>387</v>
      </c>
      <c r="B7">
        <v>1</v>
      </c>
    </row>
    <row r="8" spans="1:2">
      <c r="A8" t="s">
        <v>379</v>
      </c>
      <c r="B8">
        <v>1</v>
      </c>
    </row>
    <row r="9" spans="1:2">
      <c r="A9" t="s">
        <v>411</v>
      </c>
      <c r="B9">
        <v>1</v>
      </c>
    </row>
    <row r="10" spans="1:2">
      <c r="A10" t="s">
        <v>356</v>
      </c>
      <c r="B10">
        <v>2</v>
      </c>
    </row>
    <row r="11" spans="1:2">
      <c r="A11" t="s">
        <v>255</v>
      </c>
      <c r="B11">
        <v>1</v>
      </c>
    </row>
    <row r="12" spans="1:2">
      <c r="A12" t="s">
        <v>89</v>
      </c>
      <c r="B12">
        <v>3</v>
      </c>
    </row>
    <row r="13" spans="1:2">
      <c r="A13" t="s">
        <v>435</v>
      </c>
      <c r="B13">
        <v>1</v>
      </c>
    </row>
    <row r="14" spans="1:2">
      <c r="A14" t="s">
        <v>378</v>
      </c>
      <c r="B14">
        <v>2</v>
      </c>
    </row>
    <row r="15" spans="1:2">
      <c r="A15" t="s">
        <v>377</v>
      </c>
      <c r="B15">
        <v>1</v>
      </c>
    </row>
    <row r="16" spans="1:2">
      <c r="A16" t="s">
        <v>394</v>
      </c>
      <c r="B16">
        <v>2</v>
      </c>
    </row>
    <row r="17" spans="1:2">
      <c r="A17" t="s">
        <v>240</v>
      </c>
      <c r="B17">
        <v>1</v>
      </c>
    </row>
    <row r="18" spans="1:2">
      <c r="A18" t="s">
        <v>391</v>
      </c>
      <c r="B18">
        <v>1</v>
      </c>
    </row>
    <row r="19" spans="1:2">
      <c r="A19" t="s">
        <v>413</v>
      </c>
      <c r="B19">
        <v>1</v>
      </c>
    </row>
    <row r="20" spans="1:2">
      <c r="A20" t="s">
        <v>472</v>
      </c>
      <c r="B20">
        <v>2</v>
      </c>
    </row>
    <row r="21" spans="1:2">
      <c r="A21" t="s">
        <v>53</v>
      </c>
      <c r="B21">
        <v>1</v>
      </c>
    </row>
    <row r="22" spans="1:2">
      <c r="A22" t="s">
        <v>117</v>
      </c>
      <c r="B22">
        <v>2</v>
      </c>
    </row>
    <row r="23" spans="1:2">
      <c r="A23" t="s">
        <v>259</v>
      </c>
      <c r="B23">
        <v>1</v>
      </c>
    </row>
    <row r="24" spans="1:2">
      <c r="A24" t="s">
        <v>482</v>
      </c>
      <c r="B24">
        <v>3</v>
      </c>
    </row>
    <row r="25" spans="1:2">
      <c r="A25" t="s">
        <v>397</v>
      </c>
      <c r="B25">
        <v>5</v>
      </c>
    </row>
    <row r="26" spans="1:2">
      <c r="A26" t="s">
        <v>120</v>
      </c>
      <c r="B26">
        <v>2</v>
      </c>
    </row>
    <row r="27" spans="1:2">
      <c r="A27" t="s">
        <v>230</v>
      </c>
      <c r="B27">
        <v>1</v>
      </c>
    </row>
    <row r="28" spans="1:2">
      <c r="A28" t="s">
        <v>83</v>
      </c>
      <c r="B28">
        <v>1</v>
      </c>
    </row>
    <row r="29" spans="1:2">
      <c r="A29" t="s">
        <v>434</v>
      </c>
      <c r="B29">
        <v>1</v>
      </c>
    </row>
    <row r="30" spans="1:2">
      <c r="A30" t="s">
        <v>221</v>
      </c>
      <c r="B30">
        <v>2</v>
      </c>
    </row>
    <row r="31" spans="1:2">
      <c r="A31" t="s">
        <v>371</v>
      </c>
      <c r="B31">
        <v>3</v>
      </c>
    </row>
    <row r="32" spans="1:2">
      <c r="A32" t="s">
        <v>344</v>
      </c>
      <c r="B32">
        <v>1</v>
      </c>
    </row>
    <row r="33" spans="1:2">
      <c r="A33" t="s">
        <v>102</v>
      </c>
      <c r="B33">
        <v>1</v>
      </c>
    </row>
    <row r="34" spans="1:2">
      <c r="A34" t="s">
        <v>196</v>
      </c>
      <c r="B34">
        <v>5</v>
      </c>
    </row>
    <row r="35" spans="1:2">
      <c r="A35" t="s">
        <v>423</v>
      </c>
      <c r="B35">
        <v>1</v>
      </c>
    </row>
    <row r="36" spans="1:2">
      <c r="A36" t="s">
        <v>80</v>
      </c>
      <c r="B36">
        <v>1</v>
      </c>
    </row>
    <row r="37" spans="1:2">
      <c r="A37" t="s">
        <v>436</v>
      </c>
      <c r="B37">
        <v>1</v>
      </c>
    </row>
    <row r="38" spans="1:2">
      <c r="A38" t="s">
        <v>234</v>
      </c>
      <c r="B38">
        <v>1</v>
      </c>
    </row>
    <row r="39" spans="1:2">
      <c r="A39" t="s">
        <v>373</v>
      </c>
      <c r="B39">
        <v>2</v>
      </c>
    </row>
    <row r="40" spans="1:2">
      <c r="A40" t="s">
        <v>366</v>
      </c>
      <c r="B40">
        <v>3</v>
      </c>
    </row>
    <row r="41" spans="1:2">
      <c r="A41" t="s">
        <v>399</v>
      </c>
      <c r="B41">
        <v>1</v>
      </c>
    </row>
    <row r="42" spans="1:2">
      <c r="A42" t="s">
        <v>486</v>
      </c>
      <c r="B42">
        <v>1</v>
      </c>
    </row>
    <row r="43" spans="1:2">
      <c r="A43" t="s">
        <v>67</v>
      </c>
      <c r="B43">
        <v>1</v>
      </c>
    </row>
    <row r="44" spans="1:2">
      <c r="A44" t="s">
        <v>241</v>
      </c>
      <c r="B44">
        <v>4</v>
      </c>
    </row>
    <row r="45" spans="1:2">
      <c r="A45" t="s">
        <v>74</v>
      </c>
      <c r="B45">
        <v>1</v>
      </c>
    </row>
    <row r="46" spans="1:2">
      <c r="A46" t="s">
        <v>236</v>
      </c>
      <c r="B46">
        <v>1</v>
      </c>
    </row>
    <row r="47" spans="1:2">
      <c r="A47" t="s">
        <v>354</v>
      </c>
      <c r="B47">
        <v>2</v>
      </c>
    </row>
    <row r="48" spans="1:2">
      <c r="A48" t="s">
        <v>238</v>
      </c>
      <c r="B48">
        <v>1</v>
      </c>
    </row>
    <row r="49" spans="1:2">
      <c r="A49" t="s">
        <v>487</v>
      </c>
      <c r="B49">
        <v>1</v>
      </c>
    </row>
    <row r="50" spans="1:2">
      <c r="A50" t="s">
        <v>370</v>
      </c>
      <c r="B50">
        <v>2</v>
      </c>
    </row>
    <row r="51" spans="1:2">
      <c r="A51" t="s">
        <v>414</v>
      </c>
      <c r="B51">
        <v>1</v>
      </c>
    </row>
    <row r="52" spans="1:2">
      <c r="A52" t="s">
        <v>424</v>
      </c>
      <c r="B52">
        <v>1</v>
      </c>
    </row>
    <row r="53" spans="1:2">
      <c r="A53" t="s">
        <v>350</v>
      </c>
      <c r="B53">
        <v>2</v>
      </c>
    </row>
    <row r="54" spans="1:2">
      <c r="A54" t="s">
        <v>470</v>
      </c>
      <c r="B54">
        <v>1</v>
      </c>
    </row>
    <row r="55" spans="1:2">
      <c r="A55" t="s">
        <v>400</v>
      </c>
      <c r="B55">
        <v>1</v>
      </c>
    </row>
    <row r="56" spans="1:2">
      <c r="A56" t="s">
        <v>193</v>
      </c>
      <c r="B56">
        <v>2</v>
      </c>
    </row>
    <row r="57" spans="1:2">
      <c r="A57" t="s">
        <v>364</v>
      </c>
      <c r="B57">
        <v>1</v>
      </c>
    </row>
    <row r="58" spans="1:2">
      <c r="A58" t="s">
        <v>415</v>
      </c>
      <c r="B58">
        <v>2</v>
      </c>
    </row>
    <row r="59" spans="1:2">
      <c r="A59" t="s">
        <v>351</v>
      </c>
      <c r="B59">
        <v>1</v>
      </c>
    </row>
    <row r="60" spans="1:2">
      <c r="A60" t="s">
        <v>97</v>
      </c>
      <c r="B60">
        <v>5</v>
      </c>
    </row>
    <row r="61" spans="1:2">
      <c r="A61" t="s">
        <v>386</v>
      </c>
      <c r="B61">
        <v>1</v>
      </c>
    </row>
    <row r="62" spans="1:2">
      <c r="A62" t="s">
        <v>375</v>
      </c>
      <c r="B62">
        <v>1</v>
      </c>
    </row>
    <row r="63" spans="1:2">
      <c r="A63" t="s">
        <v>372</v>
      </c>
      <c r="B63">
        <v>1</v>
      </c>
    </row>
    <row r="64" spans="1:2">
      <c r="A64" t="s">
        <v>420</v>
      </c>
      <c r="B64">
        <v>3</v>
      </c>
    </row>
    <row r="65" spans="1:2">
      <c r="A65" t="s">
        <v>352</v>
      </c>
      <c r="B65">
        <v>1</v>
      </c>
    </row>
    <row r="66" spans="1:2">
      <c r="A66" t="s">
        <v>237</v>
      </c>
      <c r="B66">
        <v>1</v>
      </c>
    </row>
    <row r="67" spans="1:2">
      <c r="A67" t="s">
        <v>473</v>
      </c>
      <c r="B67">
        <v>1</v>
      </c>
    </row>
    <row r="68" spans="1:2">
      <c r="A68" t="s">
        <v>114</v>
      </c>
      <c r="B68">
        <v>3</v>
      </c>
    </row>
    <row r="69" spans="1:2">
      <c r="A69" t="s">
        <v>403</v>
      </c>
      <c r="B69">
        <v>7</v>
      </c>
    </row>
    <row r="70" spans="1:2">
      <c r="A70" t="s">
        <v>125</v>
      </c>
      <c r="B70">
        <v>2</v>
      </c>
    </row>
    <row r="71" spans="1:2">
      <c r="A71" t="s">
        <v>404</v>
      </c>
      <c r="B71">
        <v>2</v>
      </c>
    </row>
    <row r="72" spans="1:2">
      <c r="A72" t="s">
        <v>431</v>
      </c>
      <c r="B72">
        <v>1</v>
      </c>
    </row>
    <row r="73" spans="1:2">
      <c r="A73" t="s">
        <v>111</v>
      </c>
      <c r="B73">
        <v>2</v>
      </c>
    </row>
    <row r="74" spans="1:2">
      <c r="A74" t="s">
        <v>406</v>
      </c>
      <c r="B74">
        <v>1</v>
      </c>
    </row>
    <row r="75" spans="1:2">
      <c r="A75" t="s">
        <v>483</v>
      </c>
      <c r="B75">
        <v>1</v>
      </c>
    </row>
    <row r="76" spans="1:2">
      <c r="A76" t="s">
        <v>188</v>
      </c>
      <c r="B76">
        <v>2</v>
      </c>
    </row>
    <row r="77" spans="1:2">
      <c r="A77" t="s">
        <v>475</v>
      </c>
      <c r="B77">
        <v>1</v>
      </c>
    </row>
    <row r="78" spans="1:2">
      <c r="A78" t="s">
        <v>233</v>
      </c>
      <c r="B78">
        <v>1</v>
      </c>
    </row>
    <row r="79" spans="1:2">
      <c r="A79" t="s">
        <v>1208</v>
      </c>
      <c r="B79">
        <v>1</v>
      </c>
    </row>
    <row r="80" spans="1:2">
      <c r="A80" t="s">
        <v>226</v>
      </c>
      <c r="B80">
        <v>1</v>
      </c>
    </row>
    <row r="81" spans="1:2">
      <c r="A81" t="s">
        <v>200</v>
      </c>
      <c r="B81">
        <v>3</v>
      </c>
    </row>
    <row r="82" spans="1:2">
      <c r="A82" t="s">
        <v>418</v>
      </c>
      <c r="B82">
        <v>1</v>
      </c>
    </row>
    <row r="83" spans="1:2">
      <c r="A83" t="s">
        <v>363</v>
      </c>
      <c r="B83">
        <v>1</v>
      </c>
    </row>
    <row r="84" spans="1:2">
      <c r="A84" t="s">
        <v>484</v>
      </c>
      <c r="B84">
        <v>1</v>
      </c>
    </row>
    <row r="85" spans="1:2">
      <c r="A85" t="s">
        <v>479</v>
      </c>
      <c r="B85">
        <v>3</v>
      </c>
    </row>
    <row r="86" spans="1:2">
      <c r="A86" t="s">
        <v>393</v>
      </c>
      <c r="B86">
        <v>1</v>
      </c>
    </row>
    <row r="87" spans="1:2">
      <c r="A87" t="s">
        <v>376</v>
      </c>
      <c r="B87">
        <v>1</v>
      </c>
    </row>
    <row r="88" spans="1:2">
      <c r="A88" t="s">
        <v>1209</v>
      </c>
      <c r="B88">
        <v>1</v>
      </c>
    </row>
    <row r="89" spans="1:2">
      <c r="A89" t="s">
        <v>416</v>
      </c>
      <c r="B89">
        <v>1</v>
      </c>
    </row>
    <row r="90" spans="1:2">
      <c r="A90" t="s">
        <v>481</v>
      </c>
      <c r="B90">
        <v>3</v>
      </c>
    </row>
    <row r="91" spans="1:2">
      <c r="A91" t="s">
        <v>478</v>
      </c>
      <c r="B91">
        <v>1</v>
      </c>
    </row>
    <row r="92" spans="1:2">
      <c r="A92" t="s">
        <v>1210</v>
      </c>
      <c r="B92">
        <v>1</v>
      </c>
    </row>
    <row r="93" spans="1:2">
      <c r="A93" t="s">
        <v>422</v>
      </c>
      <c r="B93">
        <v>1</v>
      </c>
    </row>
    <row r="94" spans="1:2">
      <c r="A94" t="s">
        <v>428</v>
      </c>
      <c r="B94">
        <v>1</v>
      </c>
    </row>
    <row r="95" spans="1:2">
      <c r="A95" t="s">
        <v>358</v>
      </c>
      <c r="B95">
        <v>3</v>
      </c>
    </row>
    <row r="96" spans="1:2">
      <c r="A96" t="s">
        <v>227</v>
      </c>
      <c r="B96">
        <v>1</v>
      </c>
    </row>
    <row r="97" spans="1:2">
      <c r="A97" t="s">
        <v>244</v>
      </c>
      <c r="B97">
        <v>2</v>
      </c>
    </row>
    <row r="98" spans="1:2">
      <c r="A98" t="s">
        <v>430</v>
      </c>
      <c r="B98">
        <v>1</v>
      </c>
    </row>
    <row r="99" spans="1:2">
      <c r="A99" t="s">
        <v>86</v>
      </c>
      <c r="B99">
        <v>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11"/>
  <sheetViews>
    <sheetView workbookViewId="0">
      <selection activeCell="E7" sqref="E7"/>
    </sheetView>
  </sheetViews>
  <sheetFormatPr defaultColWidth="8.88888888888889" defaultRowHeight="14.4" outlineLevelCol="5"/>
  <cols>
    <col min="3" max="3" width="7.22222222222222" customWidth="1"/>
    <col min="4" max="4" width="9.44444444444444" customWidth="1"/>
    <col min="5" max="5" width="41.7777777777778" customWidth="1"/>
    <col min="6" max="6" width="25.5555555555556" customWidth="1"/>
  </cols>
  <sheetData>
    <row r="1" ht="23" customHeight="1" spans="3:6">
      <c r="C1" s="11" t="s">
        <v>0</v>
      </c>
      <c r="D1" s="11" t="s">
        <v>1</v>
      </c>
      <c r="E1" s="11" t="s">
        <v>1211</v>
      </c>
      <c r="F1" s="11" t="s">
        <v>1212</v>
      </c>
    </row>
    <row r="2" ht="23" customHeight="1" spans="3:6">
      <c r="C2" s="12">
        <v>1</v>
      </c>
      <c r="D2" s="13" t="s">
        <v>1213</v>
      </c>
      <c r="E2" s="13" t="s">
        <v>1214</v>
      </c>
      <c r="F2" s="14" t="s">
        <v>890</v>
      </c>
    </row>
    <row r="3" ht="23" customHeight="1" spans="3:6">
      <c r="C3" s="12">
        <v>2</v>
      </c>
      <c r="D3" s="13" t="s">
        <v>1215</v>
      </c>
      <c r="E3" s="13" t="s">
        <v>1216</v>
      </c>
      <c r="F3" s="14" t="s">
        <v>897</v>
      </c>
    </row>
    <row r="4" ht="23" customHeight="1" spans="3:6">
      <c r="C4" s="12">
        <v>3</v>
      </c>
      <c r="D4" s="13" t="s">
        <v>1217</v>
      </c>
      <c r="E4" s="13" t="s">
        <v>1216</v>
      </c>
      <c r="F4" s="14" t="s">
        <v>897</v>
      </c>
    </row>
    <row r="5" ht="23" customHeight="1" spans="3:6">
      <c r="C5" s="12">
        <v>4</v>
      </c>
      <c r="D5" s="15" t="s">
        <v>1218</v>
      </c>
      <c r="E5" s="15" t="s">
        <v>1219</v>
      </c>
      <c r="F5" s="16" t="s">
        <v>897</v>
      </c>
    </row>
    <row r="6" ht="23" customHeight="1" spans="3:6">
      <c r="C6" s="12">
        <v>5</v>
      </c>
      <c r="D6" s="13" t="s">
        <v>1220</v>
      </c>
      <c r="E6" s="13" t="s">
        <v>1219</v>
      </c>
      <c r="F6" s="14" t="s">
        <v>924</v>
      </c>
    </row>
    <row r="7" ht="23" customHeight="1" spans="3:6">
      <c r="C7" s="12">
        <v>6</v>
      </c>
      <c r="D7" s="13" t="s">
        <v>1221</v>
      </c>
      <c r="E7" s="13" t="s">
        <v>1216</v>
      </c>
      <c r="F7" s="14" t="s">
        <v>923</v>
      </c>
    </row>
    <row r="8" ht="23" customHeight="1" spans="3:6">
      <c r="C8" s="12">
        <v>7</v>
      </c>
      <c r="D8" s="13" t="s">
        <v>1221</v>
      </c>
      <c r="E8" s="13" t="s">
        <v>1222</v>
      </c>
      <c r="F8" s="14" t="s">
        <v>887</v>
      </c>
    </row>
    <row r="9" ht="23" customHeight="1" spans="3:6">
      <c r="C9" s="12">
        <v>8</v>
      </c>
      <c r="D9" s="13" t="s">
        <v>1223</v>
      </c>
      <c r="E9" s="13" t="s">
        <v>1224</v>
      </c>
      <c r="F9" s="14" t="s">
        <v>887</v>
      </c>
    </row>
    <row r="10" ht="23" customHeight="1" spans="3:6">
      <c r="C10" s="12">
        <v>9</v>
      </c>
      <c r="D10" s="12" t="s">
        <v>1225</v>
      </c>
      <c r="E10" s="15" t="s">
        <v>1219</v>
      </c>
      <c r="F10" s="7" t="s">
        <v>947</v>
      </c>
    </row>
    <row r="11" ht="23" customHeight="1" spans="3:6">
      <c r="C11" s="12">
        <v>10</v>
      </c>
      <c r="D11" s="17" t="s">
        <v>1226</v>
      </c>
      <c r="E11" s="12" t="s">
        <v>1227</v>
      </c>
      <c r="F11" s="7" t="s">
        <v>947</v>
      </c>
    </row>
  </sheetData>
  <sortState ref="D2:F11">
    <sortCondition ref="F2" descending="1"/>
  </sortState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7"/>
  <sheetViews>
    <sheetView zoomScale="130" zoomScaleNormal="130" workbookViewId="0">
      <selection activeCell="C3" sqref="C3"/>
    </sheetView>
  </sheetViews>
  <sheetFormatPr defaultColWidth="8.88888888888889" defaultRowHeight="14.4" outlineLevelCol="3"/>
  <cols>
    <col min="2" max="2" width="31.787037037037" customWidth="1"/>
    <col min="3" max="3" width="38.7777777777778" customWidth="1"/>
    <col min="4" max="4" width="28.287037037037" customWidth="1"/>
    <col min="5" max="5" width="27.0092592592593" customWidth="1"/>
  </cols>
  <sheetData>
    <row r="1" ht="22" customHeight="1" spans="2:4">
      <c r="B1" s="3" t="s">
        <v>1228</v>
      </c>
      <c r="C1" s="3" t="s">
        <v>1229</v>
      </c>
      <c r="D1" s="3" t="s">
        <v>879</v>
      </c>
    </row>
    <row r="2" ht="24" customHeight="1" spans="2:4">
      <c r="B2" s="4" t="s">
        <v>1230</v>
      </c>
      <c r="C2" s="5" t="s">
        <v>1231</v>
      </c>
      <c r="D2" s="5" t="s">
        <v>205</v>
      </c>
    </row>
    <row r="3" ht="24" customHeight="1" spans="2:4">
      <c r="B3" s="4" t="s">
        <v>1232</v>
      </c>
      <c r="C3" s="6" t="s">
        <v>1233</v>
      </c>
      <c r="D3" s="5" t="s">
        <v>171</v>
      </c>
    </row>
    <row r="4" ht="24" customHeight="1" spans="2:4">
      <c r="B4" s="4" t="s">
        <v>1234</v>
      </c>
      <c r="C4" s="5" t="s">
        <v>1235</v>
      </c>
      <c r="D4" s="5" t="s">
        <v>129</v>
      </c>
    </row>
    <row r="5" ht="24" customHeight="1" spans="2:4">
      <c r="B5" s="4" t="s">
        <v>1236</v>
      </c>
      <c r="C5" s="5" t="s">
        <v>1237</v>
      </c>
      <c r="D5" s="5" t="s">
        <v>1238</v>
      </c>
    </row>
    <row r="6" ht="24" customHeight="1" spans="2:4">
      <c r="B6" s="4" t="s">
        <v>1239</v>
      </c>
      <c r="C6" s="6" t="s">
        <v>1240</v>
      </c>
      <c r="D6" s="5" t="s">
        <v>171</v>
      </c>
    </row>
    <row r="7" ht="24" customHeight="1" spans="2:4">
      <c r="B7" s="4" t="s">
        <v>1241</v>
      </c>
      <c r="C7" s="5" t="s">
        <v>1242</v>
      </c>
      <c r="D7" s="5" t="s">
        <v>148</v>
      </c>
    </row>
    <row r="8" ht="24" customHeight="1" spans="2:4">
      <c r="B8" s="4" t="s">
        <v>1243</v>
      </c>
      <c r="C8" s="5" t="s">
        <v>1244</v>
      </c>
      <c r="D8" s="5" t="s">
        <v>148</v>
      </c>
    </row>
    <row r="9" ht="24" customHeight="1" spans="2:4">
      <c r="B9" s="4" t="s">
        <v>1245</v>
      </c>
      <c r="C9" s="6" t="s">
        <v>1246</v>
      </c>
      <c r="D9" s="5" t="s">
        <v>171</v>
      </c>
    </row>
    <row r="10" ht="24" customHeight="1" spans="2:4">
      <c r="B10" s="4" t="s">
        <v>1247</v>
      </c>
      <c r="C10" s="5" t="s">
        <v>1248</v>
      </c>
      <c r="D10" s="5" t="s">
        <v>129</v>
      </c>
    </row>
    <row r="11" ht="24" customHeight="1" spans="2:4">
      <c r="B11" s="4" t="s">
        <v>1249</v>
      </c>
      <c r="C11" s="5" t="s">
        <v>1250</v>
      </c>
      <c r="D11" s="5" t="s">
        <v>205</v>
      </c>
    </row>
    <row r="13" ht="17.4" spans="2:4">
      <c r="B13" s="5" t="s">
        <v>1251</v>
      </c>
      <c r="C13" s="7"/>
      <c r="D13" s="7"/>
    </row>
    <row r="14" ht="22" customHeight="1" spans="2:4">
      <c r="B14" s="8" t="s">
        <v>1252</v>
      </c>
      <c r="C14" s="5" t="s">
        <v>1253</v>
      </c>
      <c r="D14" s="5" t="s">
        <v>1254</v>
      </c>
    </row>
    <row r="15" ht="22" customHeight="1" spans="2:4">
      <c r="B15" s="8" t="s">
        <v>1252</v>
      </c>
      <c r="C15" s="5" t="s">
        <v>1255</v>
      </c>
      <c r="D15" s="5" t="s">
        <v>205</v>
      </c>
    </row>
    <row r="17" ht="72" customHeight="1" spans="2:4">
      <c r="B17" s="9" t="s">
        <v>1256</v>
      </c>
      <c r="C17" s="10"/>
      <c r="D17" s="10"/>
    </row>
  </sheetData>
  <autoFilter ref="B1:D15">
    <extLst/>
  </autoFilter>
  <sortState ref="B2:D11">
    <sortCondition ref="B2"/>
  </sortState>
  <mergeCells count="1">
    <mergeCell ref="B17:D17"/>
  </mergeCells>
  <pageMargins left="0.75" right="0.75" top="1" bottom="1" header="0.5" footer="0.5"/>
  <pageSetup paperSize="9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D27" sqref="D27"/>
    </sheetView>
  </sheetViews>
  <sheetFormatPr defaultColWidth="8.88888888888889" defaultRowHeight="14.4" outlineLevelCol="1"/>
  <cols>
    <col min="1" max="1" width="15.3333333333333" style="1" customWidth="1"/>
    <col min="2" max="2" width="8.88888888888889" style="1"/>
  </cols>
  <sheetData>
    <row r="1" spans="1:2">
      <c r="A1" s="2" t="s">
        <v>13</v>
      </c>
      <c r="B1" s="2" t="s">
        <v>1207</v>
      </c>
    </row>
    <row r="2" spans="1:2">
      <c r="A2" s="1" t="s">
        <v>190</v>
      </c>
      <c r="B2" s="1">
        <v>2</v>
      </c>
    </row>
    <row r="3" spans="1:2">
      <c r="A3" s="1" t="s">
        <v>197</v>
      </c>
      <c r="B3" s="1">
        <v>2</v>
      </c>
    </row>
    <row r="4" spans="1:2">
      <c r="A4" s="1" t="s">
        <v>130</v>
      </c>
      <c r="B4" s="1">
        <v>2</v>
      </c>
    </row>
    <row r="5" spans="1:2">
      <c r="A5" s="1" t="s">
        <v>206</v>
      </c>
      <c r="B5" s="1">
        <v>2</v>
      </c>
    </row>
    <row r="6" spans="1:2">
      <c r="A6" s="1" t="s">
        <v>156</v>
      </c>
      <c r="B6" s="1">
        <v>2</v>
      </c>
    </row>
    <row r="7" spans="1:2">
      <c r="A7" s="1" t="s">
        <v>149</v>
      </c>
      <c r="B7" s="1">
        <v>2</v>
      </c>
    </row>
    <row r="8" spans="1:2">
      <c r="A8" s="1" t="s">
        <v>222</v>
      </c>
      <c r="B8" s="1">
        <v>2</v>
      </c>
    </row>
    <row r="9" spans="1:2">
      <c r="A9" s="1" t="s">
        <v>107</v>
      </c>
      <c r="B9" s="1">
        <v>2</v>
      </c>
    </row>
    <row r="10" spans="1:2">
      <c r="A10" s="1" t="s">
        <v>172</v>
      </c>
      <c r="B10" s="1">
        <v>2</v>
      </c>
    </row>
    <row r="11" spans="1:2">
      <c r="A11" s="1" t="s">
        <v>140</v>
      </c>
      <c r="B11" s="1">
        <v>2</v>
      </c>
    </row>
    <row r="12" spans="1:2">
      <c r="A12" s="1" t="s">
        <v>178</v>
      </c>
      <c r="B12" s="1">
        <v>2</v>
      </c>
    </row>
    <row r="13" spans="1:2">
      <c r="A13" s="1" t="s">
        <v>185</v>
      </c>
      <c r="B13" s="1">
        <v>1</v>
      </c>
    </row>
    <row r="14" spans="1:2">
      <c r="A14" s="1" t="s">
        <v>162</v>
      </c>
      <c r="B14" s="1">
        <v>2</v>
      </c>
    </row>
    <row r="15" spans="1:2">
      <c r="A15" s="1" t="s">
        <v>55</v>
      </c>
      <c r="B15" s="1">
        <v>2</v>
      </c>
    </row>
    <row r="16" spans="1:2">
      <c r="A16" s="1" t="s">
        <v>84</v>
      </c>
      <c r="B16" s="1">
        <v>3</v>
      </c>
    </row>
    <row r="17" spans="1:2">
      <c r="A17" s="1" t="s">
        <v>121</v>
      </c>
      <c r="B17" s="1">
        <v>2</v>
      </c>
    </row>
    <row r="18" spans="1:2">
      <c r="A18" s="1" t="s">
        <v>214</v>
      </c>
      <c r="B18" s="1">
        <v>2</v>
      </c>
    </row>
    <row r="19" spans="1:2">
      <c r="A19" s="1" t="s">
        <v>75</v>
      </c>
      <c r="B19" s="1">
        <v>2</v>
      </c>
    </row>
    <row r="20" spans="1:2">
      <c r="A20" s="1" t="s">
        <v>93</v>
      </c>
      <c r="B20" s="1">
        <v>3</v>
      </c>
    </row>
    <row r="21" spans="1:2">
      <c r="A21" s="1" t="s">
        <v>99</v>
      </c>
      <c r="B21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2.1 全量203人-11月</vt:lpstr>
      <vt:lpstr>2.2 工作负荷分析-开发类岗位</vt:lpstr>
      <vt:lpstr>3 人员画像-年</vt:lpstr>
      <vt:lpstr>4 人员画像-月 季</vt:lpstr>
      <vt:lpstr>人员画像</vt:lpstr>
      <vt:lpstr>离职转出人员清单</vt:lpstr>
      <vt:lpstr>组长骨干名单</vt:lpstr>
      <vt:lpstr>产品经理架构师</vt:lpstr>
      <vt:lpstr>累计工龄</vt:lpstr>
      <vt:lpstr>项目 需求个数</vt:lpstr>
      <vt:lpstr>新paso体系下参与应用数量</vt:lpstr>
      <vt:lpstr>Sheet1</vt:lpstr>
      <vt:lpstr>Sheet2</vt:lpstr>
      <vt:lpstr>导出计数_组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顾小萍</dc:creator>
  <cp:lastModifiedBy>许阿云</cp:lastModifiedBy>
  <dcterms:created xsi:type="dcterms:W3CDTF">2025-05-23T09:58:00Z</dcterms:created>
  <dcterms:modified xsi:type="dcterms:W3CDTF">2026-05-18T11:50:08Z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1C7C5717D0C24BCB93CB06139A5A2883</vt:lpwstr>
  </property>
</Properties>
</file>